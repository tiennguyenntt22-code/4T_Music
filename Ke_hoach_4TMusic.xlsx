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Dashboard &amp; Tổng Quan" sheetId="1" state="visible" r:id="rId3"/>
    <sheet name="01_WBS &amp; Master Plan" sheetId="2" state="visible" r:id="rId4"/>
    <sheet name="02_Gantt Chart Tự Động" sheetId="3" state="visible" r:id="rId5"/>
    <sheet name="03_API Checklist &amp; Testing" sheetId="4" state="visible" r:id="rId6"/>
    <sheet name="04_UXUI &amp; Requirement Backlog" sheetId="5" state="visible" r:id="rId7"/>
    <sheet name="05_Settings &amp; Reference" sheetId="6" state="visible" r:id="rId8"/>
  </sheets>
  <definedNames>
    <definedName function="false" hidden="true" localSheetId="1" name="_xlnm._FilterDatabase" vbProcedure="false">'01_WBS &amp; Master Plan'!$A$4:$R$154</definedName>
    <definedName function="false" hidden="true" localSheetId="3" name="_xlnm._FilterDatabase" vbProcedure="false">'03_API Checklist &amp; Testing'!$A$4:$J$200</definedName>
    <definedName function="false" hidden="true" localSheetId="4" name="_xlnm._FilterDatabase" vbProcedure="false">'04_UXUI &amp; Requirement Backlog'!$A$4:$G$120</definedName>
    <definedName function="false" hidden="false" name="A_Dev" vbProcedure="false">'03_API Checklist &amp; Testing'!$H$5:$H$200</definedName>
    <definedName function="false" hidden="false" name="A_Endpoint" vbProcedure="false">'03_API Checklist &amp; Testing'!$D$5:$D$200</definedName>
    <definedName function="false" hidden="false" name="A_Method" vbProcedure="false">'03_API Checklist &amp; Testing'!$C$5:$C$200</definedName>
    <definedName function="false" hidden="false" name="A_Module" vbProcedure="false">'03_API Checklist &amp; Testing'!$B$5:$B$200</definedName>
    <definedName function="false" hidden="false" name="A_Phase" vbProcedure="false">'03_API Checklist &amp; Testing'!$G$5:$G$200</definedName>
    <definedName function="false" hidden="false" name="A_Test" vbProcedure="false">'03_API Checklist &amp; Testing'!$I$5:$I$200</definedName>
    <definedName function="false" hidden="false" name="CFG_CurWeek" vbProcedure="false">'05_Settings &amp; Reference'!$B$6</definedName>
    <definedName function="false" hidden="false" name="CFG_Start" vbProcedure="false">'05_Settings &amp; Reference'!$B$4</definedName>
    <definedName function="false" hidden="false" name="CFG_Weeks" vbProcedure="false">'05_Settings &amp; Reference'!$B$5</definedName>
    <definedName function="false" hidden="false" name="L_Access" vbProcedure="false">'05_Settings &amp; Reference'!$U$11:$U$15</definedName>
    <definedName function="false" hidden="false" name="L_APIModule" vbProcedure="false">'05_Settings &amp; Reference'!$Y$11:$Y$25</definedName>
    <definedName function="false" hidden="false" name="L_APIPhase" vbProcedure="false">'05_Settings &amp; Reference'!$W$11:$W$12</definedName>
    <definedName function="false" hidden="false" name="L_Members" vbProcedure="false">'05_Settings &amp; Reference'!$A$11:$A$15</definedName>
    <definedName function="false" hidden="false" name="L_Method" vbProcedure="false">'05_Settings &amp; Reference'!$S$11:$S$15</definedName>
    <definedName function="false" hidden="false" name="L_Modules" vbProcedure="false">'05_Settings &amp; Reference'!$I$11:$I$23</definedName>
    <definedName function="false" hidden="false" name="L_Phases" vbProcedure="false">'05_Settings &amp; Reference'!$D$11:$D$20</definedName>
    <definedName function="false" hidden="false" name="L_Priority" vbProcedure="false">'05_Settings &amp; Reference'!$M$11:$M$13</definedName>
    <definedName function="false" hidden="false" name="L_Status" vbProcedure="false">'05_Settings &amp; Reference'!$O$11:$O$14</definedName>
    <definedName function="false" hidden="false" name="L_Test" vbProcedure="false">'05_Settings &amp; Reference'!$Q$11:$Q$14</definedName>
    <definedName function="false" hidden="false" name="L_Types" vbProcedure="false">'05_Settings &amp; Reference'!$K$11:$K$19</definedName>
    <definedName function="false" hidden="false" name="L_UXArea" vbProcedure="false">'05_Settings &amp; Reference'!$AA$11:$AA$22</definedName>
    <definedName function="false" hidden="false" name="MS_Names" vbProcedure="false">'05_Settings &amp; Reference'!$A$19:$A$21</definedName>
    <definedName function="false" hidden="false" name="MS_Weeks" vbProcedure="false">'05_Settings &amp; Reference'!$B$19:$B$21</definedName>
    <definedName function="false" hidden="false" name="U_Done" vbProcedure="false">'04_UXUI &amp; Requirement Backlog'!$E$5:$E$120</definedName>
    <definedName function="false" hidden="false" name="U_Item" vbProcedure="false">'04_UXUI &amp; Requirement Backlog'!$C$5:$C$120</definedName>
    <definedName function="false" hidden="false" name="U_Prio" vbProcedure="false">'04_UXUI &amp; Requirement Backlog'!$D$5:$D$120</definedName>
    <definedName function="false" hidden="false" name="W_Alert" vbProcedure="false">'01_WBS &amp; Master Plan'!$Q$5:$Q$154</definedName>
    <definedName function="false" hidden="false" name="W_Assignee" vbProcedure="false">'01_WBS &amp; Master Plan'!$E$5:$E$154</definedName>
    <definedName function="false" hidden="false" name="W_Code" vbProcedure="false">'01_WBS &amp; Master Plan'!$A$5:$A$154</definedName>
    <definedName function="false" hidden="false" name="W_Days" vbProcedure="false">'01_WBS &amp; Master Plan'!$J$5:$J$154</definedName>
    <definedName function="false" hidden="false" name="W_DoneDays" vbProcedure="false">'01_WBS &amp; Master Plan'!$R$5:$R$154</definedName>
    <definedName function="false" hidden="false" name="W_EndWk" vbProcedure="false">'01_WBS &amp; Master Plan'!$I$5:$I$154</definedName>
    <definedName function="false" hidden="false" name="W_Module" vbProcedure="false">'01_WBS &amp; Master Plan'!$C$5:$C$154</definedName>
    <definedName function="false" hidden="false" name="W_Pct" vbProcedure="false">'01_WBS &amp; Master Plan'!$L$5:$L$154</definedName>
    <definedName function="false" hidden="false" name="W_Phase" vbProcedure="false">'01_WBS &amp; Master Plan'!$B$5:$B$154</definedName>
    <definedName function="false" hidden="false" name="W_Prio" vbProcedure="false">'01_WBS &amp; Master Plan'!$G$5:$G$154</definedName>
    <definedName function="false" hidden="false" name="W_StartWk" vbProcedure="false">'01_WBS &amp; Master Plan'!$H$5:$H$154</definedName>
    <definedName function="false" hidden="false" name="W_Status" vbProcedure="false">'01_WBS &amp; Master Plan'!$K$5:$K$154</definedName>
    <definedName function="false" hidden="false" name="W_Task" vbProcedure="false">'01_WBS &amp; Master Plan'!$D$5:$D$154</definedName>
    <definedName function="false" hidden="false" name="W_Type" vbProcedure="false">'01_WBS &amp; Master Plan'!$F$5:$F$154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<sst xmlns="http://schemas.openxmlformats.org/spreadsheetml/2006/main" count="1826" uniqueCount="693">
  <si>
    <t xml:space="preserve">4TMUSIC — DASHBOARD &amp; TỔNG QUAN DỰ ÁN</t>
  </si>
  <si>
    <t xml:space="preserve">THÔNG TIN DỰ ÁN</t>
  </si>
  <si>
    <t xml:space="preserve">Tên dự án</t>
  </si>
  <si>
    <t xml:space="preserve">4TMusic — Nền tảng nghe nhạc trực tuyến, nghe offline</t>
  </si>
  <si>
    <t xml:space="preserve">Loại hình</t>
  </si>
  <si>
    <t xml:space="preserve">Nền tảng âm nhạc · Web App (React/Vite + Node/Express + MySQL) · PWA nghe offline · Mobile App Flutter (sau Release)</t>
  </si>
  <si>
    <t xml:space="preserve">Quy mô nhân sự</t>
  </si>
  <si>
    <t xml:space="preserve">1 người: Nhật đảm nhận FE, BE, Database, UI/UX, QA, DevOps. Có sẵn 3 vị trí UI/UX, QA, Mobile/DevOps trong sheet 05 nếu mở rộng nhóm.</t>
  </si>
  <si>
    <t xml:space="preserve">Thời gian phát triển</t>
  </si>
  <si>
    <t xml:space="preserve">Milestone</t>
  </si>
  <si>
    <t xml:space="preserve">Nguồn nhạc</t>
  </si>
  <si>
    <t xml:space="preserve">Nhạc Creative Commons (Jamendo API, Free Music Archive) + nghệ sĩ tự upload có cam kết bản quyền; chỉ cho tải offline bài có license cho phép</t>
  </si>
  <si>
    <t xml:space="preserve">Công nghệ</t>
  </si>
  <si>
    <t xml:space="preserve">React, Tailwind, Zustand, TanStack Query · Node.js/Express, Prisma, MySQL, Redis · Cloudflare R2, FFmpeg · PWA (Workbox) · Docker, Vercel/Render, GitHub Actions</t>
  </si>
  <si>
    <t xml:space="preserve">CHỈ SỐ CHÍNH (KPI)</t>
  </si>
  <si>
    <t xml:space="preserve">TIẾN ĐỘ TASK</t>
  </si>
  <si>
    <t xml:space="preserve">% TIẾN ĐỘ TỔNG</t>
  </si>
  <si>
    <t xml:space="preserve">TỔNG TASK</t>
  </si>
  <si>
    <t xml:space="preserve">HOÀN THÀNH</t>
  </si>
  <si>
    <t xml:space="preserve">ĐANG LÀM</t>
  </si>
  <si>
    <t xml:space="preserve">TRỄ HẠN</t>
  </si>
  <si>
    <t xml:space="preserve">BLOCKED</t>
  </si>
  <si>
    <t xml:space="preserve">CÒN LẠI</t>
  </si>
  <si>
    <t xml:space="preserve">theo ngày công</t>
  </si>
  <si>
    <t xml:space="preserve">trong WBS</t>
  </si>
  <si>
    <t xml:space="preserve">Done</t>
  </si>
  <si>
    <t xml:space="preserve">In Progress</t>
  </si>
  <si>
    <t xml:space="preserve">quá Tuần KT</t>
  </si>
  <si>
    <t xml:space="preserve">đang bị chặn</t>
  </si>
  <si>
    <t xml:space="preserve">To Do</t>
  </si>
  <si>
    <t xml:space="preserve">API · UX · THỜI GIAN</t>
  </si>
  <si>
    <t xml:space="preserve">API DEV XONG</t>
  </si>
  <si>
    <t xml:space="preserve">% API XONG</t>
  </si>
  <si>
    <t xml:space="preserve">API TEST PASS</t>
  </si>
  <si>
    <t xml:space="preserve">API TEST FAIL</t>
  </si>
  <si>
    <t xml:space="preserve">UX ĐÃ XỬ LÝ</t>
  </si>
  <si>
    <t xml:space="preserve">TUẦN HIỆN TẠI</t>
  </si>
  <si>
    <t xml:space="preserve">ĐẾN PRODUCTION</t>
  </si>
  <si>
    <t xml:space="preserve">endpoint</t>
  </si>
  <si>
    <t xml:space="preserve">Dev Done</t>
  </si>
  <si>
    <t xml:space="preserve">đã kiểm thử đạt</t>
  </si>
  <si>
    <t xml:space="preserve">cần sửa</t>
  </si>
  <si>
    <t xml:space="preserve">backlog sheet 04</t>
  </si>
  <si>
    <t xml:space="preserve">của dự án</t>
  </si>
  <si>
    <t xml:space="preserve">ngày còn lại</t>
  </si>
  <si>
    <t xml:space="preserve">TIẾN ĐỘ THEO GIAI ĐOẠN (PHASE)</t>
  </si>
  <si>
    <t xml:space="preserve">Giai đoạn</t>
  </si>
  <si>
    <t xml:space="preserve">Tuần</t>
  </si>
  <si>
    <t xml:space="preserve">Số task</t>
  </si>
  <si>
    <t xml:space="preserve">Trễ hạn</t>
  </si>
  <si>
    <t xml:space="preserve">% hoàn thành</t>
  </si>
  <si>
    <t xml:space="preserve">TỔNG</t>
  </si>
  <si>
    <t xml:space="preserve">TIẾN ĐỘ THEO MODULE (EPIC)</t>
  </si>
  <si>
    <t xml:space="preserve">Module</t>
  </si>
  <si>
    <t xml:space="preserve">Blocked</t>
  </si>
  <si>
    <t xml:space="preserve">TIẾN ĐỘ API THEO MODULE</t>
  </si>
  <si>
    <t xml:space="preserve">Module API</t>
  </si>
  <si>
    <t xml:space="preserve">Tổng API</t>
  </si>
  <si>
    <t xml:space="preserve">Test Pass</t>
  </si>
  <si>
    <t xml:space="preserve">Test Fail</t>
  </si>
  <si>
    <t xml:space="preserve">P2 (mở rộng)</t>
  </si>
  <si>
    <t xml:space="preserve">% Dev xong</t>
  </si>
  <si>
    <t xml:space="preserve">MILESTONE</t>
  </si>
  <si>
    <t xml:space="preserve">Ngày</t>
  </si>
  <si>
    <t xml:space="preserve">Task đến mốc</t>
  </si>
  <si>
    <t xml:space="preserve">Đã xong</t>
  </si>
  <si>
    <t xml:space="preserve">% đạt</t>
  </si>
  <si>
    <t xml:space="preserve">Trạng thái</t>
  </si>
  <si>
    <t xml:space="preserve">KHỐI LƯỢNG THEO THÀNH VIÊN</t>
  </si>
  <si>
    <t xml:space="preserve">Thành viên</t>
  </si>
  <si>
    <t xml:space="preserve">Ngày công</t>
  </si>
  <si>
    <t xml:space="preserve">Vai trò</t>
  </si>
  <si>
    <t xml:space="preserve">01 — WBS &amp; MASTER PLAN · 4TMUSIC</t>
  </si>
  <si>
    <t xml:space="preserve">Ô nền trắng: nhập liệu (dùng dropdown). Cột xám J, O–R: công thức tự động — không sửa. Số ngày = số tuần × 5 ngày làm việc. Trạng thái Done được tính 100% dù cột % chưa nhập.</t>
  </si>
  <si>
    <t xml:space="preserve">Mã WBS</t>
  </si>
  <si>
    <t xml:space="preserve">Giai đoạn (Phase)</t>
  </si>
  <si>
    <t xml:space="preserve">Module (Epic)</t>
  </si>
  <si>
    <t xml:space="preserve">Công việc chi tiết (Task)</t>
  </si>
  <si>
    <t xml:space="preserve">Người phụ trách</t>
  </si>
  <si>
    <t xml:space="preserve">Loại công việc</t>
  </si>
  <si>
    <t xml:space="preserve">Ưu tiên</t>
  </si>
  <si>
    <t xml:space="preserve">Tuần BĐ</t>
  </si>
  <si>
    <t xml:space="preserve">Tuần KT</t>
  </si>
  <si>
    <t xml:space="preserve">Số ngày dự kiến</t>
  </si>
  <si>
    <t xml:space="preserve">% Hoàn thành</t>
  </si>
  <si>
    <t xml:space="preserve">Kết quả bàn giao (Deliverable)</t>
  </si>
  <si>
    <t xml:space="preserve">Ghi chú</t>
  </si>
  <si>
    <t xml:space="preserve">Ngày BĐ</t>
  </si>
  <si>
    <t xml:space="preserve">Ngày KT</t>
  </si>
  <si>
    <t xml:space="preserve">Cảnh báo</t>
  </si>
  <si>
    <t xml:space="preserve">Ngày công đã xong</t>
  </si>
  <si>
    <t xml:space="preserve">0.1</t>
  </si>
  <si>
    <t xml:space="preserve">GĐ0: Khởi động &amp; nền tảng</t>
  </si>
  <si>
    <t xml:space="preserve">Nền tảng &amp; Hạ tầng</t>
  </si>
  <si>
    <t xml:space="preserve">Học: web hoạt động thế nào — client/server, DNS, HTTP request/response, status code</t>
  </si>
  <si>
    <t xml:space="preserve">Nhật</t>
  </si>
  <si>
    <t xml:space="preserve">Học tập</t>
  </si>
  <si>
    <t xml:space="preserve">High</t>
  </si>
  <si>
    <t xml:space="preserve">Ghi chú kiến thức (Notion/Markdown)</t>
  </si>
  <si>
    <t xml:space="preserve">MDN "How the web works"; roadmap.sh</t>
  </si>
  <si>
    <t xml:space="preserve">0.2</t>
  </si>
  <si>
    <t xml:space="preserve">Cài môi trường: VS Code (Prettier, ESLint), Node.js LTS, Git, Postman, Chrome DevTools</t>
  </si>
  <si>
    <t xml:space="preserve">DevOps</t>
  </si>
  <si>
    <t xml:space="preserve">Môi trường dev chạy được</t>
  </si>
  <si>
    <t xml:space="preserve">0.3</t>
  </si>
  <si>
    <t xml:space="preserve">Học Git cơ bản; tạo repo GitHub 4TMusic (client/ + server/), README, .gitignore</t>
  </si>
  <si>
    <t xml:space="preserve">Repo + commit đầu tiên</t>
  </si>
  <si>
    <t xml:space="preserve">Commit mỗi ngày</t>
  </si>
  <si>
    <t xml:space="preserve">0.4</t>
  </si>
  <si>
    <t xml:space="preserve">Viết tài liệu yêu cầu rút gọn: tính năng, vai trò (Khách, User, Artist, Admin), phạm vi P1/P2</t>
  </si>
  <si>
    <t xml:space="preserve">Docs</t>
  </si>
  <si>
    <t xml:space="preserve">SRS rút gọn v0.1</t>
  </si>
  <si>
    <t xml:space="preserve">0.5</t>
  </si>
  <si>
    <t xml:space="preserve">Giao diện chung (Layout/Theme)</t>
  </si>
  <si>
    <t xml:space="preserve">Phác wireframe: Trang chủ, Tìm kiếm, Album, Nghệ sĩ, Playlist, Thư viện, Player bar, Now Playing</t>
  </si>
  <si>
    <t xml:space="preserve">UI</t>
  </si>
  <si>
    <t xml:space="preserve">Medium</t>
  </si>
  <si>
    <t xml:space="preserve">Wireframe Figma</t>
  </si>
  <si>
    <t xml:space="preserve">Tham khảo bố cục app nghe nhạc phổ biến</t>
  </si>
  <si>
    <t xml:space="preserve">0.6</t>
  </si>
  <si>
    <t xml:space="preserve">Streaming &amp; Lưu trữ</t>
  </si>
  <si>
    <t xml:space="preserve">Chốt nguồn nhạc hợp pháp: đăng ký Jamendo API, tải 20–30 bài Creative Commons, lập bảng giấy phép</t>
  </si>
  <si>
    <t xml:space="preserve">Bộ nhạc mẫu + bảng license</t>
  </si>
  <si>
    <t xml:space="preserve">Chỉ cho tải offline bài có license cho phép</t>
  </si>
  <si>
    <t xml:space="preserve">1.1</t>
  </si>
  <si>
    <t xml:space="preserve">GĐ1: Giao diện tĩnh (HTML/CSS)</t>
  </si>
  <si>
    <t xml:space="preserve">Học HTML ngữ nghĩa &amp; CSS cơ bản (selector, box model, đơn vị)</t>
  </si>
  <si>
    <t xml:space="preserve">Bài tập nhỏ</t>
  </si>
  <si>
    <t xml:space="preserve">MDN Learn HTML/CSS</t>
  </si>
  <si>
    <t xml:space="preserve">1.2</t>
  </si>
  <si>
    <t xml:space="preserve">Học Flexbox, Grid, responsive (media query, mobile-first)</t>
  </si>
  <si>
    <t xml:space="preserve">Bài tập Flexbox Froggy/Grid Garden</t>
  </si>
  <si>
    <t xml:space="preserve">1.3</t>
  </si>
  <si>
    <t xml:space="preserve">Dựng layout tĩnh: sidebar menu, header + ô tìm kiếm, vùng nội dung</t>
  </si>
  <si>
    <t xml:space="preserve">index.html + style.css</t>
  </si>
  <si>
    <t xml:space="preserve">1.4</t>
  </si>
  <si>
    <t xml:space="preserve">Tìm kiếm &amp; Khám phá</t>
  </si>
  <si>
    <t xml:space="preserve">Dựng trang chủ tĩnh: lưới album, danh sách bài nổi bật, thể loại</t>
  </si>
  <si>
    <t xml:space="preserve">Trang chủ tĩnh</t>
  </si>
  <si>
    <t xml:space="preserve">1.5</t>
  </si>
  <si>
    <t xml:space="preserve">Phát nhạc &amp; Player</t>
  </si>
  <si>
    <t xml:space="preserve">Dựng thanh Player cố định dưới màn hình (ảnh bìa, tên bài, nút, thanh tiến trình)</t>
  </si>
  <si>
    <t xml:space="preserve">Player bar tĩnh</t>
  </si>
  <si>
    <t xml:space="preserve">Thử &lt;audio controls&gt; phát 1 bài CC</t>
  </si>
  <si>
    <t xml:space="preserve">1.6</t>
  </si>
  <si>
    <t xml:space="preserve">Giao diện Sáng/Tối bằng CSS variables</t>
  </si>
  <si>
    <t xml:space="preserve">Low</t>
  </si>
  <si>
    <t xml:space="preserve">Theme toggle</t>
  </si>
  <si>
    <t xml:space="preserve">1.7</t>
  </si>
  <si>
    <t xml:space="preserve">Kiểm tra responsive ở 3 kích thước (mobile/tablet/laptop)</t>
  </si>
  <si>
    <t xml:space="preserve">Testing</t>
  </si>
  <si>
    <t xml:space="preserve">Checklist responsive</t>
  </si>
  <si>
    <t xml:space="preserve">2.1</t>
  </si>
  <si>
    <t xml:space="preserve">GĐ2: Trình phát nhạc (JavaScript)</t>
  </si>
  <si>
    <t xml:space="preserve">Học JavaScript cơ bản: biến, hàm, mảng, object, map/filter</t>
  </si>
  <si>
    <t xml:space="preserve">Bài tập javascript.info</t>
  </si>
  <si>
    <t xml:space="preserve">2.2</t>
  </si>
  <si>
    <t xml:space="preserve">Học DOM, sự kiện, fetch, Promise, async/await</t>
  </si>
  <si>
    <t xml:space="preserve">Bài tập DOM</t>
  </si>
  <si>
    <t xml:space="preserve">2.3</t>
  </si>
  <si>
    <t xml:space="preserve">Player JS thuần: play/pause, thanh tua, thời gian, âm lượng (HTMLAudioElement)</t>
  </si>
  <si>
    <t xml:space="preserve">FE</t>
  </si>
  <si>
    <t xml:space="preserve">player.js</t>
  </si>
  <si>
    <t xml:space="preserve">Sự kiện timeupdate, ended</t>
  </si>
  <si>
    <t xml:space="preserve">2.4</t>
  </si>
  <si>
    <t xml:space="preserve">Danh sách bài lấy từ songs.json (fetch), bấm bài để phát</t>
  </si>
  <si>
    <t xml:space="preserve">Song list động</t>
  </si>
  <si>
    <t xml:space="preserve">2.5</t>
  </si>
  <si>
    <t xml:space="preserve">Next/Prev, Shuffle, Repeat (one/all), tự chuyển bài khi hết</t>
  </si>
  <si>
    <t xml:space="preserve">Điều khiển phát đầy đủ</t>
  </si>
  <si>
    <t xml:space="preserve">2.6</t>
  </si>
  <si>
    <t xml:space="preserve">Hàng đợi phát (queue): thêm, xóa, phát tiếp theo</t>
  </si>
  <si>
    <t xml:space="preserve">Queue panel</t>
  </si>
  <si>
    <t xml:space="preserve">2.7</t>
  </si>
  <si>
    <t xml:space="preserve">Kiểm thử player trên Chrome, Firefox, điện thoại</t>
  </si>
  <si>
    <t xml:space="preserve">Bug list</t>
  </si>
  <si>
    <t xml:space="preserve">3.1</t>
  </si>
  <si>
    <t xml:space="preserve">GĐ3: Frontend React</t>
  </si>
  <si>
    <t xml:space="preserve">Học React: component, props, state, hooks; khởi tạo project Vite</t>
  </si>
  <si>
    <t xml:space="preserve">Project client/ chạy được</t>
  </si>
  <si>
    <t xml:space="preserve">react.dev Learn</t>
  </si>
  <si>
    <t xml:space="preserve">3.2</t>
  </si>
  <si>
    <t xml:space="preserve">Cài Tailwind + React Router; layout chung Sidebar + Outlet + PlayerBar</t>
  </si>
  <si>
    <t xml:space="preserve">App shell</t>
  </si>
  <si>
    <t xml:space="preserve">Player nằm ngoài &lt;Outlet&gt; để không bị reset</t>
  </si>
  <si>
    <t xml:space="preserve">3.3</t>
  </si>
  <si>
    <t xml:space="preserve">Chuyển player sang React: store Zustand (bài hiện tại, queue, trạng thái), hook usePlayer</t>
  </si>
  <si>
    <t xml:space="preserve">usePlayer + playerStore</t>
  </si>
  <si>
    <t xml:space="preserve">3.4</t>
  </si>
  <si>
    <t xml:space="preserve">Trang Home, Album, Nghệ sĩ, Thể loại với dữ liệu mock</t>
  </si>
  <si>
    <t xml:space="preserve">4 trang chính</t>
  </si>
  <si>
    <t xml:space="preserve">3.5</t>
  </si>
  <si>
    <t xml:space="preserve">Trang Tìm kiếm: lọc theo tên bài/nghệ sĩ phía frontend</t>
  </si>
  <si>
    <t xml:space="preserve">Search page</t>
  </si>
  <si>
    <t xml:space="preserve">3.6</t>
  </si>
  <si>
    <t xml:space="preserve">Media Session API: điều khiển từ màn hình khóa / tai nghe</t>
  </si>
  <si>
    <t xml:space="preserve">Media controls</t>
  </si>
  <si>
    <t xml:space="preserve">3.7</t>
  </si>
  <si>
    <t xml:space="preserve">Kiểm thử: nhạc phát liên tục khi chuyển trang</t>
  </si>
  <si>
    <t xml:space="preserve">Test case pass</t>
  </si>
  <si>
    <t xml:space="preserve">4.1</t>
  </si>
  <si>
    <t xml:space="preserve">GĐ4: Backend &amp; Streaming API</t>
  </si>
  <si>
    <t xml:space="preserve">Học Node.js, Express, REST API, middleware</t>
  </si>
  <si>
    <t xml:space="preserve">Ghi chú + demo</t>
  </si>
  <si>
    <t xml:space="preserve">Express Guide</t>
  </si>
  <si>
    <t xml:space="preserve">4.2</t>
  </si>
  <si>
    <t xml:space="preserve">Khởi tạo server/: routes-controllers-services, .env, CORS, xử lý lỗi tập trung</t>
  </si>
  <si>
    <t xml:space="preserve">BE</t>
  </si>
  <si>
    <t xml:space="preserve">Server skeleton</t>
  </si>
  <si>
    <t xml:space="preserve">4.3</t>
  </si>
  <si>
    <t xml:space="preserve">API catalog: GET /songs, /songs/:id, /albums, /artists (dữ liệu tạm trong code)</t>
  </si>
  <si>
    <t xml:space="preserve">API</t>
  </si>
  <si>
    <t xml:space="preserve">Catalog API v0</t>
  </si>
  <si>
    <t xml:space="preserve">4.4</t>
  </si>
  <si>
    <t xml:space="preserve">API stream mp3 hỗ trợ HTTP Range (206 Partial Content)</t>
  </si>
  <si>
    <t xml:space="preserve">GET /api/stream/:id</t>
  </si>
  <si>
    <t xml:space="preserve">Tự viết xử lý Range, không chỉ res.sendFile</t>
  </si>
  <si>
    <t xml:space="preserve">4.5</t>
  </si>
  <si>
    <t xml:space="preserve">Frontend gọi API thật bằng TanStack Query thay cho mock</t>
  </si>
  <si>
    <t xml:space="preserve">FE nối BE</t>
  </si>
  <si>
    <t xml:space="preserve">4.6</t>
  </si>
  <si>
    <t xml:space="preserve">Chuẩn hóa API contract: {data, message, pagination}, mã lỗi, tài liệu endpoint</t>
  </si>
  <si>
    <t xml:space="preserve">API contract</t>
  </si>
  <si>
    <t xml:space="preserve">Cập nhật sheet 03</t>
  </si>
  <si>
    <t xml:space="preserve">4.7</t>
  </si>
  <si>
    <t xml:space="preserve">Kiểm thử API bằng Postman; tua giữa bài trả 206</t>
  </si>
  <si>
    <t xml:space="preserve">Postman collection</t>
  </si>
  <si>
    <t xml:space="preserve">5.1</t>
  </si>
  <si>
    <t xml:space="preserve">GĐ5: Database &amp; dữ liệu nhạc</t>
  </si>
  <si>
    <t xml:space="preserve">Học SQL: SELECT, JOIN, GROUP BY, khóa chính/ngoại, index</t>
  </si>
  <si>
    <t xml:space="preserve">Bài tập SQLBolt</t>
  </si>
  <si>
    <t xml:space="preserve">5.2</t>
  </si>
  <si>
    <t xml:space="preserve">Thiết kế ERD: users, artists, albums, songs, song_artists, genres, playlists, playlist_songs, likes, follows, listen_history, downloads, lyrics</t>
  </si>
  <si>
    <t xml:space="preserve">Database</t>
  </si>
  <si>
    <t xml:space="preserve">ERD draw.io + SQL</t>
  </si>
  <si>
    <t xml:space="preserve">5.3</t>
  </si>
  <si>
    <t xml:space="preserve">Cài Prisma: schema, migration MySQL</t>
  </si>
  <si>
    <t xml:space="preserve">schema.prisma</t>
  </si>
  <si>
    <t xml:space="preserve">5.4</t>
  </si>
  <si>
    <t xml:space="preserve">Seed 50 bài nhạc CC kèm nghệ sĩ, album, thể loại, giấy phép</t>
  </si>
  <si>
    <t xml:space="preserve">Seed script</t>
  </si>
  <si>
    <t xml:space="preserve">Ghi rõ tác giả + license</t>
  </si>
  <si>
    <t xml:space="preserve">5.5</t>
  </si>
  <si>
    <t xml:space="preserve">Chuyển API catalog sang MySQL, có phân trang &amp; sắp xếp</t>
  </si>
  <si>
    <t xml:space="preserve">Catalog API v1</t>
  </si>
  <si>
    <t xml:space="preserve">5.6</t>
  </si>
  <si>
    <t xml:space="preserve">Tìm kiếm FULLTEXT theo bài/nghệ sĩ/album + gợi ý khi gõ</t>
  </si>
  <si>
    <t xml:space="preserve">Search API</t>
  </si>
  <si>
    <t xml:space="preserve">5.7</t>
  </si>
  <si>
    <t xml:space="preserve">Trang Thể loại &amp; Khám phá dùng dữ liệu thật</t>
  </si>
  <si>
    <t xml:space="preserve">Explore page</t>
  </si>
  <si>
    <t xml:space="preserve">5.8</t>
  </si>
  <si>
    <t xml:space="preserve">Kiểm thử tích hợp FE–BE–DB; Release Alpha nội bộ</t>
  </si>
  <si>
    <t xml:space="preserve">Bản Alpha</t>
  </si>
  <si>
    <t xml:space="preserve">Milestone Alpha</t>
  </si>
  <si>
    <t xml:space="preserve">6.1</t>
  </si>
  <si>
    <t xml:space="preserve">GĐ6: Tài khoản &amp; thư viện cá nhân</t>
  </si>
  <si>
    <t xml:space="preserve">Xác thực &amp; Người dùng</t>
  </si>
  <si>
    <t xml:space="preserve">Học bcrypt, JWT (access/refresh), httpOnly cookie</t>
  </si>
  <si>
    <t xml:space="preserve">OWASP Auth Cheat Sheet</t>
  </si>
  <si>
    <t xml:space="preserve">6.2</t>
  </si>
  <si>
    <t xml:space="preserve">API đăng ký, đăng nhập, refresh, đăng xuất, quên mật khẩu (OTP email)</t>
  </si>
  <si>
    <t xml:space="preserve">Auth API</t>
  </si>
  <si>
    <t xml:space="preserve">6.3</t>
  </si>
  <si>
    <t xml:space="preserve">Middleware xác thực + phân quyền User/Artist/Admin; validate Zod</t>
  </si>
  <si>
    <t xml:space="preserve">authGuard, roleGuard</t>
  </si>
  <si>
    <t xml:space="preserve">6.4</t>
  </si>
  <si>
    <t xml:space="preserve">Trang đăng ký/đăng nhập/hồ sơ; upload avatar (Multer)</t>
  </si>
  <si>
    <t xml:space="preserve">Auth UI</t>
  </si>
  <si>
    <t xml:space="preserve">6.5</t>
  </si>
  <si>
    <t xml:space="preserve">Playlist</t>
  </si>
  <si>
    <t xml:space="preserve">API Playlist: tạo/sửa/xóa, thêm/xóa/sắp xếp bài, ảnh bìa</t>
  </si>
  <si>
    <t xml:space="preserve">Playlist API</t>
  </si>
  <si>
    <t xml:space="preserve">6.6</t>
  </si>
  <si>
    <t xml:space="preserve">UI Playlist: tạo, thêm bài từ menu ⋯, kéo-thả sắp xếp</t>
  </si>
  <si>
    <t xml:space="preserve">Playlist UI</t>
  </si>
  <si>
    <t xml:space="preserve">6.7</t>
  </si>
  <si>
    <t xml:space="preserve">Thư viện cá nhân</t>
  </si>
  <si>
    <t xml:space="preserve">Yêu thích bài/album, theo dõi nghệ sĩ; trang Thư viện</t>
  </si>
  <si>
    <t xml:space="preserve">Library page</t>
  </si>
  <si>
    <t xml:space="preserve">6.8</t>
  </si>
  <si>
    <t xml:space="preserve">Ghi lịch sử nghe + trang Nghe gần đây</t>
  </si>
  <si>
    <t xml:space="preserve">History API + UI</t>
  </si>
  <si>
    <t xml:space="preserve">6.9</t>
  </si>
  <si>
    <t xml:space="preserve">Kiểm thử bảo mật auth: token hết hạn, truy cập trái quyền → 401/403</t>
  </si>
  <si>
    <t xml:space="preserve">Test report</t>
  </si>
  <si>
    <t xml:space="preserve">7.1</t>
  </si>
  <si>
    <t xml:space="preserve">GĐ7: Cloud, Admin &amp; Artist Panel</t>
  </si>
  <si>
    <t xml:space="preserve">Học &amp; cấu hình Cloudflare R2 / S3, presigned URL</t>
  </si>
  <si>
    <t xml:space="preserve">Bucket + key</t>
  </si>
  <si>
    <t xml:space="preserve">7.2</t>
  </si>
  <si>
    <t xml:space="preserve">Chuyển mp3 + ảnh bìa lên R2; DB chỉ lưu object key</t>
  </si>
  <si>
    <t xml:space="preserve">Storage service</t>
  </si>
  <si>
    <t xml:space="preserve">7.3</t>
  </si>
  <si>
    <t xml:space="preserve">FFmpeg: lấy thời lượng, nén 128/320 kbps</t>
  </si>
  <si>
    <t xml:space="preserve">Audio pipeline</t>
  </si>
  <si>
    <t xml:space="preserve">7.4</t>
  </si>
  <si>
    <t xml:space="preserve">Admin / Artist Panel</t>
  </si>
  <si>
    <t xml:space="preserve">Admin Panel: quản lý bài hát, album, nghệ sĩ, thể loại, người dùng</t>
  </si>
  <si>
    <t xml:space="preserve">Admin UI</t>
  </si>
  <si>
    <t xml:space="preserve">7.5</t>
  </si>
  <si>
    <t xml:space="preserve">Artist Panel: nghệ sĩ upload bài, cam kết bản quyền, chờ duyệt</t>
  </si>
  <si>
    <t xml:space="preserve">Artist UI</t>
  </si>
  <si>
    <t xml:space="preserve">7.6</t>
  </si>
  <si>
    <t xml:space="preserve">API duyệt/ẩn bài vi phạm + nhật ký kiểm duyệt</t>
  </si>
  <si>
    <t xml:space="preserve">Moderation API</t>
  </si>
  <si>
    <t xml:space="preserve">7.7</t>
  </si>
  <si>
    <t xml:space="preserve">Beta test với 5–10 người dùng thật, thu phản hồi vào sheet 04</t>
  </si>
  <si>
    <t xml:space="preserve">Bản Beta + feedback</t>
  </si>
  <si>
    <t xml:space="preserve">Milestone Beta</t>
  </si>
  <si>
    <t xml:space="preserve">8.1</t>
  </si>
  <si>
    <t xml:space="preserve">GĐ8: Offline PWA &amp; lời bài hát</t>
  </si>
  <si>
    <t xml:space="preserve">Offline &amp; Tải xuống</t>
  </si>
  <si>
    <t xml:space="preserve">Học PWA: manifest, Service Worker, Cache API, IndexedDB, storage quota</t>
  </si>
  <si>
    <t xml:space="preserve">web.dev Learn PWA</t>
  </si>
  <si>
    <t xml:space="preserve">8.2</t>
  </si>
  <si>
    <t xml:space="preserve">Cấu hình vite-plugin-pwa (Workbox); cài app lên màn hình chính</t>
  </si>
  <si>
    <t xml:space="preserve">Installable PWA</t>
  </si>
  <si>
    <t xml:space="preserve">8.3</t>
  </si>
  <si>
    <t xml:space="preserve">Nút Tải xuống bài/playlist: lưu audio vào Cache/IndexedDB (chỉ bài license cho phép)</t>
  </si>
  <si>
    <t xml:space="preserve">Download manager</t>
  </si>
  <si>
    <t xml:space="preserve">8.4</t>
  </si>
  <si>
    <t xml:space="preserve">Trang Đã tải xuống: dung lượng đã dùng, xóa bản tải</t>
  </si>
  <si>
    <t xml:space="preserve">Downloads page</t>
  </si>
  <si>
    <t xml:space="preserve">8.5</t>
  </si>
  <si>
    <t xml:space="preserve">Tự phát bản offline khi mất mạng; banner trạng thái mạng</t>
  </si>
  <si>
    <t xml:space="preserve">Offline playback</t>
  </si>
  <si>
    <t xml:space="preserve">8.6</t>
  </si>
  <si>
    <t xml:space="preserve">Lời bài hát / Karaoke</t>
  </si>
  <si>
    <t xml:space="preserve">Lưu lyric dạng .lrc; API GET /lyrics/:songId</t>
  </si>
  <si>
    <t xml:space="preserve">Lyrics API</t>
  </si>
  <si>
    <t xml:space="preserve">8.7</t>
  </si>
  <si>
    <t xml:space="preserve">Lời đồng bộ: tô sáng dòng đang hát (karaoke), tự cuộn, bấm dòng để tua</t>
  </si>
  <si>
    <t xml:space="preserve">Lyrics view</t>
  </si>
  <si>
    <t xml:space="preserve">8.8</t>
  </si>
  <si>
    <t xml:space="preserve">Kiểm thử chế độ máy bay trên Android, iOS, desktop</t>
  </si>
  <si>
    <t xml:space="preserve">9.1</t>
  </si>
  <si>
    <t xml:space="preserve">GĐ9: Bảo mật, triển khai &amp; Release</t>
  </si>
  <si>
    <t xml:space="preserve">Triển khai &amp; DevOps</t>
  </si>
  <si>
    <t xml:space="preserve">Học Docker, deploy, CI/CD</t>
  </si>
  <si>
    <t xml:space="preserve">9.2</t>
  </si>
  <si>
    <t xml:space="preserve">Bảo mật: helmet, rate limit, CORS whitelist, chống XSS/SQL injection</t>
  </si>
  <si>
    <t xml:space="preserve">Security checklist</t>
  </si>
  <si>
    <t xml:space="preserve">OWASP Top 10</t>
  </si>
  <si>
    <t xml:space="preserve">9.3</t>
  </si>
  <si>
    <t xml:space="preserve">Thống kê &amp; Xếp hạng</t>
  </si>
  <si>
    <t xml:space="preserve">Đếm lượt nghe + bảng xếp hạng tuần (cache Redis)</t>
  </si>
  <si>
    <t xml:space="preserve">Charts API</t>
  </si>
  <si>
    <t xml:space="preserve">9.4</t>
  </si>
  <si>
    <t xml:space="preserve">Trang Bảng xếp hạng + gợi ý theo thể loại hay nghe</t>
  </si>
  <si>
    <t xml:space="preserve">Charts page</t>
  </si>
  <si>
    <t xml:space="preserve">9.5</t>
  </si>
  <si>
    <t xml:space="preserve">Admin dashboard: lượt nghe, người dùng mới, top bài</t>
  </si>
  <si>
    <t xml:space="preserve">Admin analytics</t>
  </si>
  <si>
    <t xml:space="preserve">9.6</t>
  </si>
  <si>
    <t xml:space="preserve">Docker hóa app + MySQL + Redis (docker-compose)</t>
  </si>
  <si>
    <t xml:space="preserve">docker-compose.yml</t>
  </si>
  <si>
    <t xml:space="preserve">9.7</t>
  </si>
  <si>
    <t xml:space="preserve">Deploy FE Vercel, BE Render/Railway, DB cloud; tên miền + HTTPS</t>
  </si>
  <si>
    <t xml:space="preserve">Link công khai</t>
  </si>
  <si>
    <t xml:space="preserve">9.8</t>
  </si>
  <si>
    <t xml:space="preserve">GitHub Actions: lint, test, tự deploy</t>
  </si>
  <si>
    <t xml:space="preserve">CI/CD pipeline</t>
  </si>
  <si>
    <t xml:space="preserve">9.9</t>
  </si>
  <si>
    <t xml:space="preserve">Kiểm thử hồi quy toàn hệ thống, sửa lỗi tồn đọng</t>
  </si>
  <si>
    <t xml:space="preserve">Bug list = 0 High</t>
  </si>
  <si>
    <t xml:space="preserve">9.10</t>
  </si>
  <si>
    <t xml:space="preserve">README, ảnh chụp, video demo; Release Production</t>
  </si>
  <si>
    <t xml:space="preserve">Bản Production</t>
  </si>
  <si>
    <t xml:space="preserve">Milestone Production</t>
  </si>
  <si>
    <t xml:space="preserve">02 — GANTT CHART TỰ ĐỘNG · 4TMUSIC</t>
  </si>
  <si>
    <t xml:space="preserve">Tự lấy dữ liệu từ sheet 01 (không nhập tay ở đây). Thanh màu tự cập nhật theo Tuần BĐ/KT, % hoàn thành và ngày hôm nay.</t>
  </si>
  <si>
    <t xml:space="preserve">Tuần hiện tại:</t>
  </si>
  <si>
    <t xml:space="preserve">Kế hoạch</t>
  </si>
  <si>
    <t xml:space="preserve">Đã hoàn thành</t>
  </si>
  <si>
    <t xml:space="preserve">Tuần hiện tại</t>
  </si>
  <si>
    <t xml:space="preserve">◆ Milestone</t>
  </si>
  <si>
    <t xml:space="preserve">Công việc</t>
  </si>
  <si>
    <t xml:space="preserve">Phụ trách</t>
  </si>
  <si>
    <t xml:space="preserve">% HT</t>
  </si>
  <si>
    <t xml:space="preserve">Ngày bắt đầu tuần →</t>
  </si>
  <si>
    <t xml:space="preserve">Milestone →</t>
  </si>
  <si>
    <t xml:space="preserve">03 — API CHECKLIST &amp; TESTING · 4TMUSIC</t>
  </si>
  <si>
    <t xml:space="preserve">STT</t>
  </si>
  <si>
    <t xml:space="preserve">Module / Context Path</t>
  </si>
  <si>
    <t xml:space="preserve">Method</t>
  </si>
  <si>
    <t xml:space="preserve">Endpoint</t>
  </si>
  <si>
    <t xml:space="preserve">Mô tả chức năng</t>
  </si>
  <si>
    <t xml:space="preserve">Quyền truy cập</t>
  </si>
  <si>
    <t xml:space="preserve">Phase</t>
  </si>
  <si>
    <t xml:space="preserve">Trạng thái Dev</t>
  </si>
  <si>
    <t xml:space="preserve">Trạng thái Test</t>
  </si>
  <si>
    <t xml:space="preserve">Ghi chú / Response Code</t>
  </si>
  <si>
    <t xml:space="preserve">Auth — /api/auth</t>
  </si>
  <si>
    <t xml:space="preserve">POST</t>
  </si>
  <si>
    <t xml:space="preserve">/api/auth/register</t>
  </si>
  <si>
    <t xml:space="preserve">Đăng ký tài khoản (email, mật khẩu, tên hiển thị)</t>
  </si>
  <si>
    <t xml:space="preserve">Public</t>
  </si>
  <si>
    <t xml:space="preserve">P1</t>
  </si>
  <si>
    <t xml:space="preserve">Chưa test</t>
  </si>
  <si>
    <t xml:space="preserve">201 Created; 409 email đã tồn tại; 422 dữ liệu sai</t>
  </si>
  <si>
    <t xml:space="preserve">/api/auth/login</t>
  </si>
  <si>
    <t xml:space="preserve">Đăng nhập, trả access token + refresh token (httpOnly cookie)</t>
  </si>
  <si>
    <t xml:space="preserve">200; 401 sai thông tin; 429 sai 5 lần → khóa 5 phút</t>
  </si>
  <si>
    <t xml:space="preserve">/api/auth/refresh</t>
  </si>
  <si>
    <t xml:space="preserve">Làm mới access token</t>
  </si>
  <si>
    <t xml:space="preserve">200; 401 refresh token hết hạn</t>
  </si>
  <si>
    <t xml:space="preserve">/api/auth/logout</t>
  </si>
  <si>
    <t xml:space="preserve">Đăng xuất, thu hồi refresh token</t>
  </si>
  <si>
    <t xml:space="preserve">User</t>
  </si>
  <si>
    <t xml:space="preserve">204</t>
  </si>
  <si>
    <t xml:space="preserve">/api/auth/forgot-password</t>
  </si>
  <si>
    <t xml:space="preserve">Gửi OTP đặt lại mật khẩu qua email</t>
  </si>
  <si>
    <t xml:space="preserve">200 (luôn trả 200 để tránh dò email)</t>
  </si>
  <si>
    <t xml:space="preserve">/api/auth/reset-password</t>
  </si>
  <si>
    <t xml:space="preserve">Đặt lại mật khẩu bằng OTP</t>
  </si>
  <si>
    <t xml:space="preserve">200; 400 OTP sai/hết hạn (10 phút)</t>
  </si>
  <si>
    <t xml:space="preserve">GET</t>
  </si>
  <si>
    <t xml:space="preserve">/api/auth/me</t>
  </si>
  <si>
    <t xml:space="preserve">Thông tin người dùng hiện tại + vai trò</t>
  </si>
  <si>
    <t xml:space="preserve">200; 401</t>
  </si>
  <si>
    <t xml:space="preserve">/api/auth/google</t>
  </si>
  <si>
    <t xml:space="preserve">Đăng nhập bằng Google (OAuth2)</t>
  </si>
  <si>
    <t xml:space="preserve">P2</t>
  </si>
  <si>
    <t xml:space="preserve">Users — /api/users</t>
  </si>
  <si>
    <t xml:space="preserve">PUT</t>
  </si>
  <si>
    <t xml:space="preserve">/api/users/me</t>
  </si>
  <si>
    <t xml:space="preserve">Cập nhật hồ sơ (tên hiển thị, bio)</t>
  </si>
  <si>
    <t xml:space="preserve">200; 422</t>
  </si>
  <si>
    <t xml:space="preserve">/api/users/me/avatar</t>
  </si>
  <si>
    <t xml:space="preserve">Upload ảnh đại diện (multipart, Multer)</t>
  </si>
  <si>
    <t xml:space="preserve">200; 413 file quá lớn; 415 sai định dạng</t>
  </si>
  <si>
    <t xml:space="preserve">/api/users/me/password</t>
  </si>
  <si>
    <t xml:space="preserve">Đổi mật khẩu (bcrypt)</t>
  </si>
  <si>
    <t xml:space="preserve">200; 400 mật khẩu cũ sai</t>
  </si>
  <si>
    <t xml:space="preserve">/api/users/me/settings</t>
  </si>
  <si>
    <t xml:space="preserve">Lấy cài đặt: giao diện sáng/tối, chất lượng phát, ngôn ngữ</t>
  </si>
  <si>
    <t xml:space="preserve">200</t>
  </si>
  <si>
    <t xml:space="preserve">Lưu cài đặt cá nhân</t>
  </si>
  <si>
    <t xml:space="preserve">/api/users/:id</t>
  </si>
  <si>
    <t xml:space="preserve">Hồ sơ công khai + playlist công khai</t>
  </si>
  <si>
    <t xml:space="preserve">200; 404</t>
  </si>
  <si>
    <t xml:space="preserve">Songs — /api/songs</t>
  </si>
  <si>
    <t xml:space="preserve">/api/songs</t>
  </si>
  <si>
    <t xml:space="preserve">Danh sách bài hát: lọc thể loại, sắp xếp, phân trang</t>
  </si>
  <si>
    <t xml:space="preserve">200 {data, pagination}</t>
  </si>
  <si>
    <t xml:space="preserve">/api/songs/:id</t>
  </si>
  <si>
    <t xml:space="preserve">Chi tiết bài: nghệ sĩ, album, thời lượng, giấy phép CC</t>
  </si>
  <si>
    <t xml:space="preserve">/api/songs/trending</t>
  </si>
  <si>
    <t xml:space="preserve">Bài đang thịnh hành (theo lượt nghe 7 ngày)</t>
  </si>
  <si>
    <t xml:space="preserve">/api/songs/new-releases</t>
  </si>
  <si>
    <t xml:space="preserve">Bài mới phát hành</t>
  </si>
  <si>
    <t xml:space="preserve">/api/songs/:id/related</t>
  </si>
  <si>
    <t xml:space="preserve">Bài liên quan (cùng thể loại/nghệ sĩ)</t>
  </si>
  <si>
    <t xml:space="preserve">Albums — /api/albums</t>
  </si>
  <si>
    <t xml:space="preserve">/api/albums</t>
  </si>
  <si>
    <t xml:space="preserve">Danh sách album, phân trang</t>
  </si>
  <si>
    <t xml:space="preserve">/api/albums/:id</t>
  </si>
  <si>
    <t xml:space="preserve">Chi tiết album + danh sách bài</t>
  </si>
  <si>
    <t xml:space="preserve">Artists — /api/artists</t>
  </si>
  <si>
    <t xml:space="preserve">/api/artists</t>
  </si>
  <si>
    <t xml:space="preserve">Danh sách nghệ sĩ</t>
  </si>
  <si>
    <t xml:space="preserve">/api/artists/:id</t>
  </si>
  <si>
    <t xml:space="preserve">Hồ sơ nghệ sĩ, số người theo dõi</t>
  </si>
  <si>
    <t xml:space="preserve">/api/artists/:id/songs</t>
  </si>
  <si>
    <t xml:space="preserve">Bài hát của nghệ sĩ (phổ biến nhất trước)</t>
  </si>
  <si>
    <t xml:space="preserve">/api/artists/:id/albums</t>
  </si>
  <si>
    <t xml:space="preserve">Album của nghệ sĩ</t>
  </si>
  <si>
    <t xml:space="preserve">/api/artists/:id/follow</t>
  </si>
  <si>
    <t xml:space="preserve">Theo dõi nghệ sĩ</t>
  </si>
  <si>
    <t xml:space="preserve">201; 409 đã theo dõi</t>
  </si>
  <si>
    <t xml:space="preserve">DELETE</t>
  </si>
  <si>
    <t xml:space="preserve">Bỏ theo dõi nghệ sĩ</t>
  </si>
  <si>
    <t xml:space="preserve">Genres — /api/genres</t>
  </si>
  <si>
    <t xml:space="preserve">/api/genres</t>
  </si>
  <si>
    <t xml:space="preserve">Danh sách thể loại</t>
  </si>
  <si>
    <t xml:space="preserve">/api/genres/:slug/songs</t>
  </si>
  <si>
    <t xml:space="preserve">Bài hát theo thể loại</t>
  </si>
  <si>
    <t xml:space="preserve">Search — /api/search</t>
  </si>
  <si>
    <t xml:space="preserve">/api/search?q=&amp;type=</t>
  </si>
  <si>
    <t xml:space="preserve">Tìm bài/nghệ sĩ/album/playlist (MySQL FULLTEXT)</t>
  </si>
  <si>
    <t xml:space="preserve">200; 400 thiếu q</t>
  </si>
  <si>
    <t xml:space="preserve">/api/search/suggest?q=</t>
  </si>
  <si>
    <t xml:space="preserve">Gợi ý khi gõ (tối đa 8 kết quả)</t>
  </si>
  <si>
    <t xml:space="preserve">/api/search/recent</t>
  </si>
  <si>
    <t xml:space="preserve">Lịch sử tìm kiếm của tôi</t>
  </si>
  <si>
    <t xml:space="preserve">Streaming — /api/stream</t>
  </si>
  <si>
    <t xml:space="preserve">/api/stream/:songId</t>
  </si>
  <si>
    <t xml:space="preserve">Stream audio hỗ trợ header Range</t>
  </si>
  <si>
    <t xml:space="preserve">206 Partial Content; 200; 416 Range sai; 404</t>
  </si>
  <si>
    <t xml:space="preserve">/api/stream/:songId/url?quality=</t>
  </si>
  <si>
    <t xml:space="preserve">Lấy presigned URL R2 (128/320 kbps)</t>
  </si>
  <si>
    <t xml:space="preserve">200; URL hết hạn sau 1 giờ</t>
  </si>
  <si>
    <t xml:space="preserve">/api/stream/:songId/play</t>
  </si>
  <si>
    <t xml:space="preserve">Ghi nhận lượt nghe (nghe ≥ 30 giây)</t>
  </si>
  <si>
    <t xml:space="preserve">204; chống spam bằng rate limit</t>
  </si>
  <si>
    <t xml:space="preserve">Playlists — /api/playlists</t>
  </si>
  <si>
    <t xml:space="preserve">/api/playlists/me</t>
  </si>
  <si>
    <t xml:space="preserve">Playlist của tôi</t>
  </si>
  <si>
    <t xml:space="preserve">/api/playlists</t>
  </si>
  <si>
    <t xml:space="preserve">Tạo playlist (tên, mô tả, công khai/riêng tư)</t>
  </si>
  <si>
    <t xml:space="preserve">201; 422</t>
  </si>
  <si>
    <t xml:space="preserve">/api/playlists/:id</t>
  </si>
  <si>
    <t xml:space="preserve">Chi tiết playlist + bài hát</t>
  </si>
  <si>
    <t xml:space="preserve">200; 403 playlist riêng tư; 404</t>
  </si>
  <si>
    <t xml:space="preserve">Sửa thông tin playlist</t>
  </si>
  <si>
    <t xml:space="preserve">200; 403 không phải chủ</t>
  </si>
  <si>
    <t xml:space="preserve">Xóa playlist</t>
  </si>
  <si>
    <t xml:space="preserve">204; 403</t>
  </si>
  <si>
    <t xml:space="preserve">/api/playlists/:id/songs</t>
  </si>
  <si>
    <t xml:space="preserve">Thêm bài vào playlist</t>
  </si>
  <si>
    <t xml:space="preserve">201; 409 bài đã có</t>
  </si>
  <si>
    <t xml:space="preserve">/api/playlists/:id/songs/:songId</t>
  </si>
  <si>
    <t xml:space="preserve">Xóa bài khỏi playlist</t>
  </si>
  <si>
    <t xml:space="preserve">/api/playlists/:id/songs/order</t>
  </si>
  <si>
    <t xml:space="preserve">Sắp xếp lại thứ tự bài</t>
  </si>
  <si>
    <t xml:space="preserve">/api/playlists/:id/cover</t>
  </si>
  <si>
    <t xml:space="preserve">Upload ảnh bìa playlist</t>
  </si>
  <si>
    <t xml:space="preserve">200; 413; 415</t>
  </si>
  <si>
    <t xml:space="preserve">/api/playlists/featured</t>
  </si>
  <si>
    <t xml:space="preserve">Playlist nổi bật do Admin tuyển chọn</t>
  </si>
  <si>
    <t xml:space="preserve">Library — /api/library</t>
  </si>
  <si>
    <t xml:space="preserve">/api/library/likes/songs</t>
  </si>
  <si>
    <t xml:space="preserve">Bài hát đã thích</t>
  </si>
  <si>
    <t xml:space="preserve">/api/library/likes/songs/:songId</t>
  </si>
  <si>
    <t xml:space="preserve">Thích bài hát</t>
  </si>
  <si>
    <t xml:space="preserve">201; 409</t>
  </si>
  <si>
    <t xml:space="preserve">Bỏ thích bài hát</t>
  </si>
  <si>
    <t xml:space="preserve">/api/library/likes/albums</t>
  </si>
  <si>
    <t xml:space="preserve">Album đã lưu</t>
  </si>
  <si>
    <t xml:space="preserve">/api/library/likes/albums/:albumId</t>
  </si>
  <si>
    <t xml:space="preserve">Lưu album</t>
  </si>
  <si>
    <t xml:space="preserve">201</t>
  </si>
  <si>
    <t xml:space="preserve">Bỏ lưu album</t>
  </si>
  <si>
    <t xml:space="preserve">/api/library/following</t>
  </si>
  <si>
    <t xml:space="preserve">Nghệ sĩ đang theo dõi</t>
  </si>
  <si>
    <t xml:space="preserve">/api/library/history</t>
  </si>
  <si>
    <t xml:space="preserve">Lịch sử nghe gần đây</t>
  </si>
  <si>
    <t xml:space="preserve">Xóa lịch sử nghe</t>
  </si>
  <si>
    <t xml:space="preserve">Downloads — /api/downloads</t>
  </si>
  <si>
    <t xml:space="preserve">/api/downloads</t>
  </si>
  <si>
    <t xml:space="preserve">Danh sách bài đã tải (đồng bộ giữa thiết bị)</t>
  </si>
  <si>
    <t xml:space="preserve">/api/downloads/:songId</t>
  </si>
  <si>
    <t xml:space="preserve">Xin quyền tải: kiểm tra license, trả URL tải</t>
  </si>
  <si>
    <t xml:space="preserve">200; 403 license không cho tải</t>
  </si>
  <si>
    <t xml:space="preserve">Gỡ bài khỏi danh sách đã tải</t>
  </si>
  <si>
    <t xml:space="preserve">Lyrics — /api/lyrics</t>
  </si>
  <si>
    <t xml:space="preserve">/api/lyrics/:songId</t>
  </si>
  <si>
    <t xml:space="preserve">Lời bài hát dạng LRC (có mốc thời gian)</t>
  </si>
  <si>
    <t xml:space="preserve">200; 404 chưa có lời</t>
  </si>
  <si>
    <t xml:space="preserve">Thêm/cập nhật lời bài hát</t>
  </si>
  <si>
    <t xml:space="preserve">Artist/Admin</t>
  </si>
  <si>
    <t xml:space="preserve">200; 403; 422 sai định dạng LRC</t>
  </si>
  <si>
    <t xml:space="preserve">Artist Panel — /api/artist-panel</t>
  </si>
  <si>
    <t xml:space="preserve">/api/artist-panel/songs</t>
  </si>
  <si>
    <t xml:space="preserve">Bài hát của tôi + trạng thái duyệt</t>
  </si>
  <si>
    <t xml:space="preserve">Artist</t>
  </si>
  <si>
    <t xml:space="preserve">Upload bài mới (mp3 + ảnh bìa + cam kết bản quyền)</t>
  </si>
  <si>
    <t xml:space="preserve">201 (trạng thái PENDING); 413; 415</t>
  </si>
  <si>
    <t xml:space="preserve">/api/artist-panel/songs/:id</t>
  </si>
  <si>
    <t xml:space="preserve">Sửa thông tin bài</t>
  </si>
  <si>
    <t xml:space="preserve">200; 403</t>
  </si>
  <si>
    <t xml:space="preserve">Gỡ bài của tôi</t>
  </si>
  <si>
    <t xml:space="preserve">/api/artist-panel/albums</t>
  </si>
  <si>
    <t xml:space="preserve">Tạo album</t>
  </si>
  <si>
    <t xml:space="preserve">/api/artist-panel/stats</t>
  </si>
  <si>
    <t xml:space="preserve">Thống kê lượt nghe, người theo dõi theo ngày</t>
  </si>
  <si>
    <t xml:space="preserve">Admin — /api/admin</t>
  </si>
  <si>
    <t xml:space="preserve">/api/admin/songs?status=</t>
  </si>
  <si>
    <t xml:space="preserve">Danh sách bài theo trạng thái (PENDING/APPROVED/HIDDEN)</t>
  </si>
  <si>
    <t xml:space="preserve">Admin</t>
  </si>
  <si>
    <t xml:space="preserve">/api/admin/songs</t>
  </si>
  <si>
    <t xml:space="preserve">Admin upload bài (FFmpeg lấy thời lượng, nén bitrate)</t>
  </si>
  <si>
    <t xml:space="preserve">/api/admin/songs/:id</t>
  </si>
  <si>
    <t xml:space="preserve">Sửa metadata bài hát</t>
  </si>
  <si>
    <t xml:space="preserve">PATCH</t>
  </si>
  <si>
    <t xml:space="preserve">/api/admin/songs/:id/status</t>
  </si>
  <si>
    <t xml:space="preserve">Duyệt / từ chối / ẩn bài (kèm lý do)</t>
  </si>
  <si>
    <t xml:space="preserve">200; ghi nhật ký kiểm duyệt</t>
  </si>
  <si>
    <t xml:space="preserve">Xóa bài (xóa mềm)</t>
  </si>
  <si>
    <t xml:space="preserve">/api/admin/artists</t>
  </si>
  <si>
    <t xml:space="preserve">Tạo nghệ sĩ</t>
  </si>
  <si>
    <t xml:space="preserve">/api/admin/artists/:id</t>
  </si>
  <si>
    <t xml:space="preserve">Sửa nghệ sĩ</t>
  </si>
  <si>
    <t xml:space="preserve">/api/admin/albums</t>
  </si>
  <si>
    <t xml:space="preserve">/api/admin/albums/:id</t>
  </si>
  <si>
    <t xml:space="preserve">Sửa album</t>
  </si>
  <si>
    <t xml:space="preserve">/api/admin/genres</t>
  </si>
  <si>
    <t xml:space="preserve">Tạo thể loại</t>
  </si>
  <si>
    <t xml:space="preserve">201; 409 trùng slug</t>
  </si>
  <si>
    <t xml:space="preserve">/api/admin/users</t>
  </si>
  <si>
    <t xml:space="preserve">Danh sách người dùng (lọc vai trò, trạng thái)</t>
  </si>
  <si>
    <t xml:space="preserve">/api/admin/users/:id/role</t>
  </si>
  <si>
    <t xml:space="preserve">Đổi vai trò (User ↔ Artist ↔ Admin)</t>
  </si>
  <si>
    <t xml:space="preserve">/api/admin/users/:id/status</t>
  </si>
  <si>
    <t xml:space="preserve">Khóa / mở khóa tài khoản</t>
  </si>
  <si>
    <t xml:space="preserve">/api/admin/playlists/featured</t>
  </si>
  <si>
    <t xml:space="preserve">Tuyển chọn playlist nổi bật</t>
  </si>
  <si>
    <t xml:space="preserve">Analytics — /api/analytics</t>
  </si>
  <si>
    <t xml:space="preserve">/api/analytics/charts/weekly</t>
  </si>
  <si>
    <t xml:space="preserve">Bảng xếp hạng tuần (cache Redis)</t>
  </si>
  <si>
    <t xml:space="preserve">/api/analytics/admin/overview</t>
  </si>
  <si>
    <t xml:space="preserve">Tổng quan: lượt nghe, người dùng mới, bài mới</t>
  </si>
  <si>
    <t xml:space="preserve">/api/analytics/admin/top-songs</t>
  </si>
  <si>
    <t xml:space="preserve">Top bài theo khoảng thời gian</t>
  </si>
  <si>
    <t xml:space="preserve">/api/analytics/recommendations</t>
  </si>
  <si>
    <t xml:space="preserve">Gợi ý bài theo lịch sử nghe</t>
  </si>
  <si>
    <t xml:space="preserve">04 — UX/UI &amp; REQUIREMENT BACKLOG · 4TMUSIC</t>
  </si>
  <si>
    <t xml:space="preserve">Màn hình / Hạng mục</t>
  </si>
  <si>
    <t xml:space="preserve">Vấn đề / Yêu cầu chi tiết</t>
  </si>
  <si>
    <t xml:space="preserve">Mức độ ưu tiên</t>
  </si>
  <si>
    <t xml:space="preserve">Đã xử lý</t>
  </si>
  <si>
    <t xml:space="preserve">Player bar</t>
  </si>
  <si>
    <t xml:space="preserve">Thanh player cố định dưới màn hình, không dừng nhạc khi chuyển trang</t>
  </si>
  <si>
    <t xml:space="preserve">Kiểm tra sau khi làm React Router</t>
  </si>
  <si>
    <t xml:space="preserve">Now Playing</t>
  </si>
  <si>
    <t xml:space="preserve">Bấm vào ảnh bìa mở màn hình Now Playing toàn màn hình (ảnh lớn, lyric, queue)</t>
  </si>
  <si>
    <t xml:space="preserve">Thanh tua: hover hiện thời gian, kéo mượt trên cảm ứng</t>
  </si>
  <si>
    <t xml:space="preserve">Phím tắt: Space = play/pause, ←/→ tua 5 giây, M = tắt tiếng</t>
  </si>
  <si>
    <t xml:space="preserve">Toàn hệ thống</t>
  </si>
  <si>
    <t xml:space="preserve">Giao diện Sáng/Tối, nhớ lựa chọn của người dùng</t>
  </si>
  <si>
    <t xml:space="preserve">Lưu vào /users/me/settings</t>
  </si>
  <si>
    <t xml:space="preserve">Tốc độ tải nhạc: bắt đầu phát &lt; 2 giây, hiển thị trạng thái đang tải/buffer</t>
  </si>
  <si>
    <t xml:space="preserve">Đo bằng tab Network</t>
  </si>
  <si>
    <t xml:space="preserve">Tải trước (preload) bài tiếp theo trong hàng đợi</t>
  </si>
  <si>
    <t xml:space="preserve">Trang chủ</t>
  </si>
  <si>
    <t xml:space="preserve">Ảnh bìa lazy-load, ảnh placeholder, dùng WebP</t>
  </si>
  <si>
    <t xml:space="preserve">Tìm kiếm</t>
  </si>
  <si>
    <t xml:space="preserve">Gợi ý ngay khi gõ (debounce 300 ms); tách kết quả Bài hát / Nghệ sĩ / Album / Playlist</t>
  </si>
  <si>
    <t xml:space="preserve">Lời bài hát</t>
  </si>
  <si>
    <t xml:space="preserve">Tô sáng dòng đang hát, tự cuộn, bấm vào dòng để tua</t>
  </si>
  <si>
    <t xml:space="preserve">Karaoke</t>
  </si>
  <si>
    <t xml:space="preserve">Chế độ karaoke toàn màn hình, cỡ chữ lớn</t>
  </si>
  <si>
    <t xml:space="preserve">Offline / Tải xuống</t>
  </si>
  <si>
    <t xml:space="preserve">Biểu tượng đã tải trên từng bài + thanh tiến trình khi đang tải</t>
  </si>
  <si>
    <t xml:space="preserve">Banner "Bạn đang offline", chỉ hiển thị bài đã tải khi mất mạng</t>
  </si>
  <si>
    <t xml:space="preserve">Mobile: thanh điều hướng dưới (bottom nav), vùng chạm ≥ 44px</t>
  </si>
  <si>
    <t xml:space="preserve">Album / Nghệ sĩ</t>
  </si>
  <si>
    <t xml:space="preserve">Hiển thị tác giả và loại giấy phép Creative Commons trên trang bài/album</t>
  </si>
  <si>
    <t xml:space="preserve">Bắt buộc với nhạc CC</t>
  </si>
  <si>
    <t xml:space="preserve">Thông báo dạng toast tiếng Việt (đã thêm vào playlist, đã tải xong, lỗi mạng)</t>
  </si>
  <si>
    <t xml:space="preserve">Kéo-thả sắp xếp bài trong playlist và hàng đợi</t>
  </si>
  <si>
    <t xml:space="preserve">Thư viện</t>
  </si>
  <si>
    <t xml:space="preserve">Trạng thái rỗng (empty state) có hướng dẫn cho thư viện/playlist mới</t>
  </si>
  <si>
    <t xml:space="preserve">Accessibility: aria-label cho nút player, tương phản màu đạt WCAG AA</t>
  </si>
  <si>
    <t xml:space="preserve">Một font thống nhất hỗ trợ tiếng Việt (VD: Be Vietnam Pro / Inter)</t>
  </si>
  <si>
    <t xml:space="preserve">Đăng nhập / Hồ sơ</t>
  </si>
  <si>
    <t xml:space="preserve">Form đăng ký/đăng nhập: báo lỗi ngay dưới ô nhập, hiện/ẩn mật khẩu</t>
  </si>
  <si>
    <t xml:space="preserve">Bảng quản trị: lọc/sắp xếp theo cột, tiêu đề cột cố định khi cuộn</t>
  </si>
  <si>
    <t xml:space="preserve">05 — SETTINGS &amp; REFERENCE (danh mục dùng cho dropdown và công thức)</t>
  </si>
  <si>
    <t xml:space="preserve">Ô nền vàng = thông số bạn được sửa. Có thể đổi tên/thêm giá trị trong các danh sách bên dưới; dropdown ở các sheet khác tự cập nhật theo.</t>
  </si>
  <si>
    <t xml:space="preserve">CẤU HÌNH DỰ ÁN</t>
  </si>
  <si>
    <t xml:space="preserve">Ngày bắt đầu (Thứ Hai của Tuần 1)</t>
  </si>
  <si>
    <t xml:space="preserve">Tổng số tuần</t>
  </si>
  <si>
    <t xml:space="preserve">Tuần hiện tại (tự tính)</t>
  </si>
  <si>
    <t xml:space="preserve">Hôm nay</t>
  </si>
  <si>
    <t xml:space="preserve">Mục tiêu</t>
  </si>
  <si>
    <t xml:space="preserve">Mức ưu tiên</t>
  </si>
  <si>
    <t xml:space="preserve">Trạng thái task / Dev</t>
  </si>
  <si>
    <t xml:space="preserve">HTTP Method</t>
  </si>
  <si>
    <t xml:space="preserve">Phase API</t>
  </si>
  <si>
    <t xml:space="preserve">Module API / Context path</t>
  </si>
  <si>
    <t xml:space="preserve">Hạng mục UX/UI</t>
  </si>
  <si>
    <t xml:space="preserve">Fullstack + PM: FE, BE, Database, UI/UX, QA, DevOps</t>
  </si>
  <si>
    <t xml:space="preserve">Hiểu web hoạt động thế nào, Git, môi trường, yêu cầu &amp; nguồn nhạc</t>
  </si>
  <si>
    <t xml:space="preserve">Thành viên 2</t>
  </si>
  <si>
    <t xml:space="preserve">UI/UX Designer (đổi tên khi có người tham gia)</t>
  </si>
  <si>
    <t xml:space="preserve">Layout, trang chủ, thanh player tĩnh, responsive</t>
  </si>
  <si>
    <t xml:space="preserve">Pass</t>
  </si>
  <si>
    <t xml:space="preserve">Thành viên 3</t>
  </si>
  <si>
    <t xml:space="preserve">QA / Tester (đổi tên khi có người tham gia)</t>
  </si>
  <si>
    <t xml:space="preserve">Player JS thuần: play/pause, tua, queue, shuffle, repeat</t>
  </si>
  <si>
    <t xml:space="preserve">Fail</t>
  </si>
  <si>
    <t xml:space="preserve">Thành viên 4</t>
  </si>
  <si>
    <t xml:space="preserve">Mobile Flutter / DevOps (đổi tên khi có người tham gia)</t>
  </si>
  <si>
    <t xml:space="preserve">Component, router, Zustand, các trang chính</t>
  </si>
  <si>
    <t xml:space="preserve">Retest</t>
  </si>
  <si>
    <t xml:space="preserve">P1 = trong 34 tuần; P2 = mở rộng sau Release</t>
  </si>
  <si>
    <t xml:space="preserve">Cả nhóm</t>
  </si>
  <si>
    <t xml:space="preserve">Việc chung của cả nhóm</t>
  </si>
  <si>
    <t xml:space="preserve">Express, REST API, stream HTTP Range 206</t>
  </si>
  <si>
    <t xml:space="preserve">MySQL + Prisma, seed nhạc CC, tìm kiếm — Release Alpha</t>
  </si>
  <si>
    <t xml:space="preserve">JWT, playlist, yêu thích, lịch sử nghe</t>
  </si>
  <si>
    <t xml:space="preserve">Mô tả</t>
  </si>
  <si>
    <t xml:space="preserve">R2/S3, FFmpeg, quản trị, nghệ sĩ upload — Release Beta</t>
  </si>
  <si>
    <t xml:space="preserve">Release Alpha</t>
  </si>
  <si>
    <t xml:space="preserve">MVP nội bộ: FE + BE + MySQL chạy được, phát/tìm nhạc</t>
  </si>
  <si>
    <t xml:space="preserve">Tải xuống nghe offline, lyric đồng bộ/karaoke</t>
  </si>
  <si>
    <t xml:space="preserve">Release Beta</t>
  </si>
  <si>
    <t xml:space="preserve">Có tài khoản, playlist, nhạc trên cloud, admin; 5–10 người dùng thử</t>
  </si>
  <si>
    <t xml:space="preserve">Bảng xếp hạng, Docker, deploy, CI/CD — Release Production</t>
  </si>
  <si>
    <t xml:space="preserve">Release Production</t>
  </si>
  <si>
    <t xml:space="preserve">PWA offline, lyric, deploy công khai có HTTPS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</si>
</sst>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0"/>
    <numFmt numFmtId="167" formatCode="@"/>
    <numFmt numFmtId="168" formatCode="0%"/>
    <numFmt numFmtId="169" formatCode="dd/mm/yyyy"/>
    <numFmt numFmtId="170" formatCode="General"/>
    <numFmt numFmtId="171" formatCode="dd/mm/yy"/>
    <numFmt numFmtId="172" formatCode="\T0"/>
    <numFmt numFmtId="173" formatCode="dd/mm"/>
    <numFmt numFmtId="174" formatCode=";;;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10B981"/>
      <name val="Arial"/>
      <family val="0"/>
      <charset val="1"/>
    </font>
    <font>
      <b val="true"/>
      <sz val="12"/>
      <color rgb="FF04785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F172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CBD5E1"/>
      <name val="Arial"/>
      <family val="0"/>
      <charset val="1"/>
    </font>
    <font>
      <b val="true"/>
      <sz val="20"/>
      <color rgb="FF10B981"/>
      <name val="Arial"/>
      <family val="0"/>
      <charset val="1"/>
    </font>
    <font>
      <b val="true"/>
      <sz val="20"/>
      <color rgb="FF60A5FA"/>
      <name val="Arial"/>
      <family val="0"/>
      <charset val="1"/>
    </font>
    <font>
      <b val="true"/>
      <sz val="20"/>
      <color rgb="FFF87171"/>
      <name val="Arial"/>
      <family val="0"/>
      <charset val="1"/>
    </font>
    <font>
      <b val="true"/>
      <sz val="20"/>
      <color rgb="FFFBBF24"/>
      <name val="Arial"/>
      <family val="0"/>
      <charset val="1"/>
    </font>
    <font>
      <b val="true"/>
      <sz val="20"/>
      <color rgb="FFCBD5E1"/>
      <name val="Arial"/>
      <family val="0"/>
      <charset val="1"/>
    </font>
    <font>
      <i val="true"/>
      <sz val="8"/>
      <color rgb="FF94A3B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i val="true"/>
      <sz val="8"/>
      <color rgb="FF64748B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9"/>
      <color rgb="FF475569"/>
      <name val="Arial"/>
      <family val="0"/>
      <charset val="1"/>
    </font>
    <font>
      <sz val="10"/>
      <color rgb="FF475569"/>
      <name val="Arial"/>
      <family val="0"/>
      <charset val="1"/>
    </font>
    <font>
      <sz val="9"/>
      <color rgb="FF0F172A"/>
      <name val="Arial"/>
      <family val="0"/>
      <charset val="1"/>
    </font>
    <font>
      <sz val="7"/>
      <color rgb="FF475569"/>
      <name val="Arial"/>
      <family val="0"/>
      <charset val="1"/>
    </font>
    <font>
      <b val="true"/>
      <sz val="9"/>
      <color rgb="FFB45309"/>
      <name val="Arial"/>
      <family val="0"/>
      <charset val="1"/>
    </font>
    <font>
      <b val="true"/>
      <sz val="8"/>
      <color rgb="FFB45309"/>
      <name val="Arial"/>
      <family val="0"/>
      <charset val="1"/>
    </font>
    <font>
      <b val="true"/>
      <sz val="10"/>
      <color rgb="FF047857"/>
      <name val="Arial"/>
      <family val="0"/>
      <charset val="1"/>
    </font>
    <font>
      <sz val="10"/>
      <color rgb="FF0F172A"/>
      <name val="Consolas"/>
      <family val="0"/>
      <charset val="1"/>
    </font>
    <font>
      <b val="true"/>
      <sz val="11"/>
      <color rgb="FF047857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334155"/>
        <bgColor rgb="FF475569"/>
      </patternFill>
    </fill>
    <fill>
      <patternFill patternType="solid">
        <fgColor rgb="FFF1F5F9"/>
        <bgColor rgb="FFECFDF5"/>
      </patternFill>
    </fill>
    <fill>
      <patternFill patternType="solid">
        <fgColor rgb="FFE2E8F0"/>
        <bgColor rgb="FFDBEAFE"/>
      </patternFill>
    </fill>
    <fill>
      <patternFill patternType="solid">
        <fgColor rgb="FFA7F3D0"/>
        <bgColor rgb="FFD1FAE5"/>
      </patternFill>
    </fill>
    <fill>
      <patternFill patternType="solid">
        <fgColor rgb="FF047857"/>
        <bgColor rgb="FF059669"/>
      </patternFill>
    </fill>
    <fill>
      <patternFill patternType="solid">
        <fgColor rgb="FFF87171"/>
        <bgColor rgb="FFD97706"/>
      </patternFill>
    </fill>
    <fill>
      <patternFill patternType="solid">
        <fgColor rgb="FFFEF3C7"/>
        <bgColor rgb="FFFFF59D"/>
      </patternFill>
    </fill>
    <fill>
      <patternFill patternType="solid">
        <fgColor rgb="FFFFF59D"/>
        <bgColor rgb="FFFEF3C7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0B98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hair">
        <color rgb="FFE2E8F0"/>
      </left>
      <right style="hair">
        <color rgb="FFE2E8F0"/>
      </right>
      <top/>
      <bottom style="hair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4" fillId="0" borderId="2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3">
    <dxf>
      <font>
        <name val="Arial"/>
        <charset val="1"/>
        <family val="0"/>
        <b val="1"/>
        <color rgb="FFDC2626"/>
      </font>
    </dxf>
    <dxf>
      <fill>
        <patternFill patternType="solid">
          <fgColor rgb="FF0F17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4748B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ill>
        <patternFill patternType="solid">
          <fgColor rgb="FFDC2626"/>
          <bgColor rgb="FF000000"/>
        </patternFill>
      </fill>
    </dxf>
    <dxf>
      <fill>
        <patternFill patternType="solid">
          <fgColor rgb="FF334155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475569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E2E8F0"/>
          <bgColor rgb="FF000000"/>
        </patternFill>
      </fill>
    </dxf>
    <dxf>
      <fill>
        <patternFill patternType="solid">
          <fgColor rgb="FF2563EB"/>
          <bgColor rgb="FF000000"/>
        </patternFill>
      </fill>
    </dxf>
    <dxf>
      <font>
        <name val="Arial"/>
        <charset val="1"/>
        <family val="0"/>
        <b val="1"/>
        <color rgb="FF047857"/>
      </font>
      <fill>
        <patternFill>
          <bgColor rgb="FFD1FAE5"/>
        </patternFill>
      </fill>
    </dxf>
    <dxf>
      <font>
        <name val="Arial"/>
        <charset val="1"/>
        <family val="0"/>
        <b val="1"/>
        <color rgb="FF2563EB"/>
      </font>
      <fill>
        <patternFill>
          <bgColor rgb="FFDBEAFE"/>
        </patternFill>
      </fill>
    </dxf>
    <dxf>
      <font>
        <name val="Arial"/>
        <charset val="1"/>
        <family val="0"/>
        <b val="1"/>
        <color rgb="FFDC2626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475569"/>
      </font>
      <fill>
        <patternFill>
          <bgColor rgb="FFE2E8F0"/>
        </patternFill>
      </fill>
    </dxf>
    <dxf>
      <font>
        <name val="Arial"/>
        <charset val="1"/>
        <family val="0"/>
        <b val="1"/>
        <color rgb="FFD97706"/>
      </font>
    </dxf>
    <dxf>
      <font>
        <name val="Arial"/>
        <charset val="1"/>
        <family val="0"/>
        <b val="1"/>
        <color rgb="FF64748B"/>
      </font>
    </dxf>
    <dxf>
      <fill>
        <patternFill>
          <bgColor rgb="FF047857"/>
        </patternFill>
      </fill>
    </dxf>
    <dxf>
      <fill>
        <patternFill>
          <bgColor rgb="FFF87171"/>
        </patternFill>
      </fill>
    </dxf>
    <dxf>
      <fill>
        <patternFill>
          <bgColor rgb="FFA7F3D0"/>
        </patternFill>
      </fill>
    </dxf>
    <dxf>
      <fill>
        <patternFill>
          <bgColor rgb="FFFEF3C7"/>
        </patternFill>
      </fill>
    </dxf>
    <dxf>
      <font>
        <name val="Arial"/>
        <charset val="1"/>
        <family val="0"/>
        <b val="1"/>
        <color rgb="FF0F172A"/>
      </font>
      <fill>
        <patternFill>
          <bgColor rgb="FFF59E0B"/>
        </patternFill>
      </fill>
    </dxf>
    <dxf>
      <font>
        <name val="Arial"/>
        <charset val="1"/>
        <family val="0"/>
        <b val="1"/>
        <color rgb="FFFCD34D"/>
      </font>
      <fill>
        <patternFill>
          <bgColor rgb="FF0F172A"/>
        </patternFill>
      </fill>
    </dxf>
    <dxf>
      <fill>
        <patternFill patternType="solid">
          <fgColor rgb="FF059669"/>
          <bgColor rgb="FF000000"/>
        </patternFill>
      </fill>
    </dxf>
    <dxf>
      <fill>
        <patternFill patternType="solid">
          <fgColor rgb="FF7C3AED"/>
          <bgColor rgb="FF000000"/>
        </patternFill>
      </fill>
    </dxf>
    <dxf>
      <font>
        <name val="Arial"/>
        <charset val="1"/>
        <family val="0"/>
        <b val="1"/>
        <color rgb="FF059669"/>
      </font>
    </dxf>
    <dxf>
      <font>
        <name val="Arial"/>
        <charset val="1"/>
        <family val="0"/>
        <b val="1"/>
        <color rgb="FF2563EB"/>
      </font>
    </dxf>
    <dxf>
      <font>
        <name val="Arial"/>
        <charset val="1"/>
        <family val="0"/>
        <b val="1"/>
        <color rgb="FF7C3AED"/>
      </font>
    </dxf>
    <dxf>
      <font>
        <name val="Arial"/>
        <charset val="1"/>
        <family val="0"/>
        <b val="1"/>
        <color rgb="FFD97706"/>
      </font>
      <fill>
        <patternFill>
          <bgColor rgb="FFFEF3C7"/>
        </patternFill>
      </fill>
    </dxf>
    <dxf>
      <font>
        <name val="Arial"/>
        <charset val="1"/>
        <family val="0"/>
        <strike val="1"/>
        <color rgb="FF64748B"/>
      </font>
      <fill>
        <patternFill>
          <bgColor rgb="FFECFDF5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E2E8F0"/>
      <rgbColor rgb="FF808080"/>
      <rgbColor rgb="FF60A5FA"/>
      <rgbColor rgb="FF7C3AED"/>
      <rgbColor rgb="FFFEF3C7"/>
      <rgbColor rgb="FFECFDF5"/>
      <rgbColor rgb="FF660066"/>
      <rgbColor rgb="FFF87171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DBEAFE"/>
      <rgbColor rgb="FFD1FAE5"/>
      <rgbColor rgb="FFFFF59D"/>
      <rgbColor rgb="FFA7F3D0"/>
      <rgbColor rgb="FFFEE2E2"/>
      <rgbColor rgb="FFF1F5F9"/>
      <rgbColor rgb="FFFCD34D"/>
      <rgbColor rgb="FF2563EB"/>
      <rgbColor rgb="FF33CCCC"/>
      <rgbColor rgb="FF99CC00"/>
      <rgbColor rgb="FFFBBF24"/>
      <rgbColor rgb="FFF59E0B"/>
      <rgbColor rgb="FFD97706"/>
      <rgbColor rgb="FF64748B"/>
      <rgbColor rgb="FF94A3B8"/>
      <rgbColor rgb="FF003366"/>
      <rgbColor rgb="FF10B981"/>
      <rgbColor rgb="FF0F172A"/>
      <rgbColor rgb="FF475569"/>
      <rgbColor rgb="FFB45309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true"/>
  </sheetPr>
  <dimension ref="B2:I8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8" min="3" style="0" width="14"/>
    <col collapsed="false" customWidth="true" hidden="false" outlineLevel="0" max="9" min="9" style="0" width="30"/>
  </cols>
  <sheetData>
    <row r="2" customFormat="false" ht="42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B3" s="2" t="str">
        <f aca="true">"Tự động cập nhật từ sheet 01 &amp; 03 &amp; 04  •  Hôm nay: "&amp;TEXT(TODAY(),"dd/mm/yyyy")&amp;"  •  Tuần hiện tại: "&amp;CFG_CurWeek&amp;" / "&amp;CFG_Weeks</f>
        <v>Tự động cập nhật từ sheet 01 &amp; 03 &amp; 04  •  Hôm nay: 12/10/2026  •  Tuần hiện tại: 1 / 34</v>
      </c>
      <c r="C3" s="2"/>
      <c r="D3" s="2"/>
      <c r="E3" s="2"/>
      <c r="F3" s="2"/>
      <c r="G3" s="2"/>
      <c r="H3" s="2"/>
      <c r="I3" s="2"/>
    </row>
    <row r="5" customFormat="false" ht="24" hidden="false" customHeight="true" outlineLevel="0" collapsed="false">
      <c r="B5" s="3" t="s">
        <v>1</v>
      </c>
      <c r="C5" s="4"/>
      <c r="D5" s="4"/>
      <c r="E5" s="4"/>
      <c r="F5" s="4"/>
      <c r="G5" s="4"/>
      <c r="H5" s="4"/>
      <c r="I5" s="4"/>
    </row>
    <row r="6" customFormat="false" ht="30" hidden="false" customHeight="true" outlineLevel="0" collapsed="false">
      <c r="B6" s="5" t="s">
        <v>2</v>
      </c>
      <c r="C6" s="6" t="s">
        <v>3</v>
      </c>
      <c r="D6" s="6"/>
      <c r="E6" s="6"/>
      <c r="F6" s="6"/>
      <c r="G6" s="6"/>
      <c r="H6" s="6"/>
      <c r="I6" s="6"/>
    </row>
    <row r="7" customFormat="false" ht="30" hidden="false" customHeight="true" outlineLevel="0" collapsed="false">
      <c r="B7" s="5" t="s">
        <v>4</v>
      </c>
      <c r="C7" s="6" t="s">
        <v>5</v>
      </c>
      <c r="D7" s="6"/>
      <c r="E7" s="6"/>
      <c r="F7" s="6"/>
      <c r="G7" s="6"/>
      <c r="H7" s="6"/>
      <c r="I7" s="6"/>
    </row>
    <row r="8" customFormat="false" ht="30" hidden="false" customHeight="true" outlineLevel="0" collapsed="false">
      <c r="B8" s="5" t="s">
        <v>6</v>
      </c>
      <c r="C8" s="6" t="s">
        <v>7</v>
      </c>
      <c r="D8" s="6"/>
      <c r="E8" s="6"/>
      <c r="F8" s="6"/>
      <c r="G8" s="6"/>
      <c r="H8" s="6"/>
      <c r="I8" s="6"/>
    </row>
    <row r="9" customFormat="false" ht="30" hidden="false" customHeight="true" outlineLevel="0" collapsed="false">
      <c r="B9" s="5" t="s">
        <v>8</v>
      </c>
      <c r="C9" s="6" t="str">
        <f aca="false">CFG_Weeks&amp;" tuần (≈ 8 tháng, 2–3 giờ/ngày): Tuần 1 = "&amp;TEXT(CFG_Start,"dd/mm/yyyy")&amp;" → kết thúc "&amp;TEXT(CFG_Start+CFG_Weeks*7-1,"dd/mm/yyyy")&amp;" • 10 giai đoạn GĐ0–GĐ9"</f>
        <v>34 tuần (≈ 8 tháng, 2–3 giờ/ngày): Tuần 1 = 12/10/2026 → kết thúc 06/06/2027 • 10 giai đoạn GĐ0–GĐ9</v>
      </c>
      <c r="D9" s="6"/>
      <c r="E9" s="6"/>
      <c r="F9" s="6"/>
      <c r="G9" s="6"/>
      <c r="H9" s="6"/>
      <c r="I9" s="6"/>
    </row>
    <row r="10" customFormat="false" ht="30" hidden="false" customHeight="true" outlineLevel="0" collapsed="false">
      <c r="B10" s="5" t="s">
        <v>9</v>
      </c>
      <c r="C10" s="6" t="str">
        <f aca="false">INDEX(MS_Names,1)&amp;": tuần "&amp;INDEX(MS_Weeks,1)&amp;"   •   "&amp;INDEX(MS_Names,2)&amp;": tuần "&amp;INDEX(MS_Weeks,2)&amp;"   •   "&amp;INDEX(MS_Names,3)&amp;": tuần "&amp;INDEX(MS_Weeks,3)</f>
        <v>Release Alpha: tuần 21   •   Release Beta: tuần 27   •   Release Production: tuần 34</v>
      </c>
      <c r="D10" s="6"/>
      <c r="E10" s="6"/>
      <c r="F10" s="6"/>
      <c r="G10" s="6"/>
      <c r="H10" s="6"/>
      <c r="I10" s="6"/>
    </row>
    <row r="11" customFormat="false" ht="30" hidden="false" customHeight="true" outlineLevel="0" collapsed="false">
      <c r="B11" s="5" t="s">
        <v>10</v>
      </c>
      <c r="C11" s="6" t="s">
        <v>11</v>
      </c>
      <c r="D11" s="6"/>
      <c r="E11" s="6"/>
      <c r="F11" s="6"/>
      <c r="G11" s="6"/>
      <c r="H11" s="6"/>
      <c r="I11" s="6"/>
    </row>
    <row r="12" customFormat="false" ht="30" hidden="false" customHeight="true" outlineLevel="0" collapsed="false">
      <c r="B12" s="5" t="s">
        <v>12</v>
      </c>
      <c r="C12" s="6" t="s">
        <v>13</v>
      </c>
      <c r="D12" s="6"/>
      <c r="E12" s="6"/>
      <c r="F12" s="6"/>
      <c r="G12" s="6"/>
      <c r="H12" s="6"/>
      <c r="I12" s="6"/>
    </row>
    <row r="14" customFormat="false" ht="24" hidden="false" customHeight="true" outlineLevel="0" collapsed="false">
      <c r="B14" s="3" t="s">
        <v>14</v>
      </c>
      <c r="C14" s="4"/>
      <c r="D14" s="4"/>
      <c r="E14" s="4"/>
      <c r="F14" s="4"/>
      <c r="G14" s="4"/>
      <c r="H14" s="4"/>
      <c r="I14" s="4"/>
    </row>
    <row r="15" customFormat="false" ht="27.75" hidden="false" customHeight="true" outlineLevel="0" collapsed="false">
      <c r="B15" s="7" t="s">
        <v>15</v>
      </c>
      <c r="C15" s="8" t="s">
        <v>16</v>
      </c>
      <c r="D15" s="8" t="s">
        <v>17</v>
      </c>
      <c r="E15" s="8" t="s">
        <v>18</v>
      </c>
      <c r="F15" s="8" t="s">
        <v>19</v>
      </c>
      <c r="G15" s="8" t="s">
        <v>20</v>
      </c>
      <c r="H15" s="8" t="s">
        <v>21</v>
      </c>
      <c r="I15" s="8" t="s">
        <v>22</v>
      </c>
    </row>
    <row r="16" customFormat="false" ht="36" hidden="false" customHeight="true" outlineLevel="0" collapsed="false">
      <c r="B16" s="7"/>
      <c r="C16" s="9" t="n">
        <f aca="false">IFERROR(SUM(W_DoneDays)/SUM(W_Days),0)</f>
        <v>0.00294117647058824</v>
      </c>
      <c r="D16" s="10" t="n">
        <f aca="false">COUNTIF(W_Task,"?*")</f>
        <v>76</v>
      </c>
      <c r="E16" s="11" t="n">
        <f aca="false">COUNTIF(W_Status,"Done")</f>
        <v>0</v>
      </c>
      <c r="F16" s="12" t="n">
        <f aca="false">COUNTIF(W_Status,"In Progress")</f>
        <v>1</v>
      </c>
      <c r="G16" s="13" t="n">
        <f aca="false">COUNTIF(W_Alert,"⚠ Trễ hạn")</f>
        <v>0</v>
      </c>
      <c r="H16" s="14" t="n">
        <f aca="false">COUNTIF(W_Status,"Blocked")</f>
        <v>0</v>
      </c>
      <c r="I16" s="15" t="n">
        <f aca="false">COUNTIF(W_Status,"To Do")</f>
        <v>75</v>
      </c>
    </row>
    <row r="17" customFormat="false" ht="25.5" hidden="false" customHeight="true" outlineLevel="0" collapsed="false">
      <c r="B17" s="7"/>
      <c r="C17" s="16" t="s">
        <v>23</v>
      </c>
      <c r="D17" s="16" t="s">
        <v>24</v>
      </c>
      <c r="E17" s="16" t="s">
        <v>25</v>
      </c>
      <c r="F17" s="16" t="s">
        <v>26</v>
      </c>
      <c r="G17" s="16" t="s">
        <v>27</v>
      </c>
      <c r="H17" s="16" t="s">
        <v>28</v>
      </c>
      <c r="I17" s="16" t="s">
        <v>29</v>
      </c>
    </row>
    <row r="19" customFormat="false" ht="27.75" hidden="false" customHeight="true" outlineLevel="0" collapsed="false">
      <c r="B19" s="7" t="s">
        <v>30</v>
      </c>
      <c r="C19" s="8" t="s">
        <v>31</v>
      </c>
      <c r="D19" s="8" t="s">
        <v>32</v>
      </c>
      <c r="E19" s="8" t="s">
        <v>33</v>
      </c>
      <c r="F19" s="8" t="s">
        <v>34</v>
      </c>
      <c r="G19" s="8" t="s">
        <v>35</v>
      </c>
      <c r="H19" s="8" t="s">
        <v>36</v>
      </c>
      <c r="I19" s="8" t="s">
        <v>37</v>
      </c>
    </row>
    <row r="20" customFormat="false" ht="36" hidden="false" customHeight="true" outlineLevel="0" collapsed="false">
      <c r="B20" s="7"/>
      <c r="C20" s="17" t="str">
        <f aca="false">COUNTIF(A_Dev,"Done")&amp;" / "&amp;COUNTIF(A_Endpoint,"?*")</f>
        <v>0 / 83</v>
      </c>
      <c r="D20" s="9" t="n">
        <f aca="false">IFERROR(COUNTIF(A_Dev,"Done")/COUNTIF(A_Endpoint,"?*"),0)</f>
        <v>0</v>
      </c>
      <c r="E20" s="10" t="n">
        <f aca="false">COUNTIF(A_Test,"Pass")</f>
        <v>0</v>
      </c>
      <c r="F20" s="13" t="n">
        <f aca="false">COUNTIF(A_Test,"Fail")</f>
        <v>0</v>
      </c>
      <c r="G20" s="18" t="str">
        <f aca="false">COUNTIF(U_Done,TRUE())&amp;" / "&amp;COUNTIF(U_Item,"?*")</f>
        <v>0 / 22</v>
      </c>
      <c r="H20" s="19" t="str">
        <f aca="false">CFG_CurWeek&amp;" / "&amp;CFG_Weeks</f>
        <v>1 / 34</v>
      </c>
      <c r="I20" s="10" t="n">
        <f aca="true">MAX(0,CFG_Start+INDEX(MS_Weeks,3)*7-1-TODAY())</f>
        <v>237</v>
      </c>
    </row>
    <row r="21" customFormat="false" ht="25.5" hidden="false" customHeight="true" outlineLevel="0" collapsed="false">
      <c r="B21" s="7"/>
      <c r="C21" s="16" t="s">
        <v>38</v>
      </c>
      <c r="D21" s="16" t="s">
        <v>39</v>
      </c>
      <c r="E21" s="16" t="s">
        <v>40</v>
      </c>
      <c r="F21" s="16" t="s">
        <v>41</v>
      </c>
      <c r="G21" s="16" t="s">
        <v>42</v>
      </c>
      <c r="H21" s="16" t="s">
        <v>43</v>
      </c>
      <c r="I21" s="16" t="s">
        <v>44</v>
      </c>
    </row>
    <row r="23" customFormat="false" ht="24" hidden="false" customHeight="true" outlineLevel="0" collapsed="false">
      <c r="B23" s="3" t="s">
        <v>45</v>
      </c>
      <c r="C23" s="4"/>
      <c r="D23" s="4"/>
      <c r="E23" s="4"/>
      <c r="F23" s="4"/>
      <c r="G23" s="4"/>
      <c r="H23" s="4"/>
      <c r="I23" s="4"/>
    </row>
    <row r="24" customFormat="false" ht="30" hidden="false" customHeight="true" outlineLevel="0" collapsed="false">
      <c r="B24" s="20" t="s">
        <v>46</v>
      </c>
      <c r="C24" s="20" t="s">
        <v>47</v>
      </c>
      <c r="D24" s="20" t="s">
        <v>48</v>
      </c>
      <c r="E24" s="20" t="s">
        <v>25</v>
      </c>
      <c r="F24" s="20" t="s">
        <v>26</v>
      </c>
      <c r="G24" s="20" t="s">
        <v>49</v>
      </c>
      <c r="H24" s="20" t="s">
        <v>50</v>
      </c>
      <c r="I24" s="20" t="s">
        <v>9</v>
      </c>
    </row>
    <row r="25" customFormat="false" ht="15" hidden="false" customHeight="false" outlineLevel="0" collapsed="false">
      <c r="B25" s="21" t="str">
        <f aca="false">'05_Settings &amp; Reference'!D11</f>
        <v>GĐ0: Khởi động &amp; nền tảng</v>
      </c>
      <c r="C25" s="22" t="str">
        <f aca="false">'05_Settings &amp; Reference'!E11&amp;"–"&amp;'05_Settings &amp; Reference'!F11</f>
        <v>1–2</v>
      </c>
      <c r="D25" s="23" t="n">
        <f aca="false">COUNTIF(W_Phase,$B25)</f>
        <v>6</v>
      </c>
      <c r="E25" s="23" t="n">
        <f aca="false">COUNTIFS(W_Phase,$B25,W_Status,"Done")</f>
        <v>0</v>
      </c>
      <c r="F25" s="23" t="n">
        <f aca="false">COUNTIFS(W_Phase,$B25,W_Status,"In Progress")</f>
        <v>1</v>
      </c>
      <c r="G25" s="23" t="n">
        <f aca="false">COUNTIFS(W_Phase,$B25,W_Alert,"⚠ Trễ hạn")</f>
        <v>0</v>
      </c>
      <c r="H25" s="24" t="n">
        <f aca="false">IFERROR(SUMIFS(W_DoneDays,W_Phase,$B25)/SUMIFS(W_Days,W_Phase,$B25),0)</f>
        <v>0.0428571428571429</v>
      </c>
      <c r="I25" s="22" t="str">
        <f aca="false">IFERROR(INDEX(MS_Names,MATCH('05_Settings &amp; Reference'!F11,MS_Weeks,0)),"")</f>
        <v/>
      </c>
    </row>
    <row r="26" customFormat="false" ht="15" hidden="false" customHeight="false" outlineLevel="0" collapsed="false">
      <c r="B26" s="25" t="str">
        <f aca="false">'05_Settings &amp; Reference'!D12</f>
        <v>GĐ1: Giao diện tĩnh (HTML/CSS)</v>
      </c>
      <c r="C26" s="26" t="str">
        <f aca="false">'05_Settings &amp; Reference'!E12&amp;"–"&amp;'05_Settings &amp; Reference'!F12</f>
        <v>3–5</v>
      </c>
      <c r="D26" s="27" t="n">
        <f aca="false">COUNTIF(W_Phase,$B26)</f>
        <v>7</v>
      </c>
      <c r="E26" s="27" t="n">
        <f aca="false">COUNTIFS(W_Phase,$B26,W_Status,"Done")</f>
        <v>0</v>
      </c>
      <c r="F26" s="27" t="n">
        <f aca="false">COUNTIFS(W_Phase,$B26,W_Status,"In Progress")</f>
        <v>0</v>
      </c>
      <c r="G26" s="27" t="n">
        <f aca="false">COUNTIFS(W_Phase,$B26,W_Alert,"⚠ Trễ hạn")</f>
        <v>0</v>
      </c>
      <c r="H26" s="28" t="n">
        <f aca="false">IFERROR(SUMIFS(W_DoneDays,W_Phase,$B26)/SUMIFS(W_Days,W_Phase,$B26),0)</f>
        <v>0</v>
      </c>
      <c r="I26" s="26" t="str">
        <f aca="false">IFERROR(INDEX(MS_Names,MATCH('05_Settings &amp; Reference'!F12,MS_Weeks,0)),"")</f>
        <v/>
      </c>
    </row>
    <row r="27" customFormat="false" ht="15" hidden="false" customHeight="false" outlineLevel="0" collapsed="false">
      <c r="B27" s="21" t="str">
        <f aca="false">'05_Settings &amp; Reference'!D13</f>
        <v>GĐ2: Trình phát nhạc (JavaScript)</v>
      </c>
      <c r="C27" s="22" t="str">
        <f aca="false">'05_Settings &amp; Reference'!E13&amp;"–"&amp;'05_Settings &amp; Reference'!F13</f>
        <v>6–9</v>
      </c>
      <c r="D27" s="23" t="n">
        <f aca="false">COUNTIF(W_Phase,$B27)</f>
        <v>7</v>
      </c>
      <c r="E27" s="23" t="n">
        <f aca="false">COUNTIFS(W_Phase,$B27,W_Status,"Done")</f>
        <v>0</v>
      </c>
      <c r="F27" s="23" t="n">
        <f aca="false">COUNTIFS(W_Phase,$B27,W_Status,"In Progress")</f>
        <v>0</v>
      </c>
      <c r="G27" s="23" t="n">
        <f aca="false">COUNTIFS(W_Phase,$B27,W_Alert,"⚠ Trễ hạn")</f>
        <v>0</v>
      </c>
      <c r="H27" s="24" t="n">
        <f aca="false">IFERROR(SUMIFS(W_DoneDays,W_Phase,$B27)/SUMIFS(W_Days,W_Phase,$B27),0)</f>
        <v>0</v>
      </c>
      <c r="I27" s="22" t="str">
        <f aca="false">IFERROR(INDEX(MS_Names,MATCH('05_Settings &amp; Reference'!F13,MS_Weeks,0)),"")</f>
        <v/>
      </c>
    </row>
    <row r="28" customFormat="false" ht="15" hidden="false" customHeight="false" outlineLevel="0" collapsed="false">
      <c r="B28" s="25" t="str">
        <f aca="false">'05_Settings &amp; Reference'!D14</f>
        <v>GĐ3: Frontend React</v>
      </c>
      <c r="C28" s="26" t="str">
        <f aca="false">'05_Settings &amp; Reference'!E14&amp;"–"&amp;'05_Settings &amp; Reference'!F14</f>
        <v>10–13</v>
      </c>
      <c r="D28" s="27" t="n">
        <f aca="false">COUNTIF(W_Phase,$B28)</f>
        <v>7</v>
      </c>
      <c r="E28" s="27" t="n">
        <f aca="false">COUNTIFS(W_Phase,$B28,W_Status,"Done")</f>
        <v>0</v>
      </c>
      <c r="F28" s="27" t="n">
        <f aca="false">COUNTIFS(W_Phase,$B28,W_Status,"In Progress")</f>
        <v>0</v>
      </c>
      <c r="G28" s="27" t="n">
        <f aca="false">COUNTIFS(W_Phase,$B28,W_Alert,"⚠ Trễ hạn")</f>
        <v>0</v>
      </c>
      <c r="H28" s="28" t="n">
        <f aca="false">IFERROR(SUMIFS(W_DoneDays,W_Phase,$B28)/SUMIFS(W_Days,W_Phase,$B28),0)</f>
        <v>0</v>
      </c>
      <c r="I28" s="26" t="str">
        <f aca="false">IFERROR(INDEX(MS_Names,MATCH('05_Settings &amp; Reference'!F14,MS_Weeks,0)),"")</f>
        <v/>
      </c>
    </row>
    <row r="29" customFormat="false" ht="15" hidden="false" customHeight="false" outlineLevel="0" collapsed="false">
      <c r="B29" s="21" t="str">
        <f aca="false">'05_Settings &amp; Reference'!D15</f>
        <v>GĐ4: Backend &amp; Streaming API</v>
      </c>
      <c r="C29" s="22" t="str">
        <f aca="false">'05_Settings &amp; Reference'!E15&amp;"–"&amp;'05_Settings &amp; Reference'!F15</f>
        <v>14–17</v>
      </c>
      <c r="D29" s="23" t="n">
        <f aca="false">COUNTIF(W_Phase,$B29)</f>
        <v>7</v>
      </c>
      <c r="E29" s="23" t="n">
        <f aca="false">COUNTIFS(W_Phase,$B29,W_Status,"Done")</f>
        <v>0</v>
      </c>
      <c r="F29" s="23" t="n">
        <f aca="false">COUNTIFS(W_Phase,$B29,W_Status,"In Progress")</f>
        <v>0</v>
      </c>
      <c r="G29" s="23" t="n">
        <f aca="false">COUNTIFS(W_Phase,$B29,W_Alert,"⚠ Trễ hạn")</f>
        <v>0</v>
      </c>
      <c r="H29" s="24" t="n">
        <f aca="false">IFERROR(SUMIFS(W_DoneDays,W_Phase,$B29)/SUMIFS(W_Days,W_Phase,$B29),0)</f>
        <v>0</v>
      </c>
      <c r="I29" s="22" t="str">
        <f aca="false">IFERROR(INDEX(MS_Names,MATCH('05_Settings &amp; Reference'!F15,MS_Weeks,0)),"")</f>
        <v/>
      </c>
    </row>
    <row r="30" customFormat="false" ht="15" hidden="false" customHeight="false" outlineLevel="0" collapsed="false">
      <c r="B30" s="25" t="str">
        <f aca="false">'05_Settings &amp; Reference'!D16</f>
        <v>GĐ5: Database &amp; dữ liệu nhạc</v>
      </c>
      <c r="C30" s="26" t="str">
        <f aca="false">'05_Settings &amp; Reference'!E16&amp;"–"&amp;'05_Settings &amp; Reference'!F16</f>
        <v>18–21</v>
      </c>
      <c r="D30" s="27" t="n">
        <f aca="false">COUNTIF(W_Phase,$B30)</f>
        <v>8</v>
      </c>
      <c r="E30" s="27" t="n">
        <f aca="false">COUNTIFS(W_Phase,$B30,W_Status,"Done")</f>
        <v>0</v>
      </c>
      <c r="F30" s="27" t="n">
        <f aca="false">COUNTIFS(W_Phase,$B30,W_Status,"In Progress")</f>
        <v>0</v>
      </c>
      <c r="G30" s="27" t="n">
        <f aca="false">COUNTIFS(W_Phase,$B30,W_Alert,"⚠ Trễ hạn")</f>
        <v>0</v>
      </c>
      <c r="H30" s="28" t="n">
        <f aca="false">IFERROR(SUMIFS(W_DoneDays,W_Phase,$B30)/SUMIFS(W_Days,W_Phase,$B30),0)</f>
        <v>0</v>
      </c>
      <c r="I30" s="26" t="str">
        <f aca="false">IFERROR(INDEX(MS_Names,MATCH('05_Settings &amp; Reference'!F16,MS_Weeks,0)),"")</f>
        <v>Release Alpha</v>
      </c>
    </row>
    <row r="31" customFormat="false" ht="15" hidden="false" customHeight="false" outlineLevel="0" collapsed="false">
      <c r="B31" s="21" t="str">
        <f aca="false">'05_Settings &amp; Reference'!D17</f>
        <v>GĐ6: Tài khoản &amp; thư viện cá nhân</v>
      </c>
      <c r="C31" s="22" t="str">
        <f aca="false">'05_Settings &amp; Reference'!E17&amp;"–"&amp;'05_Settings &amp; Reference'!F17</f>
        <v>22–24</v>
      </c>
      <c r="D31" s="23" t="n">
        <f aca="false">COUNTIF(W_Phase,$B31)</f>
        <v>9</v>
      </c>
      <c r="E31" s="23" t="n">
        <f aca="false">COUNTIFS(W_Phase,$B31,W_Status,"Done")</f>
        <v>0</v>
      </c>
      <c r="F31" s="23" t="n">
        <f aca="false">COUNTIFS(W_Phase,$B31,W_Status,"In Progress")</f>
        <v>0</v>
      </c>
      <c r="G31" s="23" t="n">
        <f aca="false">COUNTIFS(W_Phase,$B31,W_Alert,"⚠ Trễ hạn")</f>
        <v>0</v>
      </c>
      <c r="H31" s="24" t="n">
        <f aca="false">IFERROR(SUMIFS(W_DoneDays,W_Phase,$B31)/SUMIFS(W_Days,W_Phase,$B31),0)</f>
        <v>0</v>
      </c>
      <c r="I31" s="22" t="str">
        <f aca="false">IFERROR(INDEX(MS_Names,MATCH('05_Settings &amp; Reference'!F17,MS_Weeks,0)),"")</f>
        <v/>
      </c>
    </row>
    <row r="32" customFormat="false" ht="15" hidden="false" customHeight="false" outlineLevel="0" collapsed="false">
      <c r="B32" s="25" t="str">
        <f aca="false">'05_Settings &amp; Reference'!D18</f>
        <v>GĐ7: Cloud, Admin &amp; Artist Panel</v>
      </c>
      <c r="C32" s="26" t="str">
        <f aca="false">'05_Settings &amp; Reference'!E18&amp;"–"&amp;'05_Settings &amp; Reference'!F18</f>
        <v>25–27</v>
      </c>
      <c r="D32" s="27" t="n">
        <f aca="false">COUNTIF(W_Phase,$B32)</f>
        <v>7</v>
      </c>
      <c r="E32" s="27" t="n">
        <f aca="false">COUNTIFS(W_Phase,$B32,W_Status,"Done")</f>
        <v>0</v>
      </c>
      <c r="F32" s="27" t="n">
        <f aca="false">COUNTIFS(W_Phase,$B32,W_Status,"In Progress")</f>
        <v>0</v>
      </c>
      <c r="G32" s="27" t="n">
        <f aca="false">COUNTIFS(W_Phase,$B32,W_Alert,"⚠ Trễ hạn")</f>
        <v>0</v>
      </c>
      <c r="H32" s="28" t="n">
        <f aca="false">IFERROR(SUMIFS(W_DoneDays,W_Phase,$B32)/SUMIFS(W_Days,W_Phase,$B32),0)</f>
        <v>0</v>
      </c>
      <c r="I32" s="26" t="str">
        <f aca="false">IFERROR(INDEX(MS_Names,MATCH('05_Settings &amp; Reference'!F18,MS_Weeks,0)),"")</f>
        <v>Release Beta</v>
      </c>
    </row>
    <row r="33" customFormat="false" ht="15" hidden="false" customHeight="false" outlineLevel="0" collapsed="false">
      <c r="B33" s="21" t="str">
        <f aca="false">'05_Settings &amp; Reference'!D19</f>
        <v>GĐ8: Offline PWA &amp; lời bài hát</v>
      </c>
      <c r="C33" s="22" t="str">
        <f aca="false">'05_Settings &amp; Reference'!E19&amp;"–"&amp;'05_Settings &amp; Reference'!F19</f>
        <v>28–30</v>
      </c>
      <c r="D33" s="23" t="n">
        <f aca="false">COUNTIF(W_Phase,$B33)</f>
        <v>8</v>
      </c>
      <c r="E33" s="23" t="n">
        <f aca="false">COUNTIFS(W_Phase,$B33,W_Status,"Done")</f>
        <v>0</v>
      </c>
      <c r="F33" s="23" t="n">
        <f aca="false">COUNTIFS(W_Phase,$B33,W_Status,"In Progress")</f>
        <v>0</v>
      </c>
      <c r="G33" s="23" t="n">
        <f aca="false">COUNTIFS(W_Phase,$B33,W_Alert,"⚠ Trễ hạn")</f>
        <v>0</v>
      </c>
      <c r="H33" s="24" t="n">
        <f aca="false">IFERROR(SUMIFS(W_DoneDays,W_Phase,$B33)/SUMIFS(W_Days,W_Phase,$B33),0)</f>
        <v>0</v>
      </c>
      <c r="I33" s="22" t="str">
        <f aca="false">IFERROR(INDEX(MS_Names,MATCH('05_Settings &amp; Reference'!F19,MS_Weeks,0)),"")</f>
        <v/>
      </c>
    </row>
    <row r="34" customFormat="false" ht="15" hidden="false" customHeight="false" outlineLevel="0" collapsed="false">
      <c r="B34" s="25" t="str">
        <f aca="false">'05_Settings &amp; Reference'!D20</f>
        <v>GĐ9: Bảo mật, triển khai &amp; Release</v>
      </c>
      <c r="C34" s="26" t="str">
        <f aca="false">'05_Settings &amp; Reference'!E20&amp;"–"&amp;'05_Settings &amp; Reference'!F20</f>
        <v>31–34</v>
      </c>
      <c r="D34" s="27" t="n">
        <f aca="false">COUNTIF(W_Phase,$B34)</f>
        <v>10</v>
      </c>
      <c r="E34" s="27" t="n">
        <f aca="false">COUNTIFS(W_Phase,$B34,W_Status,"Done")</f>
        <v>0</v>
      </c>
      <c r="F34" s="27" t="n">
        <f aca="false">COUNTIFS(W_Phase,$B34,W_Status,"In Progress")</f>
        <v>0</v>
      </c>
      <c r="G34" s="27" t="n">
        <f aca="false">COUNTIFS(W_Phase,$B34,W_Alert,"⚠ Trễ hạn")</f>
        <v>0</v>
      </c>
      <c r="H34" s="28" t="n">
        <f aca="false">IFERROR(SUMIFS(W_DoneDays,W_Phase,$B34)/SUMIFS(W_Days,W_Phase,$B34),0)</f>
        <v>0</v>
      </c>
      <c r="I34" s="26" t="str">
        <f aca="false">IFERROR(INDEX(MS_Names,MATCH('05_Settings &amp; Reference'!F20,MS_Weeks,0)),"")</f>
        <v>Release Production</v>
      </c>
    </row>
    <row r="35" customFormat="false" ht="15" hidden="false" customHeight="false" outlineLevel="0" collapsed="false">
      <c r="B35" s="29" t="s">
        <v>51</v>
      </c>
      <c r="C35" s="30"/>
      <c r="D35" s="31" t="n">
        <f aca="false">SUM(D25:D34)</f>
        <v>76</v>
      </c>
      <c r="E35" s="31" t="n">
        <f aca="false">SUM(E25:E34)</f>
        <v>0</v>
      </c>
      <c r="F35" s="31" t="n">
        <f aca="false">SUM(F25:F34)</f>
        <v>1</v>
      </c>
      <c r="G35" s="31" t="n">
        <f aca="false">SUM(G25:G34)</f>
        <v>0</v>
      </c>
      <c r="H35" s="32" t="n">
        <f aca="false">IFERROR(SUM(W_DoneDays)/SUM(W_Days),0)</f>
        <v>0.00294117647058824</v>
      </c>
      <c r="I35" s="30"/>
    </row>
    <row r="37" customFormat="false" ht="24" hidden="false" customHeight="true" outlineLevel="0" collapsed="false">
      <c r="B37" s="3" t="s">
        <v>52</v>
      </c>
      <c r="C37" s="4"/>
      <c r="D37" s="4"/>
      <c r="E37" s="4"/>
      <c r="F37" s="4"/>
      <c r="G37" s="4"/>
      <c r="H37" s="4"/>
      <c r="I37" s="4"/>
    </row>
    <row r="38" customFormat="false" ht="30" hidden="false" customHeight="true" outlineLevel="0" collapsed="false">
      <c r="B38" s="20" t="s">
        <v>53</v>
      </c>
      <c r="C38" s="20" t="s">
        <v>48</v>
      </c>
      <c r="D38" s="20" t="s">
        <v>25</v>
      </c>
      <c r="E38" s="20" t="s">
        <v>26</v>
      </c>
      <c r="F38" s="20" t="s">
        <v>29</v>
      </c>
      <c r="G38" s="20" t="s">
        <v>54</v>
      </c>
      <c r="H38" s="20" t="s">
        <v>49</v>
      </c>
      <c r="I38" s="20" t="s">
        <v>50</v>
      </c>
    </row>
    <row r="39" customFormat="false" ht="15" hidden="false" customHeight="false" outlineLevel="0" collapsed="false">
      <c r="B39" s="21" t="str">
        <f aca="false">'05_Settings &amp; Reference'!I11</f>
        <v>Nền tảng &amp; Hạ tầng</v>
      </c>
      <c r="C39" s="23" t="n">
        <f aca="false">COUNTIF(W_Module,$B39)</f>
        <v>12</v>
      </c>
      <c r="D39" s="23" t="n">
        <f aca="false">COUNTIFS(W_Module,$B39,W_Status,"Done")</f>
        <v>0</v>
      </c>
      <c r="E39" s="23" t="n">
        <f aca="false">COUNTIFS(W_Module,$B39,W_Status,"In Progress")</f>
        <v>1</v>
      </c>
      <c r="F39" s="23" t="n">
        <f aca="false">COUNTIFS(W_Module,$B39,W_Status,"To Do")</f>
        <v>11</v>
      </c>
      <c r="G39" s="23" t="n">
        <f aca="false">COUNTIFS(W_Module,$B39,W_Status,"Blocked")</f>
        <v>0</v>
      </c>
      <c r="H39" s="23" t="n">
        <f aca="false">COUNTIFS(W_Module,$B39,W_Alert,"⚠ Trễ hạn")</f>
        <v>0</v>
      </c>
      <c r="I39" s="24" t="n">
        <f aca="false">IFERROR(SUMIFS(W_DoneDays,W_Module,$B39)/SUMIFS(W_Days,W_Module,$B39),0)</f>
        <v>0.01875</v>
      </c>
    </row>
    <row r="40" customFormat="false" ht="15" hidden="false" customHeight="false" outlineLevel="0" collapsed="false">
      <c r="B40" s="25" t="str">
        <f aca="false">'05_Settings &amp; Reference'!I12</f>
        <v>Giao diện chung (Layout/Theme)</v>
      </c>
      <c r="C40" s="27" t="n">
        <f aca="false">COUNTIF(W_Module,$B40)</f>
        <v>9</v>
      </c>
      <c r="D40" s="27" t="n">
        <f aca="false">COUNTIFS(W_Module,$B40,W_Status,"Done")</f>
        <v>0</v>
      </c>
      <c r="E40" s="27" t="n">
        <f aca="false">COUNTIFS(W_Module,$B40,W_Status,"In Progress")</f>
        <v>0</v>
      </c>
      <c r="F40" s="27" t="n">
        <f aca="false">COUNTIFS(W_Module,$B40,W_Status,"To Do")</f>
        <v>9</v>
      </c>
      <c r="G40" s="27" t="n">
        <f aca="false">COUNTIFS(W_Module,$B40,W_Status,"Blocked")</f>
        <v>0</v>
      </c>
      <c r="H40" s="27" t="n">
        <f aca="false">COUNTIFS(W_Module,$B40,W_Alert,"⚠ Trễ hạn")</f>
        <v>0</v>
      </c>
      <c r="I40" s="28" t="n">
        <f aca="false">IFERROR(SUMIFS(W_DoneDays,W_Module,$B40)/SUMIFS(W_Days,W_Module,$B40),0)</f>
        <v>0</v>
      </c>
    </row>
    <row r="41" customFormat="false" ht="15" hidden="false" customHeight="false" outlineLevel="0" collapsed="false">
      <c r="B41" s="21" t="str">
        <f aca="false">'05_Settings &amp; Reference'!I13</f>
        <v>Phát nhạc &amp; Player</v>
      </c>
      <c r="C41" s="23" t="n">
        <f aca="false">COUNTIF(W_Module,$B41)</f>
        <v>11</v>
      </c>
      <c r="D41" s="23" t="n">
        <f aca="false">COUNTIFS(W_Module,$B41,W_Status,"Done")</f>
        <v>0</v>
      </c>
      <c r="E41" s="23" t="n">
        <f aca="false">COUNTIFS(W_Module,$B41,W_Status,"In Progress")</f>
        <v>0</v>
      </c>
      <c r="F41" s="23" t="n">
        <f aca="false">COUNTIFS(W_Module,$B41,W_Status,"To Do")</f>
        <v>11</v>
      </c>
      <c r="G41" s="23" t="n">
        <f aca="false">COUNTIFS(W_Module,$B41,W_Status,"Blocked")</f>
        <v>0</v>
      </c>
      <c r="H41" s="23" t="n">
        <f aca="false">COUNTIFS(W_Module,$B41,W_Alert,"⚠ Trễ hạn")</f>
        <v>0</v>
      </c>
      <c r="I41" s="24" t="n">
        <f aca="false">IFERROR(SUMIFS(W_DoneDays,W_Module,$B41)/SUMIFS(W_Days,W_Module,$B41),0)</f>
        <v>0</v>
      </c>
    </row>
    <row r="42" customFormat="false" ht="15" hidden="false" customHeight="false" outlineLevel="0" collapsed="false">
      <c r="B42" s="25" t="str">
        <f aca="false">'05_Settings &amp; Reference'!I14</f>
        <v>Tìm kiếm &amp; Khám phá</v>
      </c>
      <c r="C42" s="27" t="n">
        <f aca="false">COUNTIF(W_Module,$B42)</f>
        <v>7</v>
      </c>
      <c r="D42" s="27" t="n">
        <f aca="false">COUNTIFS(W_Module,$B42,W_Status,"Done")</f>
        <v>0</v>
      </c>
      <c r="E42" s="27" t="n">
        <f aca="false">COUNTIFS(W_Module,$B42,W_Status,"In Progress")</f>
        <v>0</v>
      </c>
      <c r="F42" s="27" t="n">
        <f aca="false">COUNTIFS(W_Module,$B42,W_Status,"To Do")</f>
        <v>7</v>
      </c>
      <c r="G42" s="27" t="n">
        <f aca="false">COUNTIFS(W_Module,$B42,W_Status,"Blocked")</f>
        <v>0</v>
      </c>
      <c r="H42" s="27" t="n">
        <f aca="false">COUNTIFS(W_Module,$B42,W_Alert,"⚠ Trễ hạn")</f>
        <v>0</v>
      </c>
      <c r="I42" s="28" t="n">
        <f aca="false">IFERROR(SUMIFS(W_DoneDays,W_Module,$B42)/SUMIFS(W_Days,W_Module,$B42),0)</f>
        <v>0</v>
      </c>
    </row>
    <row r="43" customFormat="false" ht="15" hidden="false" customHeight="false" outlineLevel="0" collapsed="false">
      <c r="B43" s="21" t="str">
        <f aca="false">'05_Settings &amp; Reference'!I15</f>
        <v>Streaming &amp; Lưu trữ</v>
      </c>
      <c r="C43" s="23" t="n">
        <f aca="false">COUNTIF(W_Module,$B43)</f>
        <v>7</v>
      </c>
      <c r="D43" s="23" t="n">
        <f aca="false">COUNTIFS(W_Module,$B43,W_Status,"Done")</f>
        <v>0</v>
      </c>
      <c r="E43" s="23" t="n">
        <f aca="false">COUNTIFS(W_Module,$B43,W_Status,"In Progress")</f>
        <v>0</v>
      </c>
      <c r="F43" s="23" t="n">
        <f aca="false">COUNTIFS(W_Module,$B43,W_Status,"To Do")</f>
        <v>7</v>
      </c>
      <c r="G43" s="23" t="n">
        <f aca="false">COUNTIFS(W_Module,$B43,W_Status,"Blocked")</f>
        <v>0</v>
      </c>
      <c r="H43" s="23" t="n">
        <f aca="false">COUNTIFS(W_Module,$B43,W_Alert,"⚠ Trễ hạn")</f>
        <v>0</v>
      </c>
      <c r="I43" s="24" t="n">
        <f aca="false">IFERROR(SUMIFS(W_DoneDays,W_Module,$B43)/SUMIFS(W_Days,W_Module,$B43),0)</f>
        <v>0</v>
      </c>
    </row>
    <row r="44" customFormat="false" ht="15" hidden="false" customHeight="false" outlineLevel="0" collapsed="false">
      <c r="B44" s="25" t="str">
        <f aca="false">'05_Settings &amp; Reference'!I16</f>
        <v>Xác thực &amp; Người dùng</v>
      </c>
      <c r="C44" s="27" t="n">
        <f aca="false">COUNTIF(W_Module,$B44)</f>
        <v>5</v>
      </c>
      <c r="D44" s="27" t="n">
        <f aca="false">COUNTIFS(W_Module,$B44,W_Status,"Done")</f>
        <v>0</v>
      </c>
      <c r="E44" s="27" t="n">
        <f aca="false">COUNTIFS(W_Module,$B44,W_Status,"In Progress")</f>
        <v>0</v>
      </c>
      <c r="F44" s="27" t="n">
        <f aca="false">COUNTIFS(W_Module,$B44,W_Status,"To Do")</f>
        <v>5</v>
      </c>
      <c r="G44" s="27" t="n">
        <f aca="false">COUNTIFS(W_Module,$B44,W_Status,"Blocked")</f>
        <v>0</v>
      </c>
      <c r="H44" s="27" t="n">
        <f aca="false">COUNTIFS(W_Module,$B44,W_Alert,"⚠ Trễ hạn")</f>
        <v>0</v>
      </c>
      <c r="I44" s="28" t="n">
        <f aca="false">IFERROR(SUMIFS(W_DoneDays,W_Module,$B44)/SUMIFS(W_Days,W_Module,$B44),0)</f>
        <v>0</v>
      </c>
    </row>
    <row r="45" customFormat="false" ht="15" hidden="false" customHeight="false" outlineLevel="0" collapsed="false">
      <c r="B45" s="21" t="str">
        <f aca="false">'05_Settings &amp; Reference'!I17</f>
        <v>Playlist</v>
      </c>
      <c r="C45" s="23" t="n">
        <f aca="false">COUNTIF(W_Module,$B45)</f>
        <v>2</v>
      </c>
      <c r="D45" s="23" t="n">
        <f aca="false">COUNTIFS(W_Module,$B45,W_Status,"Done")</f>
        <v>0</v>
      </c>
      <c r="E45" s="23" t="n">
        <f aca="false">COUNTIFS(W_Module,$B45,W_Status,"In Progress")</f>
        <v>0</v>
      </c>
      <c r="F45" s="23" t="n">
        <f aca="false">COUNTIFS(W_Module,$B45,W_Status,"To Do")</f>
        <v>2</v>
      </c>
      <c r="G45" s="23" t="n">
        <f aca="false">COUNTIFS(W_Module,$B45,W_Status,"Blocked")</f>
        <v>0</v>
      </c>
      <c r="H45" s="23" t="n">
        <f aca="false">COUNTIFS(W_Module,$B45,W_Alert,"⚠ Trễ hạn")</f>
        <v>0</v>
      </c>
      <c r="I45" s="24" t="n">
        <f aca="false">IFERROR(SUMIFS(W_DoneDays,W_Module,$B45)/SUMIFS(W_Days,W_Module,$B45),0)</f>
        <v>0</v>
      </c>
    </row>
    <row r="46" customFormat="false" ht="15" hidden="false" customHeight="false" outlineLevel="0" collapsed="false">
      <c r="B46" s="25" t="str">
        <f aca="false">'05_Settings &amp; Reference'!I18</f>
        <v>Thư viện cá nhân</v>
      </c>
      <c r="C46" s="27" t="n">
        <f aca="false">COUNTIF(W_Module,$B46)</f>
        <v>2</v>
      </c>
      <c r="D46" s="27" t="n">
        <f aca="false">COUNTIFS(W_Module,$B46,W_Status,"Done")</f>
        <v>0</v>
      </c>
      <c r="E46" s="27" t="n">
        <f aca="false">COUNTIFS(W_Module,$B46,W_Status,"In Progress")</f>
        <v>0</v>
      </c>
      <c r="F46" s="27" t="n">
        <f aca="false">COUNTIFS(W_Module,$B46,W_Status,"To Do")</f>
        <v>2</v>
      </c>
      <c r="G46" s="27" t="n">
        <f aca="false">COUNTIFS(W_Module,$B46,W_Status,"Blocked")</f>
        <v>0</v>
      </c>
      <c r="H46" s="27" t="n">
        <f aca="false">COUNTIFS(W_Module,$B46,W_Alert,"⚠ Trễ hạn")</f>
        <v>0</v>
      </c>
      <c r="I46" s="28" t="n">
        <f aca="false">IFERROR(SUMIFS(W_DoneDays,W_Module,$B46)/SUMIFS(W_Days,W_Module,$B46),0)</f>
        <v>0</v>
      </c>
    </row>
    <row r="47" customFormat="false" ht="15" hidden="false" customHeight="false" outlineLevel="0" collapsed="false">
      <c r="B47" s="21" t="str">
        <f aca="false">'05_Settings &amp; Reference'!I19</f>
        <v>Offline &amp; Tải xuống</v>
      </c>
      <c r="C47" s="23" t="n">
        <f aca="false">COUNTIF(W_Module,$B47)</f>
        <v>6</v>
      </c>
      <c r="D47" s="23" t="n">
        <f aca="false">COUNTIFS(W_Module,$B47,W_Status,"Done")</f>
        <v>0</v>
      </c>
      <c r="E47" s="23" t="n">
        <f aca="false">COUNTIFS(W_Module,$B47,W_Status,"In Progress")</f>
        <v>0</v>
      </c>
      <c r="F47" s="23" t="n">
        <f aca="false">COUNTIFS(W_Module,$B47,W_Status,"To Do")</f>
        <v>6</v>
      </c>
      <c r="G47" s="23" t="n">
        <f aca="false">COUNTIFS(W_Module,$B47,W_Status,"Blocked")</f>
        <v>0</v>
      </c>
      <c r="H47" s="23" t="n">
        <f aca="false">COUNTIFS(W_Module,$B47,W_Alert,"⚠ Trễ hạn")</f>
        <v>0</v>
      </c>
      <c r="I47" s="24" t="n">
        <f aca="false">IFERROR(SUMIFS(W_DoneDays,W_Module,$B47)/SUMIFS(W_Days,W_Module,$B47),0)</f>
        <v>0</v>
      </c>
    </row>
    <row r="48" customFormat="false" ht="15" hidden="false" customHeight="false" outlineLevel="0" collapsed="false">
      <c r="B48" s="25" t="str">
        <f aca="false">'05_Settings &amp; Reference'!I20</f>
        <v>Lời bài hát / Karaoke</v>
      </c>
      <c r="C48" s="27" t="n">
        <f aca="false">COUNTIF(W_Module,$B48)</f>
        <v>2</v>
      </c>
      <c r="D48" s="27" t="n">
        <f aca="false">COUNTIFS(W_Module,$B48,W_Status,"Done")</f>
        <v>0</v>
      </c>
      <c r="E48" s="27" t="n">
        <f aca="false">COUNTIFS(W_Module,$B48,W_Status,"In Progress")</f>
        <v>0</v>
      </c>
      <c r="F48" s="27" t="n">
        <f aca="false">COUNTIFS(W_Module,$B48,W_Status,"To Do")</f>
        <v>2</v>
      </c>
      <c r="G48" s="27" t="n">
        <f aca="false">COUNTIFS(W_Module,$B48,W_Status,"Blocked")</f>
        <v>0</v>
      </c>
      <c r="H48" s="27" t="n">
        <f aca="false">COUNTIFS(W_Module,$B48,W_Alert,"⚠ Trễ hạn")</f>
        <v>0</v>
      </c>
      <c r="I48" s="28" t="n">
        <f aca="false">IFERROR(SUMIFS(W_DoneDays,W_Module,$B48)/SUMIFS(W_Days,W_Module,$B48),0)</f>
        <v>0</v>
      </c>
    </row>
    <row r="49" customFormat="false" ht="15" hidden="false" customHeight="false" outlineLevel="0" collapsed="false">
      <c r="B49" s="21" t="str">
        <f aca="false">'05_Settings &amp; Reference'!I21</f>
        <v>Admin / Artist Panel</v>
      </c>
      <c r="C49" s="23" t="n">
        <f aca="false">COUNTIF(W_Module,$B49)</f>
        <v>3</v>
      </c>
      <c r="D49" s="23" t="n">
        <f aca="false">COUNTIFS(W_Module,$B49,W_Status,"Done")</f>
        <v>0</v>
      </c>
      <c r="E49" s="23" t="n">
        <f aca="false">COUNTIFS(W_Module,$B49,W_Status,"In Progress")</f>
        <v>0</v>
      </c>
      <c r="F49" s="23" t="n">
        <f aca="false">COUNTIFS(W_Module,$B49,W_Status,"To Do")</f>
        <v>3</v>
      </c>
      <c r="G49" s="23" t="n">
        <f aca="false">COUNTIFS(W_Module,$B49,W_Status,"Blocked")</f>
        <v>0</v>
      </c>
      <c r="H49" s="23" t="n">
        <f aca="false">COUNTIFS(W_Module,$B49,W_Alert,"⚠ Trễ hạn")</f>
        <v>0</v>
      </c>
      <c r="I49" s="24" t="n">
        <f aca="false">IFERROR(SUMIFS(W_DoneDays,W_Module,$B49)/SUMIFS(W_Days,W_Module,$B49),0)</f>
        <v>0</v>
      </c>
    </row>
    <row r="50" customFormat="false" ht="15" hidden="false" customHeight="false" outlineLevel="0" collapsed="false">
      <c r="B50" s="25" t="str">
        <f aca="false">'05_Settings &amp; Reference'!I22</f>
        <v>Thống kê &amp; Xếp hạng</v>
      </c>
      <c r="C50" s="27" t="n">
        <f aca="false">COUNTIF(W_Module,$B50)</f>
        <v>3</v>
      </c>
      <c r="D50" s="27" t="n">
        <f aca="false">COUNTIFS(W_Module,$B50,W_Status,"Done")</f>
        <v>0</v>
      </c>
      <c r="E50" s="27" t="n">
        <f aca="false">COUNTIFS(W_Module,$B50,W_Status,"In Progress")</f>
        <v>0</v>
      </c>
      <c r="F50" s="27" t="n">
        <f aca="false">COUNTIFS(W_Module,$B50,W_Status,"To Do")</f>
        <v>3</v>
      </c>
      <c r="G50" s="27" t="n">
        <f aca="false">COUNTIFS(W_Module,$B50,W_Status,"Blocked")</f>
        <v>0</v>
      </c>
      <c r="H50" s="27" t="n">
        <f aca="false">COUNTIFS(W_Module,$B50,W_Alert,"⚠ Trễ hạn")</f>
        <v>0</v>
      </c>
      <c r="I50" s="28" t="n">
        <f aca="false">IFERROR(SUMIFS(W_DoneDays,W_Module,$B50)/SUMIFS(W_Days,W_Module,$B50),0)</f>
        <v>0</v>
      </c>
    </row>
    <row r="51" customFormat="false" ht="15" hidden="false" customHeight="false" outlineLevel="0" collapsed="false">
      <c r="B51" s="21" t="str">
        <f aca="false">'05_Settings &amp; Reference'!I23</f>
        <v>Triển khai &amp; DevOps</v>
      </c>
      <c r="C51" s="23" t="n">
        <f aca="false">COUNTIF(W_Module,$B51)</f>
        <v>7</v>
      </c>
      <c r="D51" s="23" t="n">
        <f aca="false">COUNTIFS(W_Module,$B51,W_Status,"Done")</f>
        <v>0</v>
      </c>
      <c r="E51" s="23" t="n">
        <f aca="false">COUNTIFS(W_Module,$B51,W_Status,"In Progress")</f>
        <v>0</v>
      </c>
      <c r="F51" s="23" t="n">
        <f aca="false">COUNTIFS(W_Module,$B51,W_Status,"To Do")</f>
        <v>7</v>
      </c>
      <c r="G51" s="23" t="n">
        <f aca="false">COUNTIFS(W_Module,$B51,W_Status,"Blocked")</f>
        <v>0</v>
      </c>
      <c r="H51" s="23" t="n">
        <f aca="false">COUNTIFS(W_Module,$B51,W_Alert,"⚠ Trễ hạn")</f>
        <v>0</v>
      </c>
      <c r="I51" s="24" t="n">
        <f aca="false">IFERROR(SUMIFS(W_DoneDays,W_Module,$B51)/SUMIFS(W_Days,W_Module,$B51),0)</f>
        <v>0</v>
      </c>
    </row>
    <row r="53" customFormat="false" ht="24" hidden="false" customHeight="true" outlineLevel="0" collapsed="false">
      <c r="B53" s="3" t="s">
        <v>55</v>
      </c>
      <c r="C53" s="4"/>
      <c r="D53" s="4"/>
      <c r="E53" s="4"/>
      <c r="F53" s="4"/>
      <c r="G53" s="4"/>
      <c r="H53" s="4"/>
      <c r="I53" s="4"/>
    </row>
    <row r="54" customFormat="false" ht="30" hidden="false" customHeight="true" outlineLevel="0" collapsed="false">
      <c r="B54" s="20" t="s">
        <v>56</v>
      </c>
      <c r="C54" s="20" t="s">
        <v>57</v>
      </c>
      <c r="D54" s="20" t="s">
        <v>39</v>
      </c>
      <c r="E54" s="20" t="s">
        <v>26</v>
      </c>
      <c r="F54" s="20" t="s">
        <v>58</v>
      </c>
      <c r="G54" s="20" t="s">
        <v>59</v>
      </c>
      <c r="H54" s="20" t="s">
        <v>60</v>
      </c>
      <c r="I54" s="20" t="s">
        <v>61</v>
      </c>
    </row>
    <row r="55" customFormat="false" ht="15" hidden="false" customHeight="false" outlineLevel="0" collapsed="false">
      <c r="B55" s="21" t="str">
        <f aca="false">'05_Settings &amp; Reference'!Y11</f>
        <v>Auth — /api/auth</v>
      </c>
      <c r="C55" s="23" t="n">
        <f aca="false">COUNTIF(A_Module,$B55)</f>
        <v>8</v>
      </c>
      <c r="D55" s="23" t="n">
        <f aca="false">COUNTIFS(A_Module,$B55,A_Dev,"Done")</f>
        <v>0</v>
      </c>
      <c r="E55" s="23" t="n">
        <f aca="false">COUNTIFS(A_Module,$B55,A_Dev,"In Progress")</f>
        <v>0</v>
      </c>
      <c r="F55" s="23" t="n">
        <f aca="false">COUNTIFS(A_Module,$B55,A_Test,"Pass")</f>
        <v>0</v>
      </c>
      <c r="G55" s="23" t="n">
        <f aca="false">COUNTIFS(A_Module,$B55,A_Test,"Fail")</f>
        <v>0</v>
      </c>
      <c r="H55" s="23" t="n">
        <f aca="false">COUNTIFS(A_Module,$B55,A_Phase,"P2")</f>
        <v>1</v>
      </c>
      <c r="I55" s="24" t="n">
        <f aca="false">IFERROR(D55/C55,0)</f>
        <v>0</v>
      </c>
    </row>
    <row r="56" customFormat="false" ht="15" hidden="false" customHeight="false" outlineLevel="0" collapsed="false">
      <c r="B56" s="25" t="str">
        <f aca="false">'05_Settings &amp; Reference'!Y12</f>
        <v>Users — /api/users</v>
      </c>
      <c r="C56" s="27" t="n">
        <f aca="false">COUNTIF(A_Module,$B56)</f>
        <v>6</v>
      </c>
      <c r="D56" s="27" t="n">
        <f aca="false">COUNTIFS(A_Module,$B56,A_Dev,"Done")</f>
        <v>0</v>
      </c>
      <c r="E56" s="27" t="n">
        <f aca="false">COUNTIFS(A_Module,$B56,A_Dev,"In Progress")</f>
        <v>0</v>
      </c>
      <c r="F56" s="27" t="n">
        <f aca="false">COUNTIFS(A_Module,$B56,A_Test,"Pass")</f>
        <v>0</v>
      </c>
      <c r="G56" s="27" t="n">
        <f aca="false">COUNTIFS(A_Module,$B56,A_Test,"Fail")</f>
        <v>0</v>
      </c>
      <c r="H56" s="27" t="n">
        <f aca="false">COUNTIFS(A_Module,$B56,A_Phase,"P2")</f>
        <v>1</v>
      </c>
      <c r="I56" s="28" t="n">
        <f aca="false">IFERROR(D56/C56,0)</f>
        <v>0</v>
      </c>
    </row>
    <row r="57" customFormat="false" ht="15" hidden="false" customHeight="false" outlineLevel="0" collapsed="false">
      <c r="B57" s="21" t="str">
        <f aca="false">'05_Settings &amp; Reference'!Y13</f>
        <v>Songs — /api/songs</v>
      </c>
      <c r="C57" s="23" t="n">
        <f aca="false">COUNTIF(A_Module,$B57)</f>
        <v>5</v>
      </c>
      <c r="D57" s="23" t="n">
        <f aca="false">COUNTIFS(A_Module,$B57,A_Dev,"Done")</f>
        <v>0</v>
      </c>
      <c r="E57" s="23" t="n">
        <f aca="false">COUNTIFS(A_Module,$B57,A_Dev,"In Progress")</f>
        <v>0</v>
      </c>
      <c r="F57" s="23" t="n">
        <f aca="false">COUNTIFS(A_Module,$B57,A_Test,"Pass")</f>
        <v>0</v>
      </c>
      <c r="G57" s="23" t="n">
        <f aca="false">COUNTIFS(A_Module,$B57,A_Test,"Fail")</f>
        <v>0</v>
      </c>
      <c r="H57" s="23" t="n">
        <f aca="false">COUNTIFS(A_Module,$B57,A_Phase,"P2")</f>
        <v>1</v>
      </c>
      <c r="I57" s="24" t="n">
        <f aca="false">IFERROR(D57/C57,0)</f>
        <v>0</v>
      </c>
    </row>
    <row r="58" customFormat="false" ht="15" hidden="false" customHeight="false" outlineLevel="0" collapsed="false">
      <c r="B58" s="25" t="str">
        <f aca="false">'05_Settings &amp; Reference'!Y14</f>
        <v>Albums — /api/albums</v>
      </c>
      <c r="C58" s="27" t="n">
        <f aca="false">COUNTIF(A_Module,$B58)</f>
        <v>2</v>
      </c>
      <c r="D58" s="27" t="n">
        <f aca="false">COUNTIFS(A_Module,$B58,A_Dev,"Done")</f>
        <v>0</v>
      </c>
      <c r="E58" s="27" t="n">
        <f aca="false">COUNTIFS(A_Module,$B58,A_Dev,"In Progress")</f>
        <v>0</v>
      </c>
      <c r="F58" s="27" t="n">
        <f aca="false">COUNTIFS(A_Module,$B58,A_Test,"Pass")</f>
        <v>0</v>
      </c>
      <c r="G58" s="27" t="n">
        <f aca="false">COUNTIFS(A_Module,$B58,A_Test,"Fail")</f>
        <v>0</v>
      </c>
      <c r="H58" s="27" t="n">
        <f aca="false">COUNTIFS(A_Module,$B58,A_Phase,"P2")</f>
        <v>0</v>
      </c>
      <c r="I58" s="28" t="n">
        <f aca="false">IFERROR(D58/C58,0)</f>
        <v>0</v>
      </c>
    </row>
    <row r="59" customFormat="false" ht="15" hidden="false" customHeight="false" outlineLevel="0" collapsed="false">
      <c r="B59" s="21" t="str">
        <f aca="false">'05_Settings &amp; Reference'!Y15</f>
        <v>Artists — /api/artists</v>
      </c>
      <c r="C59" s="23" t="n">
        <f aca="false">COUNTIF(A_Module,$B59)</f>
        <v>6</v>
      </c>
      <c r="D59" s="23" t="n">
        <f aca="false">COUNTIFS(A_Module,$B59,A_Dev,"Done")</f>
        <v>0</v>
      </c>
      <c r="E59" s="23" t="n">
        <f aca="false">COUNTIFS(A_Module,$B59,A_Dev,"In Progress")</f>
        <v>0</v>
      </c>
      <c r="F59" s="23" t="n">
        <f aca="false">COUNTIFS(A_Module,$B59,A_Test,"Pass")</f>
        <v>0</v>
      </c>
      <c r="G59" s="23" t="n">
        <f aca="false">COUNTIFS(A_Module,$B59,A_Test,"Fail")</f>
        <v>0</v>
      </c>
      <c r="H59" s="23" t="n">
        <f aca="false">COUNTIFS(A_Module,$B59,A_Phase,"P2")</f>
        <v>0</v>
      </c>
      <c r="I59" s="24" t="n">
        <f aca="false">IFERROR(D59/C59,0)</f>
        <v>0</v>
      </c>
    </row>
    <row r="60" customFormat="false" ht="15" hidden="false" customHeight="false" outlineLevel="0" collapsed="false">
      <c r="B60" s="25" t="str">
        <f aca="false">'05_Settings &amp; Reference'!Y16</f>
        <v>Genres — /api/genres</v>
      </c>
      <c r="C60" s="27" t="n">
        <f aca="false">COUNTIF(A_Module,$B60)</f>
        <v>2</v>
      </c>
      <c r="D60" s="27" t="n">
        <f aca="false">COUNTIFS(A_Module,$B60,A_Dev,"Done")</f>
        <v>0</v>
      </c>
      <c r="E60" s="27" t="n">
        <f aca="false">COUNTIFS(A_Module,$B60,A_Dev,"In Progress")</f>
        <v>0</v>
      </c>
      <c r="F60" s="27" t="n">
        <f aca="false">COUNTIFS(A_Module,$B60,A_Test,"Pass")</f>
        <v>0</v>
      </c>
      <c r="G60" s="27" t="n">
        <f aca="false">COUNTIFS(A_Module,$B60,A_Test,"Fail")</f>
        <v>0</v>
      </c>
      <c r="H60" s="27" t="n">
        <f aca="false">COUNTIFS(A_Module,$B60,A_Phase,"P2")</f>
        <v>0</v>
      </c>
      <c r="I60" s="28" t="n">
        <f aca="false">IFERROR(D60/C60,0)</f>
        <v>0</v>
      </c>
    </row>
    <row r="61" customFormat="false" ht="15" hidden="false" customHeight="false" outlineLevel="0" collapsed="false">
      <c r="B61" s="21" t="str">
        <f aca="false">'05_Settings &amp; Reference'!Y17</f>
        <v>Search — /api/search</v>
      </c>
      <c r="C61" s="23" t="n">
        <f aca="false">COUNTIF(A_Module,$B61)</f>
        <v>3</v>
      </c>
      <c r="D61" s="23" t="n">
        <f aca="false">COUNTIFS(A_Module,$B61,A_Dev,"Done")</f>
        <v>0</v>
      </c>
      <c r="E61" s="23" t="n">
        <f aca="false">COUNTIFS(A_Module,$B61,A_Dev,"In Progress")</f>
        <v>0</v>
      </c>
      <c r="F61" s="23" t="n">
        <f aca="false">COUNTIFS(A_Module,$B61,A_Test,"Pass")</f>
        <v>0</v>
      </c>
      <c r="G61" s="23" t="n">
        <f aca="false">COUNTIFS(A_Module,$B61,A_Test,"Fail")</f>
        <v>0</v>
      </c>
      <c r="H61" s="23" t="n">
        <f aca="false">COUNTIFS(A_Module,$B61,A_Phase,"P2")</f>
        <v>1</v>
      </c>
      <c r="I61" s="24" t="n">
        <f aca="false">IFERROR(D61/C61,0)</f>
        <v>0</v>
      </c>
    </row>
    <row r="62" customFormat="false" ht="15" hidden="false" customHeight="false" outlineLevel="0" collapsed="false">
      <c r="B62" s="25" t="str">
        <f aca="false">'05_Settings &amp; Reference'!Y18</f>
        <v>Streaming — /api/stream</v>
      </c>
      <c r="C62" s="27" t="n">
        <f aca="false">COUNTIF(A_Module,$B62)</f>
        <v>3</v>
      </c>
      <c r="D62" s="27" t="n">
        <f aca="false">COUNTIFS(A_Module,$B62,A_Dev,"Done")</f>
        <v>0</v>
      </c>
      <c r="E62" s="27" t="n">
        <f aca="false">COUNTIFS(A_Module,$B62,A_Dev,"In Progress")</f>
        <v>0</v>
      </c>
      <c r="F62" s="27" t="n">
        <f aca="false">COUNTIFS(A_Module,$B62,A_Test,"Pass")</f>
        <v>0</v>
      </c>
      <c r="G62" s="27" t="n">
        <f aca="false">COUNTIFS(A_Module,$B62,A_Test,"Fail")</f>
        <v>0</v>
      </c>
      <c r="H62" s="27" t="n">
        <f aca="false">COUNTIFS(A_Module,$B62,A_Phase,"P2")</f>
        <v>0</v>
      </c>
      <c r="I62" s="28" t="n">
        <f aca="false">IFERROR(D62/C62,0)</f>
        <v>0</v>
      </c>
    </row>
    <row r="63" customFormat="false" ht="15" hidden="false" customHeight="false" outlineLevel="0" collapsed="false">
      <c r="B63" s="21" t="str">
        <f aca="false">'05_Settings &amp; Reference'!Y19</f>
        <v>Playlists — /api/playlists</v>
      </c>
      <c r="C63" s="23" t="n">
        <f aca="false">COUNTIF(A_Module,$B63)</f>
        <v>10</v>
      </c>
      <c r="D63" s="23" t="n">
        <f aca="false">COUNTIFS(A_Module,$B63,A_Dev,"Done")</f>
        <v>0</v>
      </c>
      <c r="E63" s="23" t="n">
        <f aca="false">COUNTIFS(A_Module,$B63,A_Dev,"In Progress")</f>
        <v>0</v>
      </c>
      <c r="F63" s="23" t="n">
        <f aca="false">COUNTIFS(A_Module,$B63,A_Test,"Pass")</f>
        <v>0</v>
      </c>
      <c r="G63" s="23" t="n">
        <f aca="false">COUNTIFS(A_Module,$B63,A_Test,"Fail")</f>
        <v>0</v>
      </c>
      <c r="H63" s="23" t="n">
        <f aca="false">COUNTIFS(A_Module,$B63,A_Phase,"P2")</f>
        <v>0</v>
      </c>
      <c r="I63" s="24" t="n">
        <f aca="false">IFERROR(D63/C63,0)</f>
        <v>0</v>
      </c>
    </row>
    <row r="64" customFormat="false" ht="15" hidden="false" customHeight="false" outlineLevel="0" collapsed="false">
      <c r="B64" s="25" t="str">
        <f aca="false">'05_Settings &amp; Reference'!Y20</f>
        <v>Library — /api/library</v>
      </c>
      <c r="C64" s="27" t="n">
        <f aca="false">COUNTIF(A_Module,$B64)</f>
        <v>9</v>
      </c>
      <c r="D64" s="27" t="n">
        <f aca="false">COUNTIFS(A_Module,$B64,A_Dev,"Done")</f>
        <v>0</v>
      </c>
      <c r="E64" s="27" t="n">
        <f aca="false">COUNTIFS(A_Module,$B64,A_Dev,"In Progress")</f>
        <v>0</v>
      </c>
      <c r="F64" s="27" t="n">
        <f aca="false">COUNTIFS(A_Module,$B64,A_Test,"Pass")</f>
        <v>0</v>
      </c>
      <c r="G64" s="27" t="n">
        <f aca="false">COUNTIFS(A_Module,$B64,A_Test,"Fail")</f>
        <v>0</v>
      </c>
      <c r="H64" s="27" t="n">
        <f aca="false">COUNTIFS(A_Module,$B64,A_Phase,"P2")</f>
        <v>0</v>
      </c>
      <c r="I64" s="28" t="n">
        <f aca="false">IFERROR(D64/C64,0)</f>
        <v>0</v>
      </c>
    </row>
    <row r="65" customFormat="false" ht="15" hidden="false" customHeight="false" outlineLevel="0" collapsed="false">
      <c r="B65" s="21" t="str">
        <f aca="false">'05_Settings &amp; Reference'!Y21</f>
        <v>Downloads — /api/downloads</v>
      </c>
      <c r="C65" s="23" t="n">
        <f aca="false">COUNTIF(A_Module,$B65)</f>
        <v>3</v>
      </c>
      <c r="D65" s="23" t="n">
        <f aca="false">COUNTIFS(A_Module,$B65,A_Dev,"Done")</f>
        <v>0</v>
      </c>
      <c r="E65" s="23" t="n">
        <f aca="false">COUNTIFS(A_Module,$B65,A_Dev,"In Progress")</f>
        <v>0</v>
      </c>
      <c r="F65" s="23" t="n">
        <f aca="false">COUNTIFS(A_Module,$B65,A_Test,"Pass")</f>
        <v>0</v>
      </c>
      <c r="G65" s="23" t="n">
        <f aca="false">COUNTIFS(A_Module,$B65,A_Test,"Fail")</f>
        <v>0</v>
      </c>
      <c r="H65" s="23" t="n">
        <f aca="false">COUNTIFS(A_Module,$B65,A_Phase,"P2")</f>
        <v>0</v>
      </c>
      <c r="I65" s="24" t="n">
        <f aca="false">IFERROR(D65/C65,0)</f>
        <v>0</v>
      </c>
    </row>
    <row r="66" customFormat="false" ht="15" hidden="false" customHeight="false" outlineLevel="0" collapsed="false">
      <c r="B66" s="25" t="str">
        <f aca="false">'05_Settings &amp; Reference'!Y22</f>
        <v>Lyrics — /api/lyrics</v>
      </c>
      <c r="C66" s="27" t="n">
        <f aca="false">COUNTIF(A_Module,$B66)</f>
        <v>2</v>
      </c>
      <c r="D66" s="27" t="n">
        <f aca="false">COUNTIFS(A_Module,$B66,A_Dev,"Done")</f>
        <v>0</v>
      </c>
      <c r="E66" s="27" t="n">
        <f aca="false">COUNTIFS(A_Module,$B66,A_Dev,"In Progress")</f>
        <v>0</v>
      </c>
      <c r="F66" s="27" t="n">
        <f aca="false">COUNTIFS(A_Module,$B66,A_Test,"Pass")</f>
        <v>0</v>
      </c>
      <c r="G66" s="27" t="n">
        <f aca="false">COUNTIFS(A_Module,$B66,A_Test,"Fail")</f>
        <v>0</v>
      </c>
      <c r="H66" s="27" t="n">
        <f aca="false">COUNTIFS(A_Module,$B66,A_Phase,"P2")</f>
        <v>0</v>
      </c>
      <c r="I66" s="28" t="n">
        <f aca="false">IFERROR(D66/C66,0)</f>
        <v>0</v>
      </c>
    </row>
    <row r="67" customFormat="false" ht="15" hidden="false" customHeight="false" outlineLevel="0" collapsed="false">
      <c r="B67" s="21" t="str">
        <f aca="false">'05_Settings &amp; Reference'!Y23</f>
        <v>Artist Panel — /api/artist-panel</v>
      </c>
      <c r="C67" s="23" t="n">
        <f aca="false">COUNTIF(A_Module,$B67)</f>
        <v>6</v>
      </c>
      <c r="D67" s="23" t="n">
        <f aca="false">COUNTIFS(A_Module,$B67,A_Dev,"Done")</f>
        <v>0</v>
      </c>
      <c r="E67" s="23" t="n">
        <f aca="false">COUNTIFS(A_Module,$B67,A_Dev,"In Progress")</f>
        <v>0</v>
      </c>
      <c r="F67" s="23" t="n">
        <f aca="false">COUNTIFS(A_Module,$B67,A_Test,"Pass")</f>
        <v>0</v>
      </c>
      <c r="G67" s="23" t="n">
        <f aca="false">COUNTIFS(A_Module,$B67,A_Test,"Fail")</f>
        <v>0</v>
      </c>
      <c r="H67" s="23" t="n">
        <f aca="false">COUNTIFS(A_Module,$B67,A_Phase,"P2")</f>
        <v>1</v>
      </c>
      <c r="I67" s="24" t="n">
        <f aca="false">IFERROR(D67/C67,0)</f>
        <v>0</v>
      </c>
    </row>
    <row r="68" customFormat="false" ht="15" hidden="false" customHeight="false" outlineLevel="0" collapsed="false">
      <c r="B68" s="25" t="str">
        <f aca="false">'05_Settings &amp; Reference'!Y24</f>
        <v>Admin — /api/admin</v>
      </c>
      <c r="C68" s="27" t="n">
        <f aca="false">COUNTIF(A_Module,$B68)</f>
        <v>14</v>
      </c>
      <c r="D68" s="27" t="n">
        <f aca="false">COUNTIFS(A_Module,$B68,A_Dev,"Done")</f>
        <v>0</v>
      </c>
      <c r="E68" s="27" t="n">
        <f aca="false">COUNTIFS(A_Module,$B68,A_Dev,"In Progress")</f>
        <v>0</v>
      </c>
      <c r="F68" s="27" t="n">
        <f aca="false">COUNTIFS(A_Module,$B68,A_Test,"Pass")</f>
        <v>0</v>
      </c>
      <c r="G68" s="27" t="n">
        <f aca="false">COUNTIFS(A_Module,$B68,A_Test,"Fail")</f>
        <v>0</v>
      </c>
      <c r="H68" s="27" t="n">
        <f aca="false">COUNTIFS(A_Module,$B68,A_Phase,"P2")</f>
        <v>0</v>
      </c>
      <c r="I68" s="28" t="n">
        <f aca="false">IFERROR(D68/C68,0)</f>
        <v>0</v>
      </c>
    </row>
    <row r="69" customFormat="false" ht="15" hidden="false" customHeight="false" outlineLevel="0" collapsed="false">
      <c r="B69" s="21" t="str">
        <f aca="false">'05_Settings &amp; Reference'!Y25</f>
        <v>Analytics — /api/analytics</v>
      </c>
      <c r="C69" s="23" t="n">
        <f aca="false">COUNTIF(A_Module,$B69)</f>
        <v>4</v>
      </c>
      <c r="D69" s="23" t="n">
        <f aca="false">COUNTIFS(A_Module,$B69,A_Dev,"Done")</f>
        <v>0</v>
      </c>
      <c r="E69" s="23" t="n">
        <f aca="false">COUNTIFS(A_Module,$B69,A_Dev,"In Progress")</f>
        <v>0</v>
      </c>
      <c r="F69" s="23" t="n">
        <f aca="false">COUNTIFS(A_Module,$B69,A_Test,"Pass")</f>
        <v>0</v>
      </c>
      <c r="G69" s="23" t="n">
        <f aca="false">COUNTIFS(A_Module,$B69,A_Test,"Fail")</f>
        <v>0</v>
      </c>
      <c r="H69" s="23" t="n">
        <f aca="false">COUNTIFS(A_Module,$B69,A_Phase,"P2")</f>
        <v>1</v>
      </c>
      <c r="I69" s="24" t="n">
        <f aca="false">IFERROR(D69/C69,0)</f>
        <v>0</v>
      </c>
    </row>
    <row r="70" customFormat="false" ht="15" hidden="false" customHeight="false" outlineLevel="0" collapsed="false">
      <c r="B70" s="29" t="s">
        <v>51</v>
      </c>
      <c r="C70" s="31" t="n">
        <f aca="false">SUM(C55:C69)</f>
        <v>83</v>
      </c>
      <c r="D70" s="31" t="n">
        <f aca="false">SUM(D55:D69)</f>
        <v>0</v>
      </c>
      <c r="E70" s="31" t="n">
        <f aca="false">SUM(E55:E69)</f>
        <v>0</v>
      </c>
      <c r="F70" s="31" t="n">
        <f aca="false">SUM(F55:F69)</f>
        <v>0</v>
      </c>
      <c r="G70" s="31" t="n">
        <f aca="false">SUM(G55:G69)</f>
        <v>0</v>
      </c>
      <c r="H70" s="31" t="n">
        <f aca="false">SUM(H55:H69)</f>
        <v>6</v>
      </c>
      <c r="I70" s="32" t="n">
        <f aca="false">IFERROR(D70/C70,0)</f>
        <v>0</v>
      </c>
    </row>
    <row r="72" customFormat="false" ht="24" hidden="false" customHeight="true" outlineLevel="0" collapsed="false">
      <c r="B72" s="3" t="s">
        <v>62</v>
      </c>
      <c r="C72" s="4"/>
      <c r="D72" s="4"/>
      <c r="E72" s="4"/>
      <c r="F72" s="4"/>
      <c r="G72" s="4"/>
      <c r="H72" s="4"/>
      <c r="I72" s="4"/>
    </row>
    <row r="73" customFormat="false" ht="30" hidden="false" customHeight="true" outlineLevel="0" collapsed="false">
      <c r="B73" s="20" t="s">
        <v>9</v>
      </c>
      <c r="C73" s="20" t="s">
        <v>47</v>
      </c>
      <c r="D73" s="20" t="s">
        <v>63</v>
      </c>
      <c r="E73" s="20" t="s">
        <v>64</v>
      </c>
      <c r="F73" s="20" t="s">
        <v>65</v>
      </c>
      <c r="G73" s="20" t="s">
        <v>66</v>
      </c>
      <c r="H73" s="20" t="s">
        <v>67</v>
      </c>
      <c r="I73" s="20"/>
    </row>
    <row r="74" customFormat="false" ht="30" hidden="false" customHeight="true" outlineLevel="0" collapsed="false">
      <c r="B74" s="25" t="str">
        <f aca="false">'05_Settings &amp; Reference'!A19</f>
        <v>Release Alpha</v>
      </c>
      <c r="C74" s="27" t="n">
        <f aca="false">'05_Settings &amp; Reference'!B19</f>
        <v>21</v>
      </c>
      <c r="D74" s="33" t="n">
        <f aca="false">CFG_Start+C74*7-1</f>
        <v>46453</v>
      </c>
      <c r="E74" s="27" t="n">
        <f aca="false">COUNTIFS(W_EndWk,"&lt;="&amp;C74,W_Task,"?*")</f>
        <v>42</v>
      </c>
      <c r="F74" s="27" t="n">
        <f aca="false">COUNTIFS(W_EndWk,"&lt;="&amp;C74,W_Status,"Done")</f>
        <v>0</v>
      </c>
      <c r="G74" s="28" t="n">
        <f aca="false">IFERROR(SUMIFS(W_DoneDays,W_EndWk,"&lt;="&amp;C74)/SUMIFS(W_Days,W_EndWk,"&lt;="&amp;C74),0)</f>
        <v>0.00526315789473684</v>
      </c>
      <c r="H74" s="26" t="str">
        <f aca="true">IF(G74&gt;=1,"✔ Đạt",IF(TODAY()&gt;D74,"⚠ Quá hạn","Còn "&amp;(D74-TODAY())&amp;" ngày"))</f>
        <v>Còn 146 ngày</v>
      </c>
      <c r="I74" s="34" t="str">
        <f aca="false">'05_Settings &amp; Reference'!C19</f>
        <v>MVP nội bộ: FE + BE + MySQL chạy được, phát/tìm nhạc</v>
      </c>
    </row>
    <row r="75" customFormat="false" ht="30" hidden="false" customHeight="true" outlineLevel="0" collapsed="false">
      <c r="B75" s="21" t="str">
        <f aca="false">'05_Settings &amp; Reference'!A20</f>
        <v>Release Beta</v>
      </c>
      <c r="C75" s="23" t="n">
        <f aca="false">'05_Settings &amp; Reference'!B20</f>
        <v>27</v>
      </c>
      <c r="D75" s="35" t="n">
        <f aca="false">CFG_Start+C75*7-1</f>
        <v>46495</v>
      </c>
      <c r="E75" s="23" t="n">
        <f aca="false">COUNTIFS(W_EndWk,"&lt;="&amp;C75,W_Task,"?*")</f>
        <v>58</v>
      </c>
      <c r="F75" s="23" t="n">
        <f aca="false">COUNTIFS(W_EndWk,"&lt;="&amp;C75,W_Status,"Done")</f>
        <v>0</v>
      </c>
      <c r="G75" s="24" t="n">
        <f aca="false">IFERROR(SUMIFS(W_DoneDays,W_EndWk,"&lt;="&amp;C75)/SUMIFS(W_Days,W_EndWk,"&lt;="&amp;C75),0)</f>
        <v>0.00384615384615385</v>
      </c>
      <c r="H75" s="22" t="str">
        <f aca="true">IF(G75&gt;=1,"✔ Đạt",IF(TODAY()&gt;D75,"⚠ Quá hạn","Còn "&amp;(D75-TODAY())&amp;" ngày"))</f>
        <v>Còn 188 ngày</v>
      </c>
      <c r="I75" s="36" t="str">
        <f aca="false">'05_Settings &amp; Reference'!C20</f>
        <v>Có tài khoản, playlist, nhạc trên cloud, admin; 5–10 người dùng thử</v>
      </c>
    </row>
    <row r="76" customFormat="false" ht="30" hidden="false" customHeight="true" outlineLevel="0" collapsed="false">
      <c r="B76" s="25" t="str">
        <f aca="false">'05_Settings &amp; Reference'!A21</f>
        <v>Release Production</v>
      </c>
      <c r="C76" s="27" t="n">
        <f aca="false">'05_Settings &amp; Reference'!B21</f>
        <v>34</v>
      </c>
      <c r="D76" s="33" t="n">
        <f aca="false">CFG_Start+C76*7-1</f>
        <v>46544</v>
      </c>
      <c r="E76" s="27" t="n">
        <f aca="false">COUNTIFS(W_EndWk,"&lt;="&amp;C76,W_Task,"?*")</f>
        <v>76</v>
      </c>
      <c r="F76" s="27" t="n">
        <f aca="false">COUNTIFS(W_EndWk,"&lt;="&amp;C76,W_Status,"Done")</f>
        <v>0</v>
      </c>
      <c r="G76" s="28" t="n">
        <f aca="false">IFERROR(SUMIFS(W_DoneDays,W_EndWk,"&lt;="&amp;C76)/SUMIFS(W_Days,W_EndWk,"&lt;="&amp;C76),0)</f>
        <v>0.00294117647058824</v>
      </c>
      <c r="H76" s="26" t="str">
        <f aca="true">IF(G76&gt;=1,"✔ Đạt",IF(TODAY()&gt;D76,"⚠ Quá hạn","Còn "&amp;(D76-TODAY())&amp;" ngày"))</f>
        <v>Còn 237 ngày</v>
      </c>
      <c r="I76" s="34" t="str">
        <f aca="false">'05_Settings &amp; Reference'!C21</f>
        <v>PWA offline, lyric, deploy công khai có HTTPS</v>
      </c>
    </row>
    <row r="78" customFormat="false" ht="24" hidden="false" customHeight="true" outlineLevel="0" collapsed="false">
      <c r="B78" s="3" t="s">
        <v>68</v>
      </c>
      <c r="C78" s="4"/>
      <c r="D78" s="4"/>
      <c r="E78" s="4"/>
      <c r="F78" s="4"/>
      <c r="G78" s="4"/>
      <c r="H78" s="4"/>
      <c r="I78" s="4"/>
    </row>
    <row r="79" customFormat="false" ht="30" hidden="false" customHeight="true" outlineLevel="0" collapsed="false">
      <c r="B79" s="20" t="s">
        <v>69</v>
      </c>
      <c r="C79" s="20" t="s">
        <v>48</v>
      </c>
      <c r="D79" s="20" t="s">
        <v>25</v>
      </c>
      <c r="E79" s="20" t="s">
        <v>26</v>
      </c>
      <c r="F79" s="20" t="s">
        <v>49</v>
      </c>
      <c r="G79" s="20" t="s">
        <v>70</v>
      </c>
      <c r="H79" s="20" t="s">
        <v>50</v>
      </c>
      <c r="I79" s="20" t="s">
        <v>71</v>
      </c>
    </row>
    <row r="80" customFormat="false" ht="27.75" hidden="false" customHeight="true" outlineLevel="0" collapsed="false">
      <c r="B80" s="25" t="str">
        <f aca="false">'05_Settings &amp; Reference'!A11</f>
        <v>Nhật</v>
      </c>
      <c r="C80" s="27" t="n">
        <f aca="false">COUNTIF(W_Assignee,$B80)</f>
        <v>76</v>
      </c>
      <c r="D80" s="27" t="n">
        <f aca="false">COUNTIFS(W_Assignee,$B80,W_Status,"Done")</f>
        <v>0</v>
      </c>
      <c r="E80" s="27" t="n">
        <f aca="false">COUNTIFS(W_Assignee,$B80,W_Status,"In Progress")</f>
        <v>1</v>
      </c>
      <c r="F80" s="27" t="n">
        <f aca="false">COUNTIFS(W_Assignee,$B80,W_Alert,"⚠ Trễ hạn")</f>
        <v>0</v>
      </c>
      <c r="G80" s="27" t="n">
        <f aca="false">SUMIFS(W_Days,W_Assignee,$B80)</f>
        <v>510</v>
      </c>
      <c r="H80" s="28" t="n">
        <f aca="false">IFERROR(SUMIFS(W_DoneDays,W_Assignee,$B80)/G80,0)</f>
        <v>0.00294117647058824</v>
      </c>
      <c r="I80" s="34" t="str">
        <f aca="false">'05_Settings &amp; Reference'!B11</f>
        <v>Fullstack + PM: FE, BE, Database, UI/UX, QA, DevOps</v>
      </c>
    </row>
    <row r="81" customFormat="false" ht="27.75" hidden="false" customHeight="true" outlineLevel="0" collapsed="false">
      <c r="B81" s="21" t="str">
        <f aca="false">'05_Settings &amp; Reference'!A12</f>
        <v>Thành viên 2</v>
      </c>
      <c r="C81" s="23" t="n">
        <f aca="false">COUNTIF(W_Assignee,$B81)</f>
        <v>0</v>
      </c>
      <c r="D81" s="23" t="n">
        <f aca="false">COUNTIFS(W_Assignee,$B81,W_Status,"Done")</f>
        <v>0</v>
      </c>
      <c r="E81" s="23" t="n">
        <f aca="false">COUNTIFS(W_Assignee,$B81,W_Status,"In Progress")</f>
        <v>0</v>
      </c>
      <c r="F81" s="23" t="n">
        <f aca="false">COUNTIFS(W_Assignee,$B81,W_Alert,"⚠ Trễ hạn")</f>
        <v>0</v>
      </c>
      <c r="G81" s="23" t="n">
        <f aca="false">SUMIFS(W_Days,W_Assignee,$B81)</f>
        <v>0</v>
      </c>
      <c r="H81" s="24" t="n">
        <f aca="false">IFERROR(SUMIFS(W_DoneDays,W_Assignee,$B81)/G81,0)</f>
        <v>0</v>
      </c>
      <c r="I81" s="36" t="str">
        <f aca="false">'05_Settings &amp; Reference'!B12</f>
        <v>UI/UX Designer (đổi tên khi có người tham gia)</v>
      </c>
    </row>
    <row r="82" customFormat="false" ht="27.75" hidden="false" customHeight="true" outlineLevel="0" collapsed="false">
      <c r="B82" s="25" t="str">
        <f aca="false">'05_Settings &amp; Reference'!A13</f>
        <v>Thành viên 3</v>
      </c>
      <c r="C82" s="27" t="n">
        <f aca="false">COUNTIF(W_Assignee,$B82)</f>
        <v>0</v>
      </c>
      <c r="D82" s="27" t="n">
        <f aca="false">COUNTIFS(W_Assignee,$B82,W_Status,"Done")</f>
        <v>0</v>
      </c>
      <c r="E82" s="27" t="n">
        <f aca="false">COUNTIFS(W_Assignee,$B82,W_Status,"In Progress")</f>
        <v>0</v>
      </c>
      <c r="F82" s="27" t="n">
        <f aca="false">COUNTIFS(W_Assignee,$B82,W_Alert,"⚠ Trễ hạn")</f>
        <v>0</v>
      </c>
      <c r="G82" s="27" t="n">
        <f aca="false">SUMIFS(W_Days,W_Assignee,$B82)</f>
        <v>0</v>
      </c>
      <c r="H82" s="28" t="n">
        <f aca="false">IFERROR(SUMIFS(W_DoneDays,W_Assignee,$B82)/G82,0)</f>
        <v>0</v>
      </c>
      <c r="I82" s="34" t="str">
        <f aca="false">'05_Settings &amp; Reference'!B13</f>
        <v>QA / Tester (đổi tên khi có người tham gia)</v>
      </c>
    </row>
    <row r="83" customFormat="false" ht="27.75" hidden="false" customHeight="true" outlineLevel="0" collapsed="false">
      <c r="B83" s="21" t="str">
        <f aca="false">'05_Settings &amp; Reference'!A14</f>
        <v>Thành viên 4</v>
      </c>
      <c r="C83" s="23" t="n">
        <f aca="false">COUNTIF(W_Assignee,$B83)</f>
        <v>0</v>
      </c>
      <c r="D83" s="23" t="n">
        <f aca="false">COUNTIFS(W_Assignee,$B83,W_Status,"Done")</f>
        <v>0</v>
      </c>
      <c r="E83" s="23" t="n">
        <f aca="false">COUNTIFS(W_Assignee,$B83,W_Status,"In Progress")</f>
        <v>0</v>
      </c>
      <c r="F83" s="23" t="n">
        <f aca="false">COUNTIFS(W_Assignee,$B83,W_Alert,"⚠ Trễ hạn")</f>
        <v>0</v>
      </c>
      <c r="G83" s="23" t="n">
        <f aca="false">SUMIFS(W_Days,W_Assignee,$B83)</f>
        <v>0</v>
      </c>
      <c r="H83" s="24" t="n">
        <f aca="false">IFERROR(SUMIFS(W_DoneDays,W_Assignee,$B83)/G83,0)</f>
        <v>0</v>
      </c>
      <c r="I83" s="36" t="str">
        <f aca="false">'05_Settings &amp; Reference'!B14</f>
        <v>Mobile Flutter / DevOps (đổi tên khi có người tham gia)</v>
      </c>
    </row>
    <row r="84" customFormat="false" ht="27.75" hidden="false" customHeight="true" outlineLevel="0" collapsed="false">
      <c r="B84" s="25" t="str">
        <f aca="false">'05_Settings &amp; Reference'!A15</f>
        <v>Cả nhóm</v>
      </c>
      <c r="C84" s="27" t="n">
        <f aca="false">COUNTIF(W_Assignee,$B84)</f>
        <v>0</v>
      </c>
      <c r="D84" s="27" t="n">
        <f aca="false">COUNTIFS(W_Assignee,$B84,W_Status,"Done")</f>
        <v>0</v>
      </c>
      <c r="E84" s="27" t="n">
        <f aca="false">COUNTIFS(W_Assignee,$B84,W_Status,"In Progress")</f>
        <v>0</v>
      </c>
      <c r="F84" s="27" t="n">
        <f aca="false">COUNTIFS(W_Assignee,$B84,W_Alert,"⚠ Trễ hạn")</f>
        <v>0</v>
      </c>
      <c r="G84" s="27" t="n">
        <f aca="false">SUMIFS(W_Days,W_Assignee,$B84)</f>
        <v>0</v>
      </c>
      <c r="H84" s="28" t="n">
        <f aca="false">IFERROR(SUMIFS(W_DoneDays,W_Assignee,$B84)/G84,0)</f>
        <v>0</v>
      </c>
      <c r="I84" s="34" t="str">
        <f aca="false">'05_Settings &amp; Reference'!B15</f>
        <v>Việc chung của cả nhóm</v>
      </c>
    </row>
  </sheetData>
  <mergeCells count="11">
    <mergeCell ref="B2:I2"/>
    <mergeCell ref="B3:I3"/>
    <mergeCell ref="C6:I6"/>
    <mergeCell ref="C7:I7"/>
    <mergeCell ref="C8:I8"/>
    <mergeCell ref="C9:I9"/>
    <mergeCell ref="C10:I10"/>
    <mergeCell ref="C11:I11"/>
    <mergeCell ref="C12:I12"/>
    <mergeCell ref="B15:B17"/>
    <mergeCell ref="B19:B21"/>
  </mergeCells>
  <conditionalFormatting sqref="H25:H34">
    <cfRule type="dataBar" priority="2">
      <dataBar showValue="1" minLength="10" maxLength="90">
        <cfvo type="num" val="0"/>
        <cfvo type="num" val="1"/>
        <color rgb="FF10B981"/>
      </dataBar>
      <extLst>
        <ext xmlns:x14="http://schemas.microsoft.com/office/spreadsheetml/2009/9/main" uri="{B025F937-C7B1-47D3-B67F-A62EFF666E3E}">
          <x14:id>{23B39E1A-D3F2-4CE3-A289-F76EEA2AF5DE}</x14:id>
        </ext>
      </extLst>
    </cfRule>
  </conditionalFormatting>
  <conditionalFormatting sqref="G25:G34">
    <cfRule type="cellIs" priority="3" operator="greaterThan" aboveAverage="0" equalAverage="0" bottom="0" percent="0" rank="0" text="" dxfId="0">
      <formula>0</formula>
    </cfRule>
  </conditionalFormatting>
  <conditionalFormatting sqref="I39:I51">
    <cfRule type="dataBar" priority="4">
      <dataBar showValue="1" minLength="10" maxLength="90">
        <cfvo type="num" val="0"/>
        <cfvo type="num" val="1"/>
        <color rgb="FF10B981"/>
      </dataBar>
      <extLst>
        <ext xmlns:x14="http://schemas.microsoft.com/office/spreadsheetml/2009/9/main" uri="{B025F937-C7B1-47D3-B67F-A62EFF666E3E}">
          <x14:id>{79C8C0EC-F625-46A3-AF5E-4240D85941EB}</x14:id>
        </ext>
      </extLst>
    </cfRule>
  </conditionalFormatting>
  <conditionalFormatting sqref="I55:I69">
    <cfRule type="dataBar" priority="5">
      <dataBar showValue="1" minLength="10" maxLength="90">
        <cfvo type="num" val="0"/>
        <cfvo type="num" val="1"/>
        <color rgb="FF10B981"/>
      </dataBar>
      <extLst>
        <ext xmlns:x14="http://schemas.microsoft.com/office/spreadsheetml/2009/9/main" uri="{B025F937-C7B1-47D3-B67F-A62EFF666E3E}">
          <x14:id>{7930D4B0-58E3-43C7-A0BF-2F9E9CC92C36}</x14:id>
        </ext>
      </extLst>
    </cfRule>
  </conditionalFormatting>
  <conditionalFormatting sqref="G74:G76">
    <cfRule type="dataBar" priority="6">
      <dataBar showValue="1" minLength="10" maxLength="90">
        <cfvo type="num" val="0"/>
        <cfvo type="num" val="1"/>
        <color rgb="FF10B981"/>
      </dataBar>
      <extLst>
        <ext xmlns:x14="http://schemas.microsoft.com/office/spreadsheetml/2009/9/main" uri="{B025F937-C7B1-47D3-B67F-A62EFF666E3E}">
          <x14:id>{3B2F17F8-D2F3-47EB-8C83-80F5DB7195DC}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B39E1A-D3F2-4CE3-A289-F76EEA2AF5D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0B981"/>
              <x14:axisColor rgb="FF000000"/>
            </x14:dataBar>
          </x14:cfRule>
          <xm:sqref>H25:H34</xm:sqref>
        </x14:conditionalFormatting>
        <x14:conditionalFormatting xmlns:xm="http://schemas.microsoft.com/office/excel/2006/main">
          <x14:cfRule type="dataBar" id="{79C8C0EC-F625-46A3-AF5E-4240D85941E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0B981"/>
              <x14:axisColor rgb="FF000000"/>
            </x14:dataBar>
          </x14:cfRule>
          <xm:sqref>I39:I51</xm:sqref>
        </x14:conditionalFormatting>
        <x14:conditionalFormatting xmlns:xm="http://schemas.microsoft.com/office/excel/2006/main">
          <x14:cfRule type="dataBar" id="{7930D4B0-58E3-43C7-A0BF-2F9E9CC92C3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0B981"/>
              <x14:axisColor rgb="FF000000"/>
            </x14:dataBar>
          </x14:cfRule>
          <xm:sqref>I55:I69</xm:sqref>
        </x14:conditionalFormatting>
        <x14:conditionalFormatting xmlns:xm="http://schemas.microsoft.com/office/excel/2006/main">
          <x14:cfRule type="dataBar" id="{3B2F17F8-D2F3-47EB-8C83-80F5DB7195D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0B981"/>
              <x14:axisColor rgb="FF000000"/>
            </x14:dataBar>
          </x14:cfRule>
          <xm:sqref>G74:G76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72A"/>
    <pageSetUpPr fitToPage="true"/>
  </sheetPr>
  <dimension ref="A1:R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54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9" min="8" style="0" width="7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24"/>
    <col collapsed="false" customWidth="true" hidden="false" outlineLevel="0" max="14" min="14" style="0" width="34"/>
    <col collapsed="false" customWidth="true" hidden="false" outlineLevel="0" max="16" min="15" style="0" width="10"/>
    <col collapsed="false" customWidth="true" hidden="false" outlineLevel="0" max="17" min="17" style="0" width="12"/>
    <col collapsed="false" customWidth="true" hidden="false" outlineLevel="0" max="18" min="18" style="0" width="10"/>
  </cols>
  <sheetData>
    <row r="1" customFormat="false" ht="33.75" hidden="false" customHeight="true" outlineLevel="0" collapsed="false">
      <c r="A1" s="37" t="s">
        <v>72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</row>
    <row r="2" customFormat="false" ht="30" hidden="false" customHeight="true" outlineLevel="0" collapsed="false">
      <c r="A2" s="38" t="s">
        <v>73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4" customFormat="false" ht="31.5" hidden="false" customHeight="true" outlineLevel="0" collapsed="false">
      <c r="A4" s="39" t="s">
        <v>74</v>
      </c>
      <c r="B4" s="39" t="s">
        <v>75</v>
      </c>
      <c r="C4" s="39" t="s">
        <v>76</v>
      </c>
      <c r="D4" s="39" t="s">
        <v>77</v>
      </c>
      <c r="E4" s="39" t="s">
        <v>78</v>
      </c>
      <c r="F4" s="39" t="s">
        <v>79</v>
      </c>
      <c r="G4" s="39" t="s">
        <v>80</v>
      </c>
      <c r="H4" s="39" t="s">
        <v>81</v>
      </c>
      <c r="I4" s="39" t="s">
        <v>82</v>
      </c>
      <c r="J4" s="40" t="s">
        <v>83</v>
      </c>
      <c r="K4" s="39" t="s">
        <v>67</v>
      </c>
      <c r="L4" s="39" t="s">
        <v>84</v>
      </c>
      <c r="M4" s="39" t="s">
        <v>85</v>
      </c>
      <c r="N4" s="39" t="s">
        <v>86</v>
      </c>
      <c r="O4" s="40" t="s">
        <v>87</v>
      </c>
      <c r="P4" s="40" t="s">
        <v>88</v>
      </c>
      <c r="Q4" s="40" t="s">
        <v>89</v>
      </c>
      <c r="R4" s="40" t="s">
        <v>90</v>
      </c>
    </row>
    <row r="5" customFormat="false" ht="23.85" hidden="false" customHeight="false" outlineLevel="0" collapsed="false">
      <c r="A5" s="41" t="s">
        <v>91</v>
      </c>
      <c r="B5" s="42" t="s">
        <v>92</v>
      </c>
      <c r="C5" s="42" t="s">
        <v>93</v>
      </c>
      <c r="D5" s="42" t="s">
        <v>94</v>
      </c>
      <c r="E5" s="43" t="s">
        <v>95</v>
      </c>
      <c r="F5" s="43" t="s">
        <v>96</v>
      </c>
      <c r="G5" s="43" t="s">
        <v>97</v>
      </c>
      <c r="H5" s="43" t="n">
        <v>1</v>
      </c>
      <c r="I5" s="43" t="n">
        <v>1</v>
      </c>
      <c r="J5" s="44" t="n">
        <f aca="false">IF(OR(H5="",I5=""),"",(I5-H5+1)*5)</f>
        <v>5</v>
      </c>
      <c r="K5" s="43" t="s">
        <v>26</v>
      </c>
      <c r="L5" s="45" t="n">
        <v>0.3</v>
      </c>
      <c r="M5" s="42" t="s">
        <v>98</v>
      </c>
      <c r="N5" s="42" t="s">
        <v>99</v>
      </c>
      <c r="O5" s="46" t="n">
        <f aca="false">IF(H5="","",CFG_Start+(H5-1)*7)</f>
        <v>46307</v>
      </c>
      <c r="P5" s="46" t="n">
        <f aca="false">IF(I5="","",CFG_Start+I5*7-1)</f>
        <v>46313</v>
      </c>
      <c r="Q5" s="47" t="str">
        <f aca="true">IF(D5="","",IF(K5="Done","✔ Xong",IF(K5="Blocked","⛔ Blocked",IF(P5&lt;TODAY(),"⚠ Trễ hạn",IF(O5&lt;=TODAY(),"▶ Trong kỳ","Chưa tới")))))</f>
        <v>▶ Trong kỳ</v>
      </c>
      <c r="R5" s="44" t="n">
        <f aca="false">IF(J5="",0,J5*IF(K5="Done",1,IF(L5="",0,L5)))</f>
        <v>1.5</v>
      </c>
    </row>
    <row r="6" customFormat="false" ht="23.85" hidden="false" customHeight="false" outlineLevel="0" collapsed="false">
      <c r="A6" s="41" t="s">
        <v>100</v>
      </c>
      <c r="B6" s="42" t="s">
        <v>92</v>
      </c>
      <c r="C6" s="42" t="s">
        <v>93</v>
      </c>
      <c r="D6" s="42" t="s">
        <v>101</v>
      </c>
      <c r="E6" s="43" t="s">
        <v>95</v>
      </c>
      <c r="F6" s="43" t="s">
        <v>102</v>
      </c>
      <c r="G6" s="43" t="s">
        <v>97</v>
      </c>
      <c r="H6" s="43" t="n">
        <v>1</v>
      </c>
      <c r="I6" s="43" t="n">
        <v>1</v>
      </c>
      <c r="J6" s="44" t="n">
        <f aca="false">IF(OR(H6="",I6=""),"",(I6-H6+1)*5)</f>
        <v>5</v>
      </c>
      <c r="K6" s="43" t="s">
        <v>29</v>
      </c>
      <c r="L6" s="45" t="n">
        <v>0</v>
      </c>
      <c r="M6" s="42" t="s">
        <v>103</v>
      </c>
      <c r="N6" s="42"/>
      <c r="O6" s="46" t="n">
        <f aca="false">IF(H6="","",CFG_Start+(H6-1)*7)</f>
        <v>46307</v>
      </c>
      <c r="P6" s="46" t="n">
        <f aca="false">IF(I6="","",CFG_Start+I6*7-1)</f>
        <v>46313</v>
      </c>
      <c r="Q6" s="47" t="str">
        <f aca="true">IF(D6="","",IF(K6="Done","✔ Xong",IF(K6="Blocked","⛔ Blocked",IF(P6&lt;TODAY(),"⚠ Trễ hạn",IF(O6&lt;=TODAY(),"▶ Trong kỳ","Chưa tới")))))</f>
        <v>▶ Trong kỳ</v>
      </c>
      <c r="R6" s="44" t="n">
        <f aca="false">IF(J6="",0,J6*IF(K6="Done",1,IF(L6="",0,L6)))</f>
        <v>0</v>
      </c>
    </row>
    <row r="7" customFormat="false" ht="23.85" hidden="false" customHeight="false" outlineLevel="0" collapsed="false">
      <c r="A7" s="41" t="s">
        <v>104</v>
      </c>
      <c r="B7" s="42" t="s">
        <v>92</v>
      </c>
      <c r="C7" s="42" t="s">
        <v>93</v>
      </c>
      <c r="D7" s="42" t="s">
        <v>105</v>
      </c>
      <c r="E7" s="43" t="s">
        <v>95</v>
      </c>
      <c r="F7" s="43" t="s">
        <v>102</v>
      </c>
      <c r="G7" s="43" t="s">
        <v>97</v>
      </c>
      <c r="H7" s="43" t="n">
        <v>1</v>
      </c>
      <c r="I7" s="43" t="n">
        <v>2</v>
      </c>
      <c r="J7" s="44" t="n">
        <f aca="false">IF(OR(H7="",I7=""),"",(I7-H7+1)*5)</f>
        <v>10</v>
      </c>
      <c r="K7" s="43" t="s">
        <v>29</v>
      </c>
      <c r="L7" s="45" t="n">
        <v>0</v>
      </c>
      <c r="M7" s="42" t="s">
        <v>106</v>
      </c>
      <c r="N7" s="42" t="s">
        <v>107</v>
      </c>
      <c r="O7" s="46" t="n">
        <f aca="false">IF(H7="","",CFG_Start+(H7-1)*7)</f>
        <v>46307</v>
      </c>
      <c r="P7" s="46" t="n">
        <f aca="false">IF(I7="","",CFG_Start+I7*7-1)</f>
        <v>46320</v>
      </c>
      <c r="Q7" s="47" t="str">
        <f aca="true">IF(D7="","",IF(K7="Done","✔ Xong",IF(K7="Blocked","⛔ Blocked",IF(P7&lt;TODAY(),"⚠ Trễ hạn",IF(O7&lt;=TODAY(),"▶ Trong kỳ","Chưa tới")))))</f>
        <v>▶ Trong kỳ</v>
      </c>
      <c r="R7" s="44" t="n">
        <f aca="false">IF(J7="",0,J7*IF(K7="Done",1,IF(L7="",0,L7)))</f>
        <v>0</v>
      </c>
    </row>
    <row r="8" customFormat="false" ht="23.85" hidden="false" customHeight="false" outlineLevel="0" collapsed="false">
      <c r="A8" s="41" t="s">
        <v>108</v>
      </c>
      <c r="B8" s="42" t="s">
        <v>92</v>
      </c>
      <c r="C8" s="42" t="s">
        <v>93</v>
      </c>
      <c r="D8" s="42" t="s">
        <v>109</v>
      </c>
      <c r="E8" s="43" t="s">
        <v>95</v>
      </c>
      <c r="F8" s="43" t="s">
        <v>110</v>
      </c>
      <c r="G8" s="43" t="s">
        <v>97</v>
      </c>
      <c r="H8" s="43" t="n">
        <v>2</v>
      </c>
      <c r="I8" s="43" t="n">
        <v>2</v>
      </c>
      <c r="J8" s="44" t="n">
        <f aca="false">IF(OR(H8="",I8=""),"",(I8-H8+1)*5)</f>
        <v>5</v>
      </c>
      <c r="K8" s="43" t="s">
        <v>29</v>
      </c>
      <c r="L8" s="45" t="n">
        <v>0</v>
      </c>
      <c r="M8" s="42" t="s">
        <v>111</v>
      </c>
      <c r="N8" s="42"/>
      <c r="O8" s="46" t="n">
        <f aca="false">IF(H8="","",CFG_Start+(H8-1)*7)</f>
        <v>46314</v>
      </c>
      <c r="P8" s="46" t="n">
        <f aca="false">IF(I8="","",CFG_Start+I8*7-1)</f>
        <v>46320</v>
      </c>
      <c r="Q8" s="47" t="str">
        <f aca="true">IF(D8="","",IF(K8="Done","✔ Xong",IF(K8="Blocked","⛔ Blocked",IF(P8&lt;TODAY(),"⚠ Trễ hạn",IF(O8&lt;=TODAY(),"▶ Trong kỳ","Chưa tới")))))</f>
        <v>Chưa tới</v>
      </c>
      <c r="R8" s="44" t="n">
        <f aca="false">IF(J8="",0,J8*IF(K8="Done",1,IF(L8="",0,L8)))</f>
        <v>0</v>
      </c>
    </row>
    <row r="9" customFormat="false" ht="23.85" hidden="false" customHeight="false" outlineLevel="0" collapsed="false">
      <c r="A9" s="41" t="s">
        <v>112</v>
      </c>
      <c r="B9" s="42" t="s">
        <v>92</v>
      </c>
      <c r="C9" s="42" t="s">
        <v>113</v>
      </c>
      <c r="D9" s="42" t="s">
        <v>114</v>
      </c>
      <c r="E9" s="43" t="s">
        <v>95</v>
      </c>
      <c r="F9" s="43" t="s">
        <v>115</v>
      </c>
      <c r="G9" s="43" t="s">
        <v>116</v>
      </c>
      <c r="H9" s="43" t="n">
        <v>2</v>
      </c>
      <c r="I9" s="43" t="n">
        <v>2</v>
      </c>
      <c r="J9" s="44" t="n">
        <f aca="false">IF(OR(H9="",I9=""),"",(I9-H9+1)*5)</f>
        <v>5</v>
      </c>
      <c r="K9" s="43" t="s">
        <v>29</v>
      </c>
      <c r="L9" s="45" t="n">
        <v>0</v>
      </c>
      <c r="M9" s="42" t="s">
        <v>117</v>
      </c>
      <c r="N9" s="42" t="s">
        <v>118</v>
      </c>
      <c r="O9" s="46" t="n">
        <f aca="false">IF(H9="","",CFG_Start+(H9-1)*7)</f>
        <v>46314</v>
      </c>
      <c r="P9" s="46" t="n">
        <f aca="false">IF(I9="","",CFG_Start+I9*7-1)</f>
        <v>46320</v>
      </c>
      <c r="Q9" s="47" t="str">
        <f aca="true">IF(D9="","",IF(K9="Done","✔ Xong",IF(K9="Blocked","⛔ Blocked",IF(P9&lt;TODAY(),"⚠ Trễ hạn",IF(O9&lt;=TODAY(),"▶ Trong kỳ","Chưa tới")))))</f>
        <v>Chưa tới</v>
      </c>
      <c r="R9" s="44" t="n">
        <f aca="false">IF(J9="",0,J9*IF(K9="Done",1,IF(L9="",0,L9)))</f>
        <v>0</v>
      </c>
    </row>
    <row r="10" customFormat="false" ht="23.85" hidden="false" customHeight="false" outlineLevel="0" collapsed="false">
      <c r="A10" s="41" t="s">
        <v>119</v>
      </c>
      <c r="B10" s="42" t="s">
        <v>92</v>
      </c>
      <c r="C10" s="42" t="s">
        <v>120</v>
      </c>
      <c r="D10" s="42" t="s">
        <v>121</v>
      </c>
      <c r="E10" s="43" t="s">
        <v>95</v>
      </c>
      <c r="F10" s="43" t="s">
        <v>110</v>
      </c>
      <c r="G10" s="43" t="s">
        <v>97</v>
      </c>
      <c r="H10" s="43" t="n">
        <v>2</v>
      </c>
      <c r="I10" s="43" t="n">
        <v>2</v>
      </c>
      <c r="J10" s="44" t="n">
        <f aca="false">IF(OR(H10="",I10=""),"",(I10-H10+1)*5)</f>
        <v>5</v>
      </c>
      <c r="K10" s="43" t="s">
        <v>29</v>
      </c>
      <c r="L10" s="45" t="n">
        <v>0</v>
      </c>
      <c r="M10" s="42" t="s">
        <v>122</v>
      </c>
      <c r="N10" s="42" t="s">
        <v>123</v>
      </c>
      <c r="O10" s="46" t="n">
        <f aca="false">IF(H10="","",CFG_Start+(H10-1)*7)</f>
        <v>46314</v>
      </c>
      <c r="P10" s="46" t="n">
        <f aca="false">IF(I10="","",CFG_Start+I10*7-1)</f>
        <v>46320</v>
      </c>
      <c r="Q10" s="47" t="str">
        <f aca="true">IF(D10="","",IF(K10="Done","✔ Xong",IF(K10="Blocked","⛔ Blocked",IF(P10&lt;TODAY(),"⚠ Trễ hạn",IF(O10&lt;=TODAY(),"▶ Trong kỳ","Chưa tới")))))</f>
        <v>Chưa tới</v>
      </c>
      <c r="R10" s="44" t="n">
        <f aca="false">IF(J10="",0,J10*IF(K10="Done",1,IF(L10="",0,L10)))</f>
        <v>0</v>
      </c>
    </row>
    <row r="11" customFormat="false" ht="23.85" hidden="false" customHeight="false" outlineLevel="0" collapsed="false">
      <c r="A11" s="41" t="s">
        <v>124</v>
      </c>
      <c r="B11" s="42" t="s">
        <v>125</v>
      </c>
      <c r="C11" s="42" t="s">
        <v>113</v>
      </c>
      <c r="D11" s="42" t="s">
        <v>126</v>
      </c>
      <c r="E11" s="43" t="s">
        <v>95</v>
      </c>
      <c r="F11" s="43" t="s">
        <v>96</v>
      </c>
      <c r="G11" s="43" t="s">
        <v>97</v>
      </c>
      <c r="H11" s="43" t="n">
        <v>3</v>
      </c>
      <c r="I11" s="43" t="n">
        <v>3</v>
      </c>
      <c r="J11" s="44" t="n">
        <f aca="false">IF(OR(H11="",I11=""),"",(I11-H11+1)*5)</f>
        <v>5</v>
      </c>
      <c r="K11" s="43" t="s">
        <v>29</v>
      </c>
      <c r="L11" s="45" t="n">
        <v>0</v>
      </c>
      <c r="M11" s="42" t="s">
        <v>127</v>
      </c>
      <c r="N11" s="42" t="s">
        <v>128</v>
      </c>
      <c r="O11" s="46" t="n">
        <f aca="false">IF(H11="","",CFG_Start+(H11-1)*7)</f>
        <v>46321</v>
      </c>
      <c r="P11" s="46" t="n">
        <f aca="false">IF(I11="","",CFG_Start+I11*7-1)</f>
        <v>46327</v>
      </c>
      <c r="Q11" s="47" t="str">
        <f aca="true">IF(D11="","",IF(K11="Done","✔ Xong",IF(K11="Blocked","⛔ Blocked",IF(P11&lt;TODAY(),"⚠ Trễ hạn",IF(O11&lt;=TODAY(),"▶ Trong kỳ","Chưa tới")))))</f>
        <v>Chưa tới</v>
      </c>
      <c r="R11" s="44" t="n">
        <f aca="false">IF(J11="",0,J11*IF(K11="Done",1,IF(L11="",0,L11)))</f>
        <v>0</v>
      </c>
    </row>
    <row r="12" customFormat="false" ht="23.85" hidden="false" customHeight="false" outlineLevel="0" collapsed="false">
      <c r="A12" s="41" t="s">
        <v>129</v>
      </c>
      <c r="B12" s="42" t="s">
        <v>125</v>
      </c>
      <c r="C12" s="42" t="s">
        <v>113</v>
      </c>
      <c r="D12" s="42" t="s">
        <v>130</v>
      </c>
      <c r="E12" s="43" t="s">
        <v>95</v>
      </c>
      <c r="F12" s="43" t="s">
        <v>96</v>
      </c>
      <c r="G12" s="43" t="s">
        <v>97</v>
      </c>
      <c r="H12" s="43" t="n">
        <v>3</v>
      </c>
      <c r="I12" s="43" t="n">
        <v>4</v>
      </c>
      <c r="J12" s="44" t="n">
        <f aca="false">IF(OR(H12="",I12=""),"",(I12-H12+1)*5)</f>
        <v>10</v>
      </c>
      <c r="K12" s="43" t="s">
        <v>29</v>
      </c>
      <c r="L12" s="45" t="n">
        <v>0</v>
      </c>
      <c r="M12" s="42" t="s">
        <v>131</v>
      </c>
      <c r="N12" s="42"/>
      <c r="O12" s="46" t="n">
        <f aca="false">IF(H12="","",CFG_Start+(H12-1)*7)</f>
        <v>46321</v>
      </c>
      <c r="P12" s="46" t="n">
        <f aca="false">IF(I12="","",CFG_Start+I12*7-1)</f>
        <v>46334</v>
      </c>
      <c r="Q12" s="47" t="str">
        <f aca="true">IF(D12="","",IF(K12="Done","✔ Xong",IF(K12="Blocked","⛔ Blocked",IF(P12&lt;TODAY(),"⚠ Trễ hạn",IF(O12&lt;=TODAY(),"▶ Trong kỳ","Chưa tới")))))</f>
        <v>Chưa tới</v>
      </c>
      <c r="R12" s="44" t="n">
        <f aca="false">IF(J12="",0,J12*IF(K12="Done",1,IF(L12="",0,L12)))</f>
        <v>0</v>
      </c>
    </row>
    <row r="13" customFormat="false" ht="23.85" hidden="false" customHeight="false" outlineLevel="0" collapsed="false">
      <c r="A13" s="41" t="s">
        <v>132</v>
      </c>
      <c r="B13" s="42" t="s">
        <v>125</v>
      </c>
      <c r="C13" s="42" t="s">
        <v>113</v>
      </c>
      <c r="D13" s="42" t="s">
        <v>133</v>
      </c>
      <c r="E13" s="43" t="s">
        <v>95</v>
      </c>
      <c r="F13" s="43" t="s">
        <v>115</v>
      </c>
      <c r="G13" s="43" t="s">
        <v>97</v>
      </c>
      <c r="H13" s="43" t="n">
        <v>4</v>
      </c>
      <c r="I13" s="43" t="n">
        <v>4</v>
      </c>
      <c r="J13" s="44" t="n">
        <f aca="false">IF(OR(H13="",I13=""),"",(I13-H13+1)*5)</f>
        <v>5</v>
      </c>
      <c r="K13" s="43" t="s">
        <v>29</v>
      </c>
      <c r="L13" s="45" t="n">
        <v>0</v>
      </c>
      <c r="M13" s="42" t="s">
        <v>134</v>
      </c>
      <c r="N13" s="42"/>
      <c r="O13" s="46" t="n">
        <f aca="false">IF(H13="","",CFG_Start+(H13-1)*7)</f>
        <v>46328</v>
      </c>
      <c r="P13" s="46" t="n">
        <f aca="false">IF(I13="","",CFG_Start+I13*7-1)</f>
        <v>46334</v>
      </c>
      <c r="Q13" s="47" t="str">
        <f aca="true">IF(D13="","",IF(K13="Done","✔ Xong",IF(K13="Blocked","⛔ Blocked",IF(P13&lt;TODAY(),"⚠ Trễ hạn",IF(O13&lt;=TODAY(),"▶ Trong kỳ","Chưa tới")))))</f>
        <v>Chưa tới</v>
      </c>
      <c r="R13" s="44" t="n">
        <f aca="false">IF(J13="",0,J13*IF(K13="Done",1,IF(L13="",0,L13)))</f>
        <v>0</v>
      </c>
    </row>
    <row r="14" customFormat="false" ht="23.85" hidden="false" customHeight="false" outlineLevel="0" collapsed="false">
      <c r="A14" s="41" t="s">
        <v>135</v>
      </c>
      <c r="B14" s="42" t="s">
        <v>125</v>
      </c>
      <c r="C14" s="42" t="s">
        <v>136</v>
      </c>
      <c r="D14" s="42" t="s">
        <v>137</v>
      </c>
      <c r="E14" s="43" t="s">
        <v>95</v>
      </c>
      <c r="F14" s="43" t="s">
        <v>115</v>
      </c>
      <c r="G14" s="43" t="s">
        <v>116</v>
      </c>
      <c r="H14" s="43" t="n">
        <v>4</v>
      </c>
      <c r="I14" s="43" t="n">
        <v>5</v>
      </c>
      <c r="J14" s="44" t="n">
        <f aca="false">IF(OR(H14="",I14=""),"",(I14-H14+1)*5)</f>
        <v>10</v>
      </c>
      <c r="K14" s="43" t="s">
        <v>29</v>
      </c>
      <c r="L14" s="45" t="n">
        <v>0</v>
      </c>
      <c r="M14" s="42" t="s">
        <v>138</v>
      </c>
      <c r="N14" s="42"/>
      <c r="O14" s="46" t="n">
        <f aca="false">IF(H14="","",CFG_Start+(H14-1)*7)</f>
        <v>46328</v>
      </c>
      <c r="P14" s="46" t="n">
        <f aca="false">IF(I14="","",CFG_Start+I14*7-1)</f>
        <v>46341</v>
      </c>
      <c r="Q14" s="47" t="str">
        <f aca="true">IF(D14="","",IF(K14="Done","✔ Xong",IF(K14="Blocked","⛔ Blocked",IF(P14&lt;TODAY(),"⚠ Trễ hạn",IF(O14&lt;=TODAY(),"▶ Trong kỳ","Chưa tới")))))</f>
        <v>Chưa tới</v>
      </c>
      <c r="R14" s="44" t="n">
        <f aca="false">IF(J14="",0,J14*IF(K14="Done",1,IF(L14="",0,L14)))</f>
        <v>0</v>
      </c>
    </row>
    <row r="15" customFormat="false" ht="23.85" hidden="false" customHeight="false" outlineLevel="0" collapsed="false">
      <c r="A15" s="41" t="s">
        <v>139</v>
      </c>
      <c r="B15" s="42" t="s">
        <v>125</v>
      </c>
      <c r="C15" s="42" t="s">
        <v>140</v>
      </c>
      <c r="D15" s="42" t="s">
        <v>141</v>
      </c>
      <c r="E15" s="43" t="s">
        <v>95</v>
      </c>
      <c r="F15" s="43" t="s">
        <v>115</v>
      </c>
      <c r="G15" s="43" t="s">
        <v>97</v>
      </c>
      <c r="H15" s="43" t="n">
        <v>5</v>
      </c>
      <c r="I15" s="43" t="n">
        <v>5</v>
      </c>
      <c r="J15" s="44" t="n">
        <f aca="false">IF(OR(H15="",I15=""),"",(I15-H15+1)*5)</f>
        <v>5</v>
      </c>
      <c r="K15" s="43" t="s">
        <v>29</v>
      </c>
      <c r="L15" s="45" t="n">
        <v>0</v>
      </c>
      <c r="M15" s="42" t="s">
        <v>142</v>
      </c>
      <c r="N15" s="42" t="s">
        <v>143</v>
      </c>
      <c r="O15" s="46" t="n">
        <f aca="false">IF(H15="","",CFG_Start+(H15-1)*7)</f>
        <v>46335</v>
      </c>
      <c r="P15" s="46" t="n">
        <f aca="false">IF(I15="","",CFG_Start+I15*7-1)</f>
        <v>46341</v>
      </c>
      <c r="Q15" s="47" t="str">
        <f aca="true">IF(D15="","",IF(K15="Done","✔ Xong",IF(K15="Blocked","⛔ Blocked",IF(P15&lt;TODAY(),"⚠ Trễ hạn",IF(O15&lt;=TODAY(),"▶ Trong kỳ","Chưa tới")))))</f>
        <v>Chưa tới</v>
      </c>
      <c r="R15" s="44" t="n">
        <f aca="false">IF(J15="",0,J15*IF(K15="Done",1,IF(L15="",0,L15)))</f>
        <v>0</v>
      </c>
    </row>
    <row r="16" customFormat="false" ht="23.85" hidden="false" customHeight="false" outlineLevel="0" collapsed="false">
      <c r="A16" s="41" t="s">
        <v>144</v>
      </c>
      <c r="B16" s="42" t="s">
        <v>125</v>
      </c>
      <c r="C16" s="42" t="s">
        <v>113</v>
      </c>
      <c r="D16" s="42" t="s">
        <v>145</v>
      </c>
      <c r="E16" s="43" t="s">
        <v>95</v>
      </c>
      <c r="F16" s="43" t="s">
        <v>115</v>
      </c>
      <c r="G16" s="43" t="s">
        <v>146</v>
      </c>
      <c r="H16" s="43" t="n">
        <v>5</v>
      </c>
      <c r="I16" s="43" t="n">
        <v>5</v>
      </c>
      <c r="J16" s="44" t="n">
        <f aca="false">IF(OR(H16="",I16=""),"",(I16-H16+1)*5)</f>
        <v>5</v>
      </c>
      <c r="K16" s="43" t="s">
        <v>29</v>
      </c>
      <c r="L16" s="45" t="n">
        <v>0</v>
      </c>
      <c r="M16" s="42" t="s">
        <v>147</v>
      </c>
      <c r="N16" s="42"/>
      <c r="O16" s="46" t="n">
        <f aca="false">IF(H16="","",CFG_Start+(H16-1)*7)</f>
        <v>46335</v>
      </c>
      <c r="P16" s="46" t="n">
        <f aca="false">IF(I16="","",CFG_Start+I16*7-1)</f>
        <v>46341</v>
      </c>
      <c r="Q16" s="47" t="str">
        <f aca="true">IF(D16="","",IF(K16="Done","✔ Xong",IF(K16="Blocked","⛔ Blocked",IF(P16&lt;TODAY(),"⚠ Trễ hạn",IF(O16&lt;=TODAY(),"▶ Trong kỳ","Chưa tới")))))</f>
        <v>Chưa tới</v>
      </c>
      <c r="R16" s="44" t="n">
        <f aca="false">IF(J16="",0,J16*IF(K16="Done",1,IF(L16="",0,L16)))</f>
        <v>0</v>
      </c>
    </row>
    <row r="17" customFormat="false" ht="23.85" hidden="false" customHeight="false" outlineLevel="0" collapsed="false">
      <c r="A17" s="41" t="s">
        <v>148</v>
      </c>
      <c r="B17" s="42" t="s">
        <v>125</v>
      </c>
      <c r="C17" s="42" t="s">
        <v>113</v>
      </c>
      <c r="D17" s="42" t="s">
        <v>149</v>
      </c>
      <c r="E17" s="43" t="s">
        <v>95</v>
      </c>
      <c r="F17" s="43" t="s">
        <v>150</v>
      </c>
      <c r="G17" s="43" t="s">
        <v>116</v>
      </c>
      <c r="H17" s="43" t="n">
        <v>5</v>
      </c>
      <c r="I17" s="43" t="n">
        <v>5</v>
      </c>
      <c r="J17" s="44" t="n">
        <f aca="false">IF(OR(H17="",I17=""),"",(I17-H17+1)*5)</f>
        <v>5</v>
      </c>
      <c r="K17" s="43" t="s">
        <v>29</v>
      </c>
      <c r="L17" s="45" t="n">
        <v>0</v>
      </c>
      <c r="M17" s="42" t="s">
        <v>151</v>
      </c>
      <c r="N17" s="42"/>
      <c r="O17" s="46" t="n">
        <f aca="false">IF(H17="","",CFG_Start+(H17-1)*7)</f>
        <v>46335</v>
      </c>
      <c r="P17" s="46" t="n">
        <f aca="false">IF(I17="","",CFG_Start+I17*7-1)</f>
        <v>46341</v>
      </c>
      <c r="Q17" s="47" t="str">
        <f aca="true">IF(D17="","",IF(K17="Done","✔ Xong",IF(K17="Blocked","⛔ Blocked",IF(P17&lt;TODAY(),"⚠ Trễ hạn",IF(O17&lt;=TODAY(),"▶ Trong kỳ","Chưa tới")))))</f>
        <v>Chưa tới</v>
      </c>
      <c r="R17" s="44" t="n">
        <f aca="false">IF(J17="",0,J17*IF(K17="Done",1,IF(L17="",0,L17)))</f>
        <v>0</v>
      </c>
    </row>
    <row r="18" customFormat="false" ht="23.85" hidden="false" customHeight="false" outlineLevel="0" collapsed="false">
      <c r="A18" s="41" t="s">
        <v>152</v>
      </c>
      <c r="B18" s="42" t="s">
        <v>153</v>
      </c>
      <c r="C18" s="42" t="s">
        <v>140</v>
      </c>
      <c r="D18" s="42" t="s">
        <v>154</v>
      </c>
      <c r="E18" s="43" t="s">
        <v>95</v>
      </c>
      <c r="F18" s="43" t="s">
        <v>96</v>
      </c>
      <c r="G18" s="43" t="s">
        <v>97</v>
      </c>
      <c r="H18" s="43" t="n">
        <v>6</v>
      </c>
      <c r="I18" s="43" t="n">
        <v>7</v>
      </c>
      <c r="J18" s="44" t="n">
        <f aca="false">IF(OR(H18="",I18=""),"",(I18-H18+1)*5)</f>
        <v>10</v>
      </c>
      <c r="K18" s="43" t="s">
        <v>29</v>
      </c>
      <c r="L18" s="45" t="n">
        <v>0</v>
      </c>
      <c r="M18" s="42" t="s">
        <v>155</v>
      </c>
      <c r="N18" s="42"/>
      <c r="O18" s="46" t="n">
        <f aca="false">IF(H18="","",CFG_Start+(H18-1)*7)</f>
        <v>46342</v>
      </c>
      <c r="P18" s="46" t="n">
        <f aca="false">IF(I18="","",CFG_Start+I18*7-1)</f>
        <v>46355</v>
      </c>
      <c r="Q18" s="47" t="str">
        <f aca="true">IF(D18="","",IF(K18="Done","✔ Xong",IF(K18="Blocked","⛔ Blocked",IF(P18&lt;TODAY(),"⚠ Trễ hạn",IF(O18&lt;=TODAY(),"▶ Trong kỳ","Chưa tới")))))</f>
        <v>Chưa tới</v>
      </c>
      <c r="R18" s="44" t="n">
        <f aca="false">IF(J18="",0,J18*IF(K18="Done",1,IF(L18="",0,L18)))</f>
        <v>0</v>
      </c>
    </row>
    <row r="19" customFormat="false" ht="23.85" hidden="false" customHeight="false" outlineLevel="0" collapsed="false">
      <c r="A19" s="41" t="s">
        <v>156</v>
      </c>
      <c r="B19" s="42" t="s">
        <v>153</v>
      </c>
      <c r="C19" s="42" t="s">
        <v>140</v>
      </c>
      <c r="D19" s="42" t="s">
        <v>157</v>
      </c>
      <c r="E19" s="43" t="s">
        <v>95</v>
      </c>
      <c r="F19" s="43" t="s">
        <v>96</v>
      </c>
      <c r="G19" s="43" t="s">
        <v>97</v>
      </c>
      <c r="H19" s="43" t="n">
        <v>7</v>
      </c>
      <c r="I19" s="43" t="n">
        <v>8</v>
      </c>
      <c r="J19" s="44" t="n">
        <f aca="false">IF(OR(H19="",I19=""),"",(I19-H19+1)*5)</f>
        <v>10</v>
      </c>
      <c r="K19" s="43" t="s">
        <v>29</v>
      </c>
      <c r="L19" s="45" t="n">
        <v>0</v>
      </c>
      <c r="M19" s="42" t="s">
        <v>158</v>
      </c>
      <c r="N19" s="42"/>
      <c r="O19" s="46" t="n">
        <f aca="false">IF(H19="","",CFG_Start+(H19-1)*7)</f>
        <v>46349</v>
      </c>
      <c r="P19" s="46" t="n">
        <f aca="false">IF(I19="","",CFG_Start+I19*7-1)</f>
        <v>46362</v>
      </c>
      <c r="Q19" s="47" t="str">
        <f aca="true">IF(D19="","",IF(K19="Done","✔ Xong",IF(K19="Blocked","⛔ Blocked",IF(P19&lt;TODAY(),"⚠ Trễ hạn",IF(O19&lt;=TODAY(),"▶ Trong kỳ","Chưa tới")))))</f>
        <v>Chưa tới</v>
      </c>
      <c r="R19" s="44" t="n">
        <f aca="false">IF(J19="",0,J19*IF(K19="Done",1,IF(L19="",0,L19)))</f>
        <v>0</v>
      </c>
    </row>
    <row r="20" customFormat="false" ht="23.85" hidden="false" customHeight="false" outlineLevel="0" collapsed="false">
      <c r="A20" s="41" t="s">
        <v>159</v>
      </c>
      <c r="B20" s="42" t="s">
        <v>153</v>
      </c>
      <c r="C20" s="42" t="s">
        <v>140</v>
      </c>
      <c r="D20" s="42" t="s">
        <v>160</v>
      </c>
      <c r="E20" s="43" t="s">
        <v>95</v>
      </c>
      <c r="F20" s="43" t="s">
        <v>161</v>
      </c>
      <c r="G20" s="43" t="s">
        <v>97</v>
      </c>
      <c r="H20" s="43" t="n">
        <v>8</v>
      </c>
      <c r="I20" s="43" t="n">
        <v>8</v>
      </c>
      <c r="J20" s="44" t="n">
        <f aca="false">IF(OR(H20="",I20=""),"",(I20-H20+1)*5)</f>
        <v>5</v>
      </c>
      <c r="K20" s="43" t="s">
        <v>29</v>
      </c>
      <c r="L20" s="45" t="n">
        <v>0</v>
      </c>
      <c r="M20" s="42" t="s">
        <v>162</v>
      </c>
      <c r="N20" s="42" t="s">
        <v>163</v>
      </c>
      <c r="O20" s="46" t="n">
        <f aca="false">IF(H20="","",CFG_Start+(H20-1)*7)</f>
        <v>46356</v>
      </c>
      <c r="P20" s="46" t="n">
        <f aca="false">IF(I20="","",CFG_Start+I20*7-1)</f>
        <v>46362</v>
      </c>
      <c r="Q20" s="47" t="str">
        <f aca="true">IF(D20="","",IF(K20="Done","✔ Xong",IF(K20="Blocked","⛔ Blocked",IF(P20&lt;TODAY(),"⚠ Trễ hạn",IF(O20&lt;=TODAY(),"▶ Trong kỳ","Chưa tới")))))</f>
        <v>Chưa tới</v>
      </c>
      <c r="R20" s="44" t="n">
        <f aca="false">IF(J20="",0,J20*IF(K20="Done",1,IF(L20="",0,L20)))</f>
        <v>0</v>
      </c>
    </row>
    <row r="21" customFormat="false" ht="23.85" hidden="false" customHeight="false" outlineLevel="0" collapsed="false">
      <c r="A21" s="41" t="s">
        <v>164</v>
      </c>
      <c r="B21" s="42" t="s">
        <v>153</v>
      </c>
      <c r="C21" s="42" t="s">
        <v>140</v>
      </c>
      <c r="D21" s="42" t="s">
        <v>165</v>
      </c>
      <c r="E21" s="43" t="s">
        <v>95</v>
      </c>
      <c r="F21" s="43" t="s">
        <v>161</v>
      </c>
      <c r="G21" s="43" t="s">
        <v>97</v>
      </c>
      <c r="H21" s="43" t="n">
        <v>8</v>
      </c>
      <c r="I21" s="43" t="n">
        <v>9</v>
      </c>
      <c r="J21" s="44" t="n">
        <f aca="false">IF(OR(H21="",I21=""),"",(I21-H21+1)*5)</f>
        <v>10</v>
      </c>
      <c r="K21" s="43" t="s">
        <v>29</v>
      </c>
      <c r="L21" s="45" t="n">
        <v>0</v>
      </c>
      <c r="M21" s="42" t="s">
        <v>166</v>
      </c>
      <c r="N21" s="42"/>
      <c r="O21" s="46" t="n">
        <f aca="false">IF(H21="","",CFG_Start+(H21-1)*7)</f>
        <v>46356</v>
      </c>
      <c r="P21" s="46" t="n">
        <f aca="false">IF(I21="","",CFG_Start+I21*7-1)</f>
        <v>46369</v>
      </c>
      <c r="Q21" s="47" t="str">
        <f aca="true">IF(D21="","",IF(K21="Done","✔ Xong",IF(K21="Blocked","⛔ Blocked",IF(P21&lt;TODAY(),"⚠ Trễ hạn",IF(O21&lt;=TODAY(),"▶ Trong kỳ","Chưa tới")))))</f>
        <v>Chưa tới</v>
      </c>
      <c r="R21" s="44" t="n">
        <f aca="false">IF(J21="",0,J21*IF(K21="Done",1,IF(L21="",0,L21)))</f>
        <v>0</v>
      </c>
    </row>
    <row r="22" customFormat="false" ht="23.85" hidden="false" customHeight="false" outlineLevel="0" collapsed="false">
      <c r="A22" s="41" t="s">
        <v>167</v>
      </c>
      <c r="B22" s="42" t="s">
        <v>153</v>
      </c>
      <c r="C22" s="42" t="s">
        <v>140</v>
      </c>
      <c r="D22" s="42" t="s">
        <v>168</v>
      </c>
      <c r="E22" s="43" t="s">
        <v>95</v>
      </c>
      <c r="F22" s="43" t="s">
        <v>161</v>
      </c>
      <c r="G22" s="43" t="s">
        <v>97</v>
      </c>
      <c r="H22" s="43" t="n">
        <v>9</v>
      </c>
      <c r="I22" s="43" t="n">
        <v>9</v>
      </c>
      <c r="J22" s="44" t="n">
        <f aca="false">IF(OR(H22="",I22=""),"",(I22-H22+1)*5)</f>
        <v>5</v>
      </c>
      <c r="K22" s="43" t="s">
        <v>29</v>
      </c>
      <c r="L22" s="45" t="n">
        <v>0</v>
      </c>
      <c r="M22" s="42" t="s">
        <v>169</v>
      </c>
      <c r="N22" s="42"/>
      <c r="O22" s="46" t="n">
        <f aca="false">IF(H22="","",CFG_Start+(H22-1)*7)</f>
        <v>46363</v>
      </c>
      <c r="P22" s="46" t="n">
        <f aca="false">IF(I22="","",CFG_Start+I22*7-1)</f>
        <v>46369</v>
      </c>
      <c r="Q22" s="47" t="str">
        <f aca="true">IF(D22="","",IF(K22="Done","✔ Xong",IF(K22="Blocked","⛔ Blocked",IF(P22&lt;TODAY(),"⚠ Trễ hạn",IF(O22&lt;=TODAY(),"▶ Trong kỳ","Chưa tới")))))</f>
        <v>Chưa tới</v>
      </c>
      <c r="R22" s="44" t="n">
        <f aca="false">IF(J22="",0,J22*IF(K22="Done",1,IF(L22="",0,L22)))</f>
        <v>0</v>
      </c>
    </row>
    <row r="23" customFormat="false" ht="23.85" hidden="false" customHeight="false" outlineLevel="0" collapsed="false">
      <c r="A23" s="41" t="s">
        <v>170</v>
      </c>
      <c r="B23" s="42" t="s">
        <v>153</v>
      </c>
      <c r="C23" s="42" t="s">
        <v>140</v>
      </c>
      <c r="D23" s="42" t="s">
        <v>171</v>
      </c>
      <c r="E23" s="43" t="s">
        <v>95</v>
      </c>
      <c r="F23" s="43" t="s">
        <v>161</v>
      </c>
      <c r="G23" s="43" t="s">
        <v>116</v>
      </c>
      <c r="H23" s="43" t="n">
        <v>9</v>
      </c>
      <c r="I23" s="43" t="n">
        <v>9</v>
      </c>
      <c r="J23" s="44" t="n">
        <f aca="false">IF(OR(H23="",I23=""),"",(I23-H23+1)*5)</f>
        <v>5</v>
      </c>
      <c r="K23" s="43" t="s">
        <v>29</v>
      </c>
      <c r="L23" s="45" t="n">
        <v>0</v>
      </c>
      <c r="M23" s="42" t="s">
        <v>172</v>
      </c>
      <c r="N23" s="42"/>
      <c r="O23" s="46" t="n">
        <f aca="false">IF(H23="","",CFG_Start+(H23-1)*7)</f>
        <v>46363</v>
      </c>
      <c r="P23" s="46" t="n">
        <f aca="false">IF(I23="","",CFG_Start+I23*7-1)</f>
        <v>46369</v>
      </c>
      <c r="Q23" s="47" t="str">
        <f aca="true">IF(D23="","",IF(K23="Done","✔ Xong",IF(K23="Blocked","⛔ Blocked",IF(P23&lt;TODAY(),"⚠ Trễ hạn",IF(O23&lt;=TODAY(),"▶ Trong kỳ","Chưa tới")))))</f>
        <v>Chưa tới</v>
      </c>
      <c r="R23" s="44" t="n">
        <f aca="false">IF(J23="",0,J23*IF(K23="Done",1,IF(L23="",0,L23)))</f>
        <v>0</v>
      </c>
    </row>
    <row r="24" customFormat="false" ht="23.85" hidden="false" customHeight="false" outlineLevel="0" collapsed="false">
      <c r="A24" s="41" t="s">
        <v>173</v>
      </c>
      <c r="B24" s="42" t="s">
        <v>153</v>
      </c>
      <c r="C24" s="42" t="s">
        <v>140</v>
      </c>
      <c r="D24" s="42" t="s">
        <v>174</v>
      </c>
      <c r="E24" s="43" t="s">
        <v>95</v>
      </c>
      <c r="F24" s="43" t="s">
        <v>150</v>
      </c>
      <c r="G24" s="43" t="s">
        <v>116</v>
      </c>
      <c r="H24" s="43" t="n">
        <v>9</v>
      </c>
      <c r="I24" s="43" t="n">
        <v>9</v>
      </c>
      <c r="J24" s="44" t="n">
        <f aca="false">IF(OR(H24="",I24=""),"",(I24-H24+1)*5)</f>
        <v>5</v>
      </c>
      <c r="K24" s="43" t="s">
        <v>29</v>
      </c>
      <c r="L24" s="45" t="n">
        <v>0</v>
      </c>
      <c r="M24" s="42" t="s">
        <v>175</v>
      </c>
      <c r="N24" s="42"/>
      <c r="O24" s="46" t="n">
        <f aca="false">IF(H24="","",CFG_Start+(H24-1)*7)</f>
        <v>46363</v>
      </c>
      <c r="P24" s="46" t="n">
        <f aca="false">IF(I24="","",CFG_Start+I24*7-1)</f>
        <v>46369</v>
      </c>
      <c r="Q24" s="47" t="str">
        <f aca="true">IF(D24="","",IF(K24="Done","✔ Xong",IF(K24="Blocked","⛔ Blocked",IF(P24&lt;TODAY(),"⚠ Trễ hạn",IF(O24&lt;=TODAY(),"▶ Trong kỳ","Chưa tới")))))</f>
        <v>Chưa tới</v>
      </c>
      <c r="R24" s="44" t="n">
        <f aca="false">IF(J24="",0,J24*IF(K24="Done",1,IF(L24="",0,L24)))</f>
        <v>0</v>
      </c>
    </row>
    <row r="25" customFormat="false" ht="23.85" hidden="false" customHeight="false" outlineLevel="0" collapsed="false">
      <c r="A25" s="41" t="s">
        <v>176</v>
      </c>
      <c r="B25" s="42" t="s">
        <v>177</v>
      </c>
      <c r="C25" s="42" t="s">
        <v>113</v>
      </c>
      <c r="D25" s="42" t="s">
        <v>178</v>
      </c>
      <c r="E25" s="43" t="s">
        <v>95</v>
      </c>
      <c r="F25" s="43" t="s">
        <v>96</v>
      </c>
      <c r="G25" s="43" t="s">
        <v>97</v>
      </c>
      <c r="H25" s="43" t="n">
        <v>10</v>
      </c>
      <c r="I25" s="43" t="n">
        <v>11</v>
      </c>
      <c r="J25" s="44" t="n">
        <f aca="false">IF(OR(H25="",I25=""),"",(I25-H25+1)*5)</f>
        <v>10</v>
      </c>
      <c r="K25" s="43" t="s">
        <v>29</v>
      </c>
      <c r="L25" s="45" t="n">
        <v>0</v>
      </c>
      <c r="M25" s="42" t="s">
        <v>179</v>
      </c>
      <c r="N25" s="42" t="s">
        <v>180</v>
      </c>
      <c r="O25" s="46" t="n">
        <f aca="false">IF(H25="","",CFG_Start+(H25-1)*7)</f>
        <v>46370</v>
      </c>
      <c r="P25" s="46" t="n">
        <f aca="false">IF(I25="","",CFG_Start+I25*7-1)</f>
        <v>46383</v>
      </c>
      <c r="Q25" s="47" t="str">
        <f aca="true">IF(D25="","",IF(K25="Done","✔ Xong",IF(K25="Blocked","⛔ Blocked",IF(P25&lt;TODAY(),"⚠ Trễ hạn",IF(O25&lt;=TODAY(),"▶ Trong kỳ","Chưa tới")))))</f>
        <v>Chưa tới</v>
      </c>
      <c r="R25" s="44" t="n">
        <f aca="false">IF(J25="",0,J25*IF(K25="Done",1,IF(L25="",0,L25)))</f>
        <v>0</v>
      </c>
    </row>
    <row r="26" customFormat="false" ht="23.85" hidden="false" customHeight="false" outlineLevel="0" collapsed="false">
      <c r="A26" s="41" t="s">
        <v>181</v>
      </c>
      <c r="B26" s="42" t="s">
        <v>177</v>
      </c>
      <c r="C26" s="42" t="s">
        <v>113</v>
      </c>
      <c r="D26" s="42" t="s">
        <v>182</v>
      </c>
      <c r="E26" s="43" t="s">
        <v>95</v>
      </c>
      <c r="F26" s="43" t="s">
        <v>161</v>
      </c>
      <c r="G26" s="43" t="s">
        <v>97</v>
      </c>
      <c r="H26" s="43" t="n">
        <v>11</v>
      </c>
      <c r="I26" s="43" t="n">
        <v>11</v>
      </c>
      <c r="J26" s="44" t="n">
        <f aca="false">IF(OR(H26="",I26=""),"",(I26-H26+1)*5)</f>
        <v>5</v>
      </c>
      <c r="K26" s="43" t="s">
        <v>29</v>
      </c>
      <c r="L26" s="45" t="n">
        <v>0</v>
      </c>
      <c r="M26" s="42" t="s">
        <v>183</v>
      </c>
      <c r="N26" s="42" t="s">
        <v>184</v>
      </c>
      <c r="O26" s="46" t="n">
        <f aca="false">IF(H26="","",CFG_Start+(H26-1)*7)</f>
        <v>46377</v>
      </c>
      <c r="P26" s="46" t="n">
        <f aca="false">IF(I26="","",CFG_Start+I26*7-1)</f>
        <v>46383</v>
      </c>
      <c r="Q26" s="47" t="str">
        <f aca="true">IF(D26="","",IF(K26="Done","✔ Xong",IF(K26="Blocked","⛔ Blocked",IF(P26&lt;TODAY(),"⚠ Trễ hạn",IF(O26&lt;=TODAY(),"▶ Trong kỳ","Chưa tới")))))</f>
        <v>Chưa tới</v>
      </c>
      <c r="R26" s="44" t="n">
        <f aca="false">IF(J26="",0,J26*IF(K26="Done",1,IF(L26="",0,L26)))</f>
        <v>0</v>
      </c>
    </row>
    <row r="27" customFormat="false" ht="23.85" hidden="false" customHeight="false" outlineLevel="0" collapsed="false">
      <c r="A27" s="41" t="s">
        <v>185</v>
      </c>
      <c r="B27" s="42" t="s">
        <v>177</v>
      </c>
      <c r="C27" s="42" t="s">
        <v>140</v>
      </c>
      <c r="D27" s="42" t="s">
        <v>186</v>
      </c>
      <c r="E27" s="43" t="s">
        <v>95</v>
      </c>
      <c r="F27" s="43" t="s">
        <v>161</v>
      </c>
      <c r="G27" s="43" t="s">
        <v>97</v>
      </c>
      <c r="H27" s="43" t="n">
        <v>11</v>
      </c>
      <c r="I27" s="43" t="n">
        <v>12</v>
      </c>
      <c r="J27" s="44" t="n">
        <f aca="false">IF(OR(H27="",I27=""),"",(I27-H27+1)*5)</f>
        <v>10</v>
      </c>
      <c r="K27" s="43" t="s">
        <v>29</v>
      </c>
      <c r="L27" s="45" t="n">
        <v>0</v>
      </c>
      <c r="M27" s="42" t="s">
        <v>187</v>
      </c>
      <c r="N27" s="42"/>
      <c r="O27" s="46" t="n">
        <f aca="false">IF(H27="","",CFG_Start+(H27-1)*7)</f>
        <v>46377</v>
      </c>
      <c r="P27" s="46" t="n">
        <f aca="false">IF(I27="","",CFG_Start+I27*7-1)</f>
        <v>46390</v>
      </c>
      <c r="Q27" s="47" t="str">
        <f aca="true">IF(D27="","",IF(K27="Done","✔ Xong",IF(K27="Blocked","⛔ Blocked",IF(P27&lt;TODAY(),"⚠ Trễ hạn",IF(O27&lt;=TODAY(),"▶ Trong kỳ","Chưa tới")))))</f>
        <v>Chưa tới</v>
      </c>
      <c r="R27" s="44" t="n">
        <f aca="false">IF(J27="",0,J27*IF(K27="Done",1,IF(L27="",0,L27)))</f>
        <v>0</v>
      </c>
    </row>
    <row r="28" customFormat="false" ht="15" hidden="false" customHeight="false" outlineLevel="0" collapsed="false">
      <c r="A28" s="41" t="s">
        <v>188</v>
      </c>
      <c r="B28" s="42" t="s">
        <v>177</v>
      </c>
      <c r="C28" s="42" t="s">
        <v>136</v>
      </c>
      <c r="D28" s="42" t="s">
        <v>189</v>
      </c>
      <c r="E28" s="43" t="s">
        <v>95</v>
      </c>
      <c r="F28" s="43" t="s">
        <v>161</v>
      </c>
      <c r="G28" s="43" t="s">
        <v>97</v>
      </c>
      <c r="H28" s="43" t="n">
        <v>12</v>
      </c>
      <c r="I28" s="43" t="n">
        <v>13</v>
      </c>
      <c r="J28" s="44" t="n">
        <f aca="false">IF(OR(H28="",I28=""),"",(I28-H28+1)*5)</f>
        <v>10</v>
      </c>
      <c r="K28" s="43" t="s">
        <v>29</v>
      </c>
      <c r="L28" s="45" t="n">
        <v>0</v>
      </c>
      <c r="M28" s="42" t="s">
        <v>190</v>
      </c>
      <c r="N28" s="42"/>
      <c r="O28" s="46" t="n">
        <f aca="false">IF(H28="","",CFG_Start+(H28-1)*7)</f>
        <v>46384</v>
      </c>
      <c r="P28" s="46" t="n">
        <f aca="false">IF(I28="","",CFG_Start+I28*7-1)</f>
        <v>46397</v>
      </c>
      <c r="Q28" s="47" t="str">
        <f aca="true">IF(D28="","",IF(K28="Done","✔ Xong",IF(K28="Blocked","⛔ Blocked",IF(P28&lt;TODAY(),"⚠ Trễ hạn",IF(O28&lt;=TODAY(),"▶ Trong kỳ","Chưa tới")))))</f>
        <v>Chưa tới</v>
      </c>
      <c r="R28" s="44" t="n">
        <f aca="false">IF(J28="",0,J28*IF(K28="Done",1,IF(L28="",0,L28)))</f>
        <v>0</v>
      </c>
    </row>
    <row r="29" customFormat="false" ht="15" hidden="false" customHeight="false" outlineLevel="0" collapsed="false">
      <c r="A29" s="41" t="s">
        <v>191</v>
      </c>
      <c r="B29" s="42" t="s">
        <v>177</v>
      </c>
      <c r="C29" s="42" t="s">
        <v>136</v>
      </c>
      <c r="D29" s="42" t="s">
        <v>192</v>
      </c>
      <c r="E29" s="43" t="s">
        <v>95</v>
      </c>
      <c r="F29" s="43" t="s">
        <v>161</v>
      </c>
      <c r="G29" s="43" t="s">
        <v>116</v>
      </c>
      <c r="H29" s="43" t="n">
        <v>13</v>
      </c>
      <c r="I29" s="43" t="n">
        <v>13</v>
      </c>
      <c r="J29" s="44" t="n">
        <f aca="false">IF(OR(H29="",I29=""),"",(I29-H29+1)*5)</f>
        <v>5</v>
      </c>
      <c r="K29" s="43" t="s">
        <v>29</v>
      </c>
      <c r="L29" s="45" t="n">
        <v>0</v>
      </c>
      <c r="M29" s="42" t="s">
        <v>193</v>
      </c>
      <c r="N29" s="42"/>
      <c r="O29" s="46" t="n">
        <f aca="false">IF(H29="","",CFG_Start+(H29-1)*7)</f>
        <v>46391</v>
      </c>
      <c r="P29" s="46" t="n">
        <f aca="false">IF(I29="","",CFG_Start+I29*7-1)</f>
        <v>46397</v>
      </c>
      <c r="Q29" s="47" t="str">
        <f aca="true">IF(D29="","",IF(K29="Done","✔ Xong",IF(K29="Blocked","⛔ Blocked",IF(P29&lt;TODAY(),"⚠ Trễ hạn",IF(O29&lt;=TODAY(),"▶ Trong kỳ","Chưa tới")))))</f>
        <v>Chưa tới</v>
      </c>
      <c r="R29" s="44" t="n">
        <f aca="false">IF(J29="",0,J29*IF(K29="Done",1,IF(L29="",0,L29)))</f>
        <v>0</v>
      </c>
    </row>
    <row r="30" customFormat="false" ht="15" hidden="false" customHeight="false" outlineLevel="0" collapsed="false">
      <c r="A30" s="41" t="s">
        <v>194</v>
      </c>
      <c r="B30" s="42" t="s">
        <v>177</v>
      </c>
      <c r="C30" s="42" t="s">
        <v>140</v>
      </c>
      <c r="D30" s="42" t="s">
        <v>195</v>
      </c>
      <c r="E30" s="43" t="s">
        <v>95</v>
      </c>
      <c r="F30" s="43" t="s">
        <v>161</v>
      </c>
      <c r="G30" s="43" t="s">
        <v>146</v>
      </c>
      <c r="H30" s="43" t="n">
        <v>13</v>
      </c>
      <c r="I30" s="43" t="n">
        <v>13</v>
      </c>
      <c r="J30" s="44" t="n">
        <f aca="false">IF(OR(H30="",I30=""),"",(I30-H30+1)*5)</f>
        <v>5</v>
      </c>
      <c r="K30" s="43" t="s">
        <v>29</v>
      </c>
      <c r="L30" s="45" t="n">
        <v>0</v>
      </c>
      <c r="M30" s="42" t="s">
        <v>196</v>
      </c>
      <c r="N30" s="42"/>
      <c r="O30" s="46" t="n">
        <f aca="false">IF(H30="","",CFG_Start+(H30-1)*7)</f>
        <v>46391</v>
      </c>
      <c r="P30" s="46" t="n">
        <f aca="false">IF(I30="","",CFG_Start+I30*7-1)</f>
        <v>46397</v>
      </c>
      <c r="Q30" s="47" t="str">
        <f aca="true">IF(D30="","",IF(K30="Done","✔ Xong",IF(K30="Blocked","⛔ Blocked",IF(P30&lt;TODAY(),"⚠ Trễ hạn",IF(O30&lt;=TODAY(),"▶ Trong kỳ","Chưa tới")))))</f>
        <v>Chưa tới</v>
      </c>
      <c r="R30" s="44" t="n">
        <f aca="false">IF(J30="",0,J30*IF(K30="Done",1,IF(L30="",0,L30)))</f>
        <v>0</v>
      </c>
    </row>
    <row r="31" customFormat="false" ht="23.85" hidden="false" customHeight="false" outlineLevel="0" collapsed="false">
      <c r="A31" s="41" t="s">
        <v>197</v>
      </c>
      <c r="B31" s="42" t="s">
        <v>177</v>
      </c>
      <c r="C31" s="42" t="s">
        <v>113</v>
      </c>
      <c r="D31" s="42" t="s">
        <v>198</v>
      </c>
      <c r="E31" s="43" t="s">
        <v>95</v>
      </c>
      <c r="F31" s="43" t="s">
        <v>150</v>
      </c>
      <c r="G31" s="43" t="s">
        <v>97</v>
      </c>
      <c r="H31" s="43" t="n">
        <v>13</v>
      </c>
      <c r="I31" s="43" t="n">
        <v>13</v>
      </c>
      <c r="J31" s="44" t="n">
        <f aca="false">IF(OR(H31="",I31=""),"",(I31-H31+1)*5)</f>
        <v>5</v>
      </c>
      <c r="K31" s="43" t="s">
        <v>29</v>
      </c>
      <c r="L31" s="45" t="n">
        <v>0</v>
      </c>
      <c r="M31" s="42" t="s">
        <v>199</v>
      </c>
      <c r="N31" s="42"/>
      <c r="O31" s="46" t="n">
        <f aca="false">IF(H31="","",CFG_Start+(H31-1)*7)</f>
        <v>46391</v>
      </c>
      <c r="P31" s="46" t="n">
        <f aca="false">IF(I31="","",CFG_Start+I31*7-1)</f>
        <v>46397</v>
      </c>
      <c r="Q31" s="47" t="str">
        <f aca="true">IF(D31="","",IF(K31="Done","✔ Xong",IF(K31="Blocked","⛔ Blocked",IF(P31&lt;TODAY(),"⚠ Trễ hạn",IF(O31&lt;=TODAY(),"▶ Trong kỳ","Chưa tới")))))</f>
        <v>Chưa tới</v>
      </c>
      <c r="R31" s="44" t="n">
        <f aca="false">IF(J31="",0,J31*IF(K31="Done",1,IF(L31="",0,L31)))</f>
        <v>0</v>
      </c>
    </row>
    <row r="32" customFormat="false" ht="23.85" hidden="false" customHeight="false" outlineLevel="0" collapsed="false">
      <c r="A32" s="41" t="s">
        <v>200</v>
      </c>
      <c r="B32" s="42" t="s">
        <v>201</v>
      </c>
      <c r="C32" s="42" t="s">
        <v>93</v>
      </c>
      <c r="D32" s="42" t="s">
        <v>202</v>
      </c>
      <c r="E32" s="43" t="s">
        <v>95</v>
      </c>
      <c r="F32" s="43" t="s">
        <v>96</v>
      </c>
      <c r="G32" s="43" t="s">
        <v>97</v>
      </c>
      <c r="H32" s="43" t="n">
        <v>14</v>
      </c>
      <c r="I32" s="43" t="n">
        <v>14</v>
      </c>
      <c r="J32" s="44" t="n">
        <f aca="false">IF(OR(H32="",I32=""),"",(I32-H32+1)*5)</f>
        <v>5</v>
      </c>
      <c r="K32" s="43" t="s">
        <v>29</v>
      </c>
      <c r="L32" s="45" t="n">
        <v>0</v>
      </c>
      <c r="M32" s="42" t="s">
        <v>203</v>
      </c>
      <c r="N32" s="42" t="s">
        <v>204</v>
      </c>
      <c r="O32" s="46" t="n">
        <f aca="false">IF(H32="","",CFG_Start+(H32-1)*7)</f>
        <v>46398</v>
      </c>
      <c r="P32" s="46" t="n">
        <f aca="false">IF(I32="","",CFG_Start+I32*7-1)</f>
        <v>46404</v>
      </c>
      <c r="Q32" s="47" t="str">
        <f aca="true">IF(D32="","",IF(K32="Done","✔ Xong",IF(K32="Blocked","⛔ Blocked",IF(P32&lt;TODAY(),"⚠ Trễ hạn",IF(O32&lt;=TODAY(),"▶ Trong kỳ","Chưa tới")))))</f>
        <v>Chưa tới</v>
      </c>
      <c r="R32" s="44" t="n">
        <f aca="false">IF(J32="",0,J32*IF(K32="Done",1,IF(L32="",0,L32)))</f>
        <v>0</v>
      </c>
    </row>
    <row r="33" customFormat="false" ht="23.85" hidden="false" customHeight="false" outlineLevel="0" collapsed="false">
      <c r="A33" s="41" t="s">
        <v>205</v>
      </c>
      <c r="B33" s="42" t="s">
        <v>201</v>
      </c>
      <c r="C33" s="42" t="s">
        <v>93</v>
      </c>
      <c r="D33" s="42" t="s">
        <v>206</v>
      </c>
      <c r="E33" s="43" t="s">
        <v>95</v>
      </c>
      <c r="F33" s="43" t="s">
        <v>207</v>
      </c>
      <c r="G33" s="43" t="s">
        <v>97</v>
      </c>
      <c r="H33" s="43" t="n">
        <v>14</v>
      </c>
      <c r="I33" s="43" t="n">
        <v>15</v>
      </c>
      <c r="J33" s="44" t="n">
        <f aca="false">IF(OR(H33="",I33=""),"",(I33-H33+1)*5)</f>
        <v>10</v>
      </c>
      <c r="K33" s="43" t="s">
        <v>29</v>
      </c>
      <c r="L33" s="45" t="n">
        <v>0</v>
      </c>
      <c r="M33" s="42" t="s">
        <v>208</v>
      </c>
      <c r="N33" s="42"/>
      <c r="O33" s="46" t="n">
        <f aca="false">IF(H33="","",CFG_Start+(H33-1)*7)</f>
        <v>46398</v>
      </c>
      <c r="P33" s="46" t="n">
        <f aca="false">IF(I33="","",CFG_Start+I33*7-1)</f>
        <v>46411</v>
      </c>
      <c r="Q33" s="47" t="str">
        <f aca="true">IF(D33="","",IF(K33="Done","✔ Xong",IF(K33="Blocked","⛔ Blocked",IF(P33&lt;TODAY(),"⚠ Trễ hạn",IF(O33&lt;=TODAY(),"▶ Trong kỳ","Chưa tới")))))</f>
        <v>Chưa tới</v>
      </c>
      <c r="R33" s="44" t="n">
        <f aca="false">IF(J33="",0,J33*IF(K33="Done",1,IF(L33="",0,L33)))</f>
        <v>0</v>
      </c>
    </row>
    <row r="34" customFormat="false" ht="23.85" hidden="false" customHeight="false" outlineLevel="0" collapsed="false">
      <c r="A34" s="41" t="s">
        <v>209</v>
      </c>
      <c r="B34" s="42" t="s">
        <v>201</v>
      </c>
      <c r="C34" s="42" t="s">
        <v>136</v>
      </c>
      <c r="D34" s="42" t="s">
        <v>210</v>
      </c>
      <c r="E34" s="43" t="s">
        <v>95</v>
      </c>
      <c r="F34" s="43" t="s">
        <v>211</v>
      </c>
      <c r="G34" s="43" t="s">
        <v>97</v>
      </c>
      <c r="H34" s="43" t="n">
        <v>15</v>
      </c>
      <c r="I34" s="43" t="n">
        <v>15</v>
      </c>
      <c r="J34" s="44" t="n">
        <f aca="false">IF(OR(H34="",I34=""),"",(I34-H34+1)*5)</f>
        <v>5</v>
      </c>
      <c r="K34" s="43" t="s">
        <v>29</v>
      </c>
      <c r="L34" s="45" t="n">
        <v>0</v>
      </c>
      <c r="M34" s="42" t="s">
        <v>212</v>
      </c>
      <c r="N34" s="42"/>
      <c r="O34" s="46" t="n">
        <f aca="false">IF(H34="","",CFG_Start+(H34-1)*7)</f>
        <v>46405</v>
      </c>
      <c r="P34" s="46" t="n">
        <f aca="false">IF(I34="","",CFG_Start+I34*7-1)</f>
        <v>46411</v>
      </c>
      <c r="Q34" s="47" t="str">
        <f aca="true">IF(D34="","",IF(K34="Done","✔ Xong",IF(K34="Blocked","⛔ Blocked",IF(P34&lt;TODAY(),"⚠ Trễ hạn",IF(O34&lt;=TODAY(),"▶ Trong kỳ","Chưa tới")))))</f>
        <v>Chưa tới</v>
      </c>
      <c r="R34" s="44" t="n">
        <f aca="false">IF(J34="",0,J34*IF(K34="Done",1,IF(L34="",0,L34)))</f>
        <v>0</v>
      </c>
    </row>
    <row r="35" customFormat="false" ht="23.85" hidden="false" customHeight="false" outlineLevel="0" collapsed="false">
      <c r="A35" s="41" t="s">
        <v>213</v>
      </c>
      <c r="B35" s="42" t="s">
        <v>201</v>
      </c>
      <c r="C35" s="42" t="s">
        <v>120</v>
      </c>
      <c r="D35" s="42" t="s">
        <v>214</v>
      </c>
      <c r="E35" s="43" t="s">
        <v>95</v>
      </c>
      <c r="F35" s="43" t="s">
        <v>211</v>
      </c>
      <c r="G35" s="43" t="s">
        <v>97</v>
      </c>
      <c r="H35" s="43" t="n">
        <v>15</v>
      </c>
      <c r="I35" s="43" t="n">
        <v>16</v>
      </c>
      <c r="J35" s="44" t="n">
        <f aca="false">IF(OR(H35="",I35=""),"",(I35-H35+1)*5)</f>
        <v>10</v>
      </c>
      <c r="K35" s="43" t="s">
        <v>29</v>
      </c>
      <c r="L35" s="45" t="n">
        <v>0</v>
      </c>
      <c r="M35" s="42" t="s">
        <v>215</v>
      </c>
      <c r="N35" s="42" t="s">
        <v>216</v>
      </c>
      <c r="O35" s="46" t="n">
        <f aca="false">IF(H35="","",CFG_Start+(H35-1)*7)</f>
        <v>46405</v>
      </c>
      <c r="P35" s="46" t="n">
        <f aca="false">IF(I35="","",CFG_Start+I35*7-1)</f>
        <v>46418</v>
      </c>
      <c r="Q35" s="47" t="str">
        <f aca="true">IF(D35="","",IF(K35="Done","✔ Xong",IF(K35="Blocked","⛔ Blocked",IF(P35&lt;TODAY(),"⚠ Trễ hạn",IF(O35&lt;=TODAY(),"▶ Trong kỳ","Chưa tới")))))</f>
        <v>Chưa tới</v>
      </c>
      <c r="R35" s="44" t="n">
        <f aca="false">IF(J35="",0,J35*IF(K35="Done",1,IF(L35="",0,L35)))</f>
        <v>0</v>
      </c>
    </row>
    <row r="36" customFormat="false" ht="23.85" hidden="false" customHeight="false" outlineLevel="0" collapsed="false">
      <c r="A36" s="41" t="s">
        <v>217</v>
      </c>
      <c r="B36" s="42" t="s">
        <v>201</v>
      </c>
      <c r="C36" s="42" t="s">
        <v>140</v>
      </c>
      <c r="D36" s="42" t="s">
        <v>218</v>
      </c>
      <c r="E36" s="43" t="s">
        <v>95</v>
      </c>
      <c r="F36" s="43" t="s">
        <v>161</v>
      </c>
      <c r="G36" s="43" t="s">
        <v>97</v>
      </c>
      <c r="H36" s="43" t="n">
        <v>16</v>
      </c>
      <c r="I36" s="43" t="n">
        <v>16</v>
      </c>
      <c r="J36" s="44" t="n">
        <f aca="false">IF(OR(H36="",I36=""),"",(I36-H36+1)*5)</f>
        <v>5</v>
      </c>
      <c r="K36" s="43" t="s">
        <v>29</v>
      </c>
      <c r="L36" s="45" t="n">
        <v>0</v>
      </c>
      <c r="M36" s="42" t="s">
        <v>219</v>
      </c>
      <c r="N36" s="42"/>
      <c r="O36" s="46" t="n">
        <f aca="false">IF(H36="","",CFG_Start+(H36-1)*7)</f>
        <v>46412</v>
      </c>
      <c r="P36" s="46" t="n">
        <f aca="false">IF(I36="","",CFG_Start+I36*7-1)</f>
        <v>46418</v>
      </c>
      <c r="Q36" s="47" t="str">
        <f aca="true">IF(D36="","",IF(K36="Done","✔ Xong",IF(K36="Blocked","⛔ Blocked",IF(P36&lt;TODAY(),"⚠ Trễ hạn",IF(O36&lt;=TODAY(),"▶ Trong kỳ","Chưa tới")))))</f>
        <v>Chưa tới</v>
      </c>
      <c r="R36" s="44" t="n">
        <f aca="false">IF(J36="",0,J36*IF(K36="Done",1,IF(L36="",0,L36)))</f>
        <v>0</v>
      </c>
    </row>
    <row r="37" customFormat="false" ht="23.85" hidden="false" customHeight="false" outlineLevel="0" collapsed="false">
      <c r="A37" s="41" t="s">
        <v>220</v>
      </c>
      <c r="B37" s="42" t="s">
        <v>201</v>
      </c>
      <c r="C37" s="42" t="s">
        <v>93</v>
      </c>
      <c r="D37" s="42" t="s">
        <v>221</v>
      </c>
      <c r="E37" s="43" t="s">
        <v>95</v>
      </c>
      <c r="F37" s="43" t="s">
        <v>110</v>
      </c>
      <c r="G37" s="43" t="s">
        <v>116</v>
      </c>
      <c r="H37" s="43" t="n">
        <v>16</v>
      </c>
      <c r="I37" s="43" t="n">
        <v>17</v>
      </c>
      <c r="J37" s="44" t="n">
        <f aca="false">IF(OR(H37="",I37=""),"",(I37-H37+1)*5)</f>
        <v>10</v>
      </c>
      <c r="K37" s="43" t="s">
        <v>29</v>
      </c>
      <c r="L37" s="45" t="n">
        <v>0</v>
      </c>
      <c r="M37" s="42" t="s">
        <v>222</v>
      </c>
      <c r="N37" s="42" t="s">
        <v>223</v>
      </c>
      <c r="O37" s="46" t="n">
        <f aca="false">IF(H37="","",CFG_Start+(H37-1)*7)</f>
        <v>46412</v>
      </c>
      <c r="P37" s="46" t="n">
        <f aca="false">IF(I37="","",CFG_Start+I37*7-1)</f>
        <v>46425</v>
      </c>
      <c r="Q37" s="47" t="str">
        <f aca="true">IF(D37="","",IF(K37="Done","✔ Xong",IF(K37="Blocked","⛔ Blocked",IF(P37&lt;TODAY(),"⚠ Trễ hạn",IF(O37&lt;=TODAY(),"▶ Trong kỳ","Chưa tới")))))</f>
        <v>Chưa tới</v>
      </c>
      <c r="R37" s="44" t="n">
        <f aca="false">IF(J37="",0,J37*IF(K37="Done",1,IF(L37="",0,L37)))</f>
        <v>0</v>
      </c>
    </row>
    <row r="38" customFormat="false" ht="23.85" hidden="false" customHeight="false" outlineLevel="0" collapsed="false">
      <c r="A38" s="41" t="s">
        <v>224</v>
      </c>
      <c r="B38" s="42" t="s">
        <v>201</v>
      </c>
      <c r="C38" s="42" t="s">
        <v>120</v>
      </c>
      <c r="D38" s="42" t="s">
        <v>225</v>
      </c>
      <c r="E38" s="43" t="s">
        <v>95</v>
      </c>
      <c r="F38" s="43" t="s">
        <v>150</v>
      </c>
      <c r="G38" s="43" t="s">
        <v>97</v>
      </c>
      <c r="H38" s="43" t="n">
        <v>17</v>
      </c>
      <c r="I38" s="43" t="n">
        <v>17</v>
      </c>
      <c r="J38" s="44" t="n">
        <f aca="false">IF(OR(H38="",I38=""),"",(I38-H38+1)*5)</f>
        <v>5</v>
      </c>
      <c r="K38" s="43" t="s">
        <v>29</v>
      </c>
      <c r="L38" s="45" t="n">
        <v>0</v>
      </c>
      <c r="M38" s="42" t="s">
        <v>226</v>
      </c>
      <c r="N38" s="42"/>
      <c r="O38" s="46" t="n">
        <f aca="false">IF(H38="","",CFG_Start+(H38-1)*7)</f>
        <v>46419</v>
      </c>
      <c r="P38" s="46" t="n">
        <f aca="false">IF(I38="","",CFG_Start+I38*7-1)</f>
        <v>46425</v>
      </c>
      <c r="Q38" s="47" t="str">
        <f aca="true">IF(D38="","",IF(K38="Done","✔ Xong",IF(K38="Blocked","⛔ Blocked",IF(P38&lt;TODAY(),"⚠ Trễ hạn",IF(O38&lt;=TODAY(),"▶ Trong kỳ","Chưa tới")))))</f>
        <v>Chưa tới</v>
      </c>
      <c r="R38" s="44" t="n">
        <f aca="false">IF(J38="",0,J38*IF(K38="Done",1,IF(L38="",0,L38)))</f>
        <v>0</v>
      </c>
    </row>
    <row r="39" customFormat="false" ht="15" hidden="false" customHeight="false" outlineLevel="0" collapsed="false">
      <c r="A39" s="41" t="s">
        <v>227</v>
      </c>
      <c r="B39" s="42" t="s">
        <v>228</v>
      </c>
      <c r="C39" s="42" t="s">
        <v>93</v>
      </c>
      <c r="D39" s="42" t="s">
        <v>229</v>
      </c>
      <c r="E39" s="43" t="s">
        <v>95</v>
      </c>
      <c r="F39" s="43" t="s">
        <v>96</v>
      </c>
      <c r="G39" s="43" t="s">
        <v>97</v>
      </c>
      <c r="H39" s="43" t="n">
        <v>18</v>
      </c>
      <c r="I39" s="43" t="n">
        <v>18</v>
      </c>
      <c r="J39" s="44" t="n">
        <f aca="false">IF(OR(H39="",I39=""),"",(I39-H39+1)*5)</f>
        <v>5</v>
      </c>
      <c r="K39" s="43" t="s">
        <v>29</v>
      </c>
      <c r="L39" s="45" t="n">
        <v>0</v>
      </c>
      <c r="M39" s="42" t="s">
        <v>230</v>
      </c>
      <c r="N39" s="42"/>
      <c r="O39" s="46" t="n">
        <f aca="false">IF(H39="","",CFG_Start+(H39-1)*7)</f>
        <v>46426</v>
      </c>
      <c r="P39" s="46" t="n">
        <f aca="false">IF(I39="","",CFG_Start+I39*7-1)</f>
        <v>46432</v>
      </c>
      <c r="Q39" s="47" t="str">
        <f aca="true">IF(D39="","",IF(K39="Done","✔ Xong",IF(K39="Blocked","⛔ Blocked",IF(P39&lt;TODAY(),"⚠ Trễ hạn",IF(O39&lt;=TODAY(),"▶ Trong kỳ","Chưa tới")))))</f>
        <v>Chưa tới</v>
      </c>
      <c r="R39" s="44" t="n">
        <f aca="false">IF(J39="",0,J39*IF(K39="Done",1,IF(L39="",0,L39)))</f>
        <v>0</v>
      </c>
    </row>
    <row r="40" customFormat="false" ht="35.05" hidden="false" customHeight="false" outlineLevel="0" collapsed="false">
      <c r="A40" s="41" t="s">
        <v>231</v>
      </c>
      <c r="B40" s="42" t="s">
        <v>228</v>
      </c>
      <c r="C40" s="42" t="s">
        <v>93</v>
      </c>
      <c r="D40" s="42" t="s">
        <v>232</v>
      </c>
      <c r="E40" s="43" t="s">
        <v>95</v>
      </c>
      <c r="F40" s="43" t="s">
        <v>233</v>
      </c>
      <c r="G40" s="43" t="s">
        <v>97</v>
      </c>
      <c r="H40" s="43" t="n">
        <v>18</v>
      </c>
      <c r="I40" s="43" t="n">
        <v>19</v>
      </c>
      <c r="J40" s="44" t="n">
        <f aca="false">IF(OR(H40="",I40=""),"",(I40-H40+1)*5)</f>
        <v>10</v>
      </c>
      <c r="K40" s="43" t="s">
        <v>29</v>
      </c>
      <c r="L40" s="45" t="n">
        <v>0</v>
      </c>
      <c r="M40" s="42" t="s">
        <v>234</v>
      </c>
      <c r="N40" s="42"/>
      <c r="O40" s="46" t="n">
        <f aca="false">IF(H40="","",CFG_Start+(H40-1)*7)</f>
        <v>46426</v>
      </c>
      <c r="P40" s="46" t="n">
        <f aca="false">IF(I40="","",CFG_Start+I40*7-1)</f>
        <v>46439</v>
      </c>
      <c r="Q40" s="47" t="str">
        <f aca="true">IF(D40="","",IF(K40="Done","✔ Xong",IF(K40="Blocked","⛔ Blocked",IF(P40&lt;TODAY(),"⚠ Trễ hạn",IF(O40&lt;=TODAY(),"▶ Trong kỳ","Chưa tới")))))</f>
        <v>Chưa tới</v>
      </c>
      <c r="R40" s="44" t="n">
        <f aca="false">IF(J40="",0,J40*IF(K40="Done",1,IF(L40="",0,L40)))</f>
        <v>0</v>
      </c>
    </row>
    <row r="41" customFormat="false" ht="15" hidden="false" customHeight="false" outlineLevel="0" collapsed="false">
      <c r="A41" s="41" t="s">
        <v>235</v>
      </c>
      <c r="B41" s="42" t="s">
        <v>228</v>
      </c>
      <c r="C41" s="42" t="s">
        <v>93</v>
      </c>
      <c r="D41" s="42" t="s">
        <v>236</v>
      </c>
      <c r="E41" s="43" t="s">
        <v>95</v>
      </c>
      <c r="F41" s="43" t="s">
        <v>233</v>
      </c>
      <c r="G41" s="43" t="s">
        <v>97</v>
      </c>
      <c r="H41" s="43" t="n">
        <v>19</v>
      </c>
      <c r="I41" s="43" t="n">
        <v>19</v>
      </c>
      <c r="J41" s="44" t="n">
        <f aca="false">IF(OR(H41="",I41=""),"",(I41-H41+1)*5)</f>
        <v>5</v>
      </c>
      <c r="K41" s="43" t="s">
        <v>29</v>
      </c>
      <c r="L41" s="45" t="n">
        <v>0</v>
      </c>
      <c r="M41" s="42" t="s">
        <v>237</v>
      </c>
      <c r="N41" s="42"/>
      <c r="O41" s="46" t="n">
        <f aca="false">IF(H41="","",CFG_Start+(H41-1)*7)</f>
        <v>46433</v>
      </c>
      <c r="P41" s="46" t="n">
        <f aca="false">IF(I41="","",CFG_Start+I41*7-1)</f>
        <v>46439</v>
      </c>
      <c r="Q41" s="47" t="str">
        <f aca="true">IF(D41="","",IF(K41="Done","✔ Xong",IF(K41="Blocked","⛔ Blocked",IF(P41&lt;TODAY(),"⚠ Trễ hạn",IF(O41&lt;=TODAY(),"▶ Trong kỳ","Chưa tới")))))</f>
        <v>Chưa tới</v>
      </c>
      <c r="R41" s="44" t="n">
        <f aca="false">IF(J41="",0,J41*IF(K41="Done",1,IF(L41="",0,L41)))</f>
        <v>0</v>
      </c>
    </row>
    <row r="42" customFormat="false" ht="15" hidden="false" customHeight="false" outlineLevel="0" collapsed="false">
      <c r="A42" s="41" t="s">
        <v>238</v>
      </c>
      <c r="B42" s="42" t="s">
        <v>228</v>
      </c>
      <c r="C42" s="42" t="s">
        <v>120</v>
      </c>
      <c r="D42" s="42" t="s">
        <v>239</v>
      </c>
      <c r="E42" s="43" t="s">
        <v>95</v>
      </c>
      <c r="F42" s="43" t="s">
        <v>233</v>
      </c>
      <c r="G42" s="43" t="s">
        <v>97</v>
      </c>
      <c r="H42" s="43" t="n">
        <v>19</v>
      </c>
      <c r="I42" s="43" t="n">
        <v>20</v>
      </c>
      <c r="J42" s="44" t="n">
        <f aca="false">IF(OR(H42="",I42=""),"",(I42-H42+1)*5)</f>
        <v>10</v>
      </c>
      <c r="K42" s="43" t="s">
        <v>29</v>
      </c>
      <c r="L42" s="45" t="n">
        <v>0</v>
      </c>
      <c r="M42" s="42" t="s">
        <v>240</v>
      </c>
      <c r="N42" s="42" t="s">
        <v>241</v>
      </c>
      <c r="O42" s="46" t="n">
        <f aca="false">IF(H42="","",CFG_Start+(H42-1)*7)</f>
        <v>46433</v>
      </c>
      <c r="P42" s="46" t="n">
        <f aca="false">IF(I42="","",CFG_Start+I42*7-1)</f>
        <v>46446</v>
      </c>
      <c r="Q42" s="47" t="str">
        <f aca="true">IF(D42="","",IF(K42="Done","✔ Xong",IF(K42="Blocked","⛔ Blocked",IF(P42&lt;TODAY(),"⚠ Trễ hạn",IF(O42&lt;=TODAY(),"▶ Trong kỳ","Chưa tới")))))</f>
        <v>Chưa tới</v>
      </c>
      <c r="R42" s="44" t="n">
        <f aca="false">IF(J42="",0,J42*IF(K42="Done",1,IF(L42="",0,L42)))</f>
        <v>0</v>
      </c>
    </row>
    <row r="43" customFormat="false" ht="15" hidden="false" customHeight="false" outlineLevel="0" collapsed="false">
      <c r="A43" s="41" t="s">
        <v>242</v>
      </c>
      <c r="B43" s="42" t="s">
        <v>228</v>
      </c>
      <c r="C43" s="42" t="s">
        <v>136</v>
      </c>
      <c r="D43" s="42" t="s">
        <v>243</v>
      </c>
      <c r="E43" s="43" t="s">
        <v>95</v>
      </c>
      <c r="F43" s="43" t="s">
        <v>211</v>
      </c>
      <c r="G43" s="43" t="s">
        <v>97</v>
      </c>
      <c r="H43" s="43" t="n">
        <v>20</v>
      </c>
      <c r="I43" s="43" t="n">
        <v>20</v>
      </c>
      <c r="J43" s="44" t="n">
        <f aca="false">IF(OR(H43="",I43=""),"",(I43-H43+1)*5)</f>
        <v>5</v>
      </c>
      <c r="K43" s="43" t="s">
        <v>29</v>
      </c>
      <c r="L43" s="45" t="n">
        <v>0</v>
      </c>
      <c r="M43" s="42" t="s">
        <v>244</v>
      </c>
      <c r="N43" s="42"/>
      <c r="O43" s="46" t="n">
        <f aca="false">IF(H43="","",CFG_Start+(H43-1)*7)</f>
        <v>46440</v>
      </c>
      <c r="P43" s="46" t="n">
        <f aca="false">IF(I43="","",CFG_Start+I43*7-1)</f>
        <v>46446</v>
      </c>
      <c r="Q43" s="47" t="str">
        <f aca="true">IF(D43="","",IF(K43="Done","✔ Xong",IF(K43="Blocked","⛔ Blocked",IF(P43&lt;TODAY(),"⚠ Trễ hạn",IF(O43&lt;=TODAY(),"▶ Trong kỳ","Chưa tới")))))</f>
        <v>Chưa tới</v>
      </c>
      <c r="R43" s="44" t="n">
        <f aca="false">IF(J43="",0,J43*IF(K43="Done",1,IF(L43="",0,L43)))</f>
        <v>0</v>
      </c>
    </row>
    <row r="44" customFormat="false" ht="15" hidden="false" customHeight="false" outlineLevel="0" collapsed="false">
      <c r="A44" s="41" t="s">
        <v>245</v>
      </c>
      <c r="B44" s="42" t="s">
        <v>228</v>
      </c>
      <c r="C44" s="42" t="s">
        <v>136</v>
      </c>
      <c r="D44" s="42" t="s">
        <v>246</v>
      </c>
      <c r="E44" s="43" t="s">
        <v>95</v>
      </c>
      <c r="F44" s="43" t="s">
        <v>211</v>
      </c>
      <c r="G44" s="43" t="s">
        <v>116</v>
      </c>
      <c r="H44" s="43" t="n">
        <v>20</v>
      </c>
      <c r="I44" s="43" t="n">
        <v>21</v>
      </c>
      <c r="J44" s="44" t="n">
        <f aca="false">IF(OR(H44="",I44=""),"",(I44-H44+1)*5)</f>
        <v>10</v>
      </c>
      <c r="K44" s="43" t="s">
        <v>29</v>
      </c>
      <c r="L44" s="45" t="n">
        <v>0</v>
      </c>
      <c r="M44" s="42" t="s">
        <v>247</v>
      </c>
      <c r="N44" s="42"/>
      <c r="O44" s="46" t="n">
        <f aca="false">IF(H44="","",CFG_Start+(H44-1)*7)</f>
        <v>46440</v>
      </c>
      <c r="P44" s="46" t="n">
        <f aca="false">IF(I44="","",CFG_Start+I44*7-1)</f>
        <v>46453</v>
      </c>
      <c r="Q44" s="47" t="str">
        <f aca="true">IF(D44="","",IF(K44="Done","✔ Xong",IF(K44="Blocked","⛔ Blocked",IF(P44&lt;TODAY(),"⚠ Trễ hạn",IF(O44&lt;=TODAY(),"▶ Trong kỳ","Chưa tới")))))</f>
        <v>Chưa tới</v>
      </c>
      <c r="R44" s="44" t="n">
        <f aca="false">IF(J44="",0,J44*IF(K44="Done",1,IF(L44="",0,L44)))</f>
        <v>0</v>
      </c>
    </row>
    <row r="45" customFormat="false" ht="15" hidden="false" customHeight="false" outlineLevel="0" collapsed="false">
      <c r="A45" s="41" t="s">
        <v>248</v>
      </c>
      <c r="B45" s="42" t="s">
        <v>228</v>
      </c>
      <c r="C45" s="42" t="s">
        <v>136</v>
      </c>
      <c r="D45" s="42" t="s">
        <v>249</v>
      </c>
      <c r="E45" s="43" t="s">
        <v>95</v>
      </c>
      <c r="F45" s="43" t="s">
        <v>161</v>
      </c>
      <c r="G45" s="43" t="s">
        <v>116</v>
      </c>
      <c r="H45" s="43" t="n">
        <v>21</v>
      </c>
      <c r="I45" s="43" t="n">
        <v>21</v>
      </c>
      <c r="J45" s="44" t="n">
        <f aca="false">IF(OR(H45="",I45=""),"",(I45-H45+1)*5)</f>
        <v>5</v>
      </c>
      <c r="K45" s="43" t="s">
        <v>29</v>
      </c>
      <c r="L45" s="45" t="n">
        <v>0</v>
      </c>
      <c r="M45" s="42" t="s">
        <v>250</v>
      </c>
      <c r="N45" s="42"/>
      <c r="O45" s="46" t="n">
        <f aca="false">IF(H45="","",CFG_Start+(H45-1)*7)</f>
        <v>46447</v>
      </c>
      <c r="P45" s="46" t="n">
        <f aca="false">IF(I45="","",CFG_Start+I45*7-1)</f>
        <v>46453</v>
      </c>
      <c r="Q45" s="47" t="str">
        <f aca="true">IF(D45="","",IF(K45="Done","✔ Xong",IF(K45="Blocked","⛔ Blocked",IF(P45&lt;TODAY(),"⚠ Trễ hạn",IF(O45&lt;=TODAY(),"▶ Trong kỳ","Chưa tới")))))</f>
        <v>Chưa tới</v>
      </c>
      <c r="R45" s="44" t="n">
        <f aca="false">IF(J45="",0,J45*IF(K45="Done",1,IF(L45="",0,L45)))</f>
        <v>0</v>
      </c>
    </row>
    <row r="46" customFormat="false" ht="15" hidden="false" customHeight="false" outlineLevel="0" collapsed="false">
      <c r="A46" s="41" t="s">
        <v>251</v>
      </c>
      <c r="B46" s="42" t="s">
        <v>228</v>
      </c>
      <c r="C46" s="42" t="s">
        <v>93</v>
      </c>
      <c r="D46" s="42" t="s">
        <v>252</v>
      </c>
      <c r="E46" s="43" t="s">
        <v>95</v>
      </c>
      <c r="F46" s="43" t="s">
        <v>150</v>
      </c>
      <c r="G46" s="43" t="s">
        <v>97</v>
      </c>
      <c r="H46" s="43" t="n">
        <v>21</v>
      </c>
      <c r="I46" s="43" t="n">
        <v>21</v>
      </c>
      <c r="J46" s="44" t="n">
        <f aca="false">IF(OR(H46="",I46=""),"",(I46-H46+1)*5)</f>
        <v>5</v>
      </c>
      <c r="K46" s="43" t="s">
        <v>29</v>
      </c>
      <c r="L46" s="45" t="n">
        <v>0</v>
      </c>
      <c r="M46" s="42" t="s">
        <v>253</v>
      </c>
      <c r="N46" s="42" t="s">
        <v>254</v>
      </c>
      <c r="O46" s="46" t="n">
        <f aca="false">IF(H46="","",CFG_Start+(H46-1)*7)</f>
        <v>46447</v>
      </c>
      <c r="P46" s="46" t="n">
        <f aca="false">IF(I46="","",CFG_Start+I46*7-1)</f>
        <v>46453</v>
      </c>
      <c r="Q46" s="47" t="str">
        <f aca="true">IF(D46="","",IF(K46="Done","✔ Xong",IF(K46="Blocked","⛔ Blocked",IF(P46&lt;TODAY(),"⚠ Trễ hạn",IF(O46&lt;=TODAY(),"▶ Trong kỳ","Chưa tới")))))</f>
        <v>Chưa tới</v>
      </c>
      <c r="R46" s="44" t="n">
        <f aca="false">IF(J46="",0,J46*IF(K46="Done",1,IF(L46="",0,L46)))</f>
        <v>0</v>
      </c>
    </row>
    <row r="47" customFormat="false" ht="23.85" hidden="false" customHeight="false" outlineLevel="0" collapsed="false">
      <c r="A47" s="41" t="s">
        <v>255</v>
      </c>
      <c r="B47" s="42" t="s">
        <v>256</v>
      </c>
      <c r="C47" s="42" t="s">
        <v>257</v>
      </c>
      <c r="D47" s="42" t="s">
        <v>258</v>
      </c>
      <c r="E47" s="43" t="s">
        <v>95</v>
      </c>
      <c r="F47" s="43" t="s">
        <v>96</v>
      </c>
      <c r="G47" s="43" t="s">
        <v>97</v>
      </c>
      <c r="H47" s="43" t="n">
        <v>22</v>
      </c>
      <c r="I47" s="43" t="n">
        <v>22</v>
      </c>
      <c r="J47" s="44" t="n">
        <f aca="false">IF(OR(H47="",I47=""),"",(I47-H47+1)*5)</f>
        <v>5</v>
      </c>
      <c r="K47" s="43" t="s">
        <v>29</v>
      </c>
      <c r="L47" s="45" t="n">
        <v>0</v>
      </c>
      <c r="M47" s="42" t="s">
        <v>86</v>
      </c>
      <c r="N47" s="42" t="s">
        <v>259</v>
      </c>
      <c r="O47" s="46" t="n">
        <f aca="false">IF(H47="","",CFG_Start+(H47-1)*7)</f>
        <v>46454</v>
      </c>
      <c r="P47" s="46" t="n">
        <f aca="false">IF(I47="","",CFG_Start+I47*7-1)</f>
        <v>46460</v>
      </c>
      <c r="Q47" s="47" t="str">
        <f aca="true">IF(D47="","",IF(K47="Done","✔ Xong",IF(K47="Blocked","⛔ Blocked",IF(P47&lt;TODAY(),"⚠ Trễ hạn",IF(O47&lt;=TODAY(),"▶ Trong kỳ","Chưa tới")))))</f>
        <v>Chưa tới</v>
      </c>
      <c r="R47" s="44" t="n">
        <f aca="false">IF(J47="",0,J47*IF(K47="Done",1,IF(L47="",0,L47)))</f>
        <v>0</v>
      </c>
    </row>
    <row r="48" customFormat="false" ht="23.85" hidden="false" customHeight="false" outlineLevel="0" collapsed="false">
      <c r="A48" s="41" t="s">
        <v>260</v>
      </c>
      <c r="B48" s="42" t="s">
        <v>256</v>
      </c>
      <c r="C48" s="42" t="s">
        <v>257</v>
      </c>
      <c r="D48" s="42" t="s">
        <v>261</v>
      </c>
      <c r="E48" s="43" t="s">
        <v>95</v>
      </c>
      <c r="F48" s="43" t="s">
        <v>211</v>
      </c>
      <c r="G48" s="43" t="s">
        <v>97</v>
      </c>
      <c r="H48" s="43" t="n">
        <v>22</v>
      </c>
      <c r="I48" s="43" t="n">
        <v>23</v>
      </c>
      <c r="J48" s="44" t="n">
        <f aca="false">IF(OR(H48="",I48=""),"",(I48-H48+1)*5)</f>
        <v>10</v>
      </c>
      <c r="K48" s="43" t="s">
        <v>29</v>
      </c>
      <c r="L48" s="45" t="n">
        <v>0</v>
      </c>
      <c r="M48" s="42" t="s">
        <v>262</v>
      </c>
      <c r="N48" s="42"/>
      <c r="O48" s="46" t="n">
        <f aca="false">IF(H48="","",CFG_Start+(H48-1)*7)</f>
        <v>46454</v>
      </c>
      <c r="P48" s="46" t="n">
        <f aca="false">IF(I48="","",CFG_Start+I48*7-1)</f>
        <v>46467</v>
      </c>
      <c r="Q48" s="47" t="str">
        <f aca="true">IF(D48="","",IF(K48="Done","✔ Xong",IF(K48="Blocked","⛔ Blocked",IF(P48&lt;TODAY(),"⚠ Trễ hạn",IF(O48&lt;=TODAY(),"▶ Trong kỳ","Chưa tới")))))</f>
        <v>Chưa tới</v>
      </c>
      <c r="R48" s="44" t="n">
        <f aca="false">IF(J48="",0,J48*IF(K48="Done",1,IF(L48="",0,L48)))</f>
        <v>0</v>
      </c>
    </row>
    <row r="49" customFormat="false" ht="23.85" hidden="false" customHeight="false" outlineLevel="0" collapsed="false">
      <c r="A49" s="41" t="s">
        <v>263</v>
      </c>
      <c r="B49" s="42" t="s">
        <v>256</v>
      </c>
      <c r="C49" s="42" t="s">
        <v>257</v>
      </c>
      <c r="D49" s="42" t="s">
        <v>264</v>
      </c>
      <c r="E49" s="43" t="s">
        <v>95</v>
      </c>
      <c r="F49" s="43" t="s">
        <v>207</v>
      </c>
      <c r="G49" s="43" t="s">
        <v>97</v>
      </c>
      <c r="H49" s="43" t="n">
        <v>22</v>
      </c>
      <c r="I49" s="43" t="n">
        <v>23</v>
      </c>
      <c r="J49" s="44" t="n">
        <f aca="false">IF(OR(H49="",I49=""),"",(I49-H49+1)*5)</f>
        <v>10</v>
      </c>
      <c r="K49" s="43" t="s">
        <v>29</v>
      </c>
      <c r="L49" s="45" t="n">
        <v>0</v>
      </c>
      <c r="M49" s="42" t="s">
        <v>265</v>
      </c>
      <c r="N49" s="42"/>
      <c r="O49" s="46" t="n">
        <f aca="false">IF(H49="","",CFG_Start+(H49-1)*7)</f>
        <v>46454</v>
      </c>
      <c r="P49" s="46" t="n">
        <f aca="false">IF(I49="","",CFG_Start+I49*7-1)</f>
        <v>46467</v>
      </c>
      <c r="Q49" s="47" t="str">
        <f aca="true">IF(D49="","",IF(K49="Done","✔ Xong",IF(K49="Blocked","⛔ Blocked",IF(P49&lt;TODAY(),"⚠ Trễ hạn",IF(O49&lt;=TODAY(),"▶ Trong kỳ","Chưa tới")))))</f>
        <v>Chưa tới</v>
      </c>
      <c r="R49" s="44" t="n">
        <f aca="false">IF(J49="",0,J49*IF(K49="Done",1,IF(L49="",0,L49)))</f>
        <v>0</v>
      </c>
    </row>
    <row r="50" customFormat="false" ht="23.85" hidden="false" customHeight="false" outlineLevel="0" collapsed="false">
      <c r="A50" s="41" t="s">
        <v>266</v>
      </c>
      <c r="B50" s="42" t="s">
        <v>256</v>
      </c>
      <c r="C50" s="42" t="s">
        <v>257</v>
      </c>
      <c r="D50" s="42" t="s">
        <v>267</v>
      </c>
      <c r="E50" s="43" t="s">
        <v>95</v>
      </c>
      <c r="F50" s="43" t="s">
        <v>161</v>
      </c>
      <c r="G50" s="43" t="s">
        <v>97</v>
      </c>
      <c r="H50" s="43" t="n">
        <v>23</v>
      </c>
      <c r="I50" s="43" t="n">
        <v>23</v>
      </c>
      <c r="J50" s="44" t="n">
        <f aca="false">IF(OR(H50="",I50=""),"",(I50-H50+1)*5)</f>
        <v>5</v>
      </c>
      <c r="K50" s="43" t="s">
        <v>29</v>
      </c>
      <c r="L50" s="45" t="n">
        <v>0</v>
      </c>
      <c r="M50" s="42" t="s">
        <v>268</v>
      </c>
      <c r="N50" s="42"/>
      <c r="O50" s="46" t="n">
        <f aca="false">IF(H50="","",CFG_Start+(H50-1)*7)</f>
        <v>46461</v>
      </c>
      <c r="P50" s="46" t="n">
        <f aca="false">IF(I50="","",CFG_Start+I50*7-1)</f>
        <v>46467</v>
      </c>
      <c r="Q50" s="47" t="str">
        <f aca="true">IF(D50="","",IF(K50="Done","✔ Xong",IF(K50="Blocked","⛔ Blocked",IF(P50&lt;TODAY(),"⚠ Trễ hạn",IF(O50&lt;=TODAY(),"▶ Trong kỳ","Chưa tới")))))</f>
        <v>Chưa tới</v>
      </c>
      <c r="R50" s="44" t="n">
        <f aca="false">IF(J50="",0,J50*IF(K50="Done",1,IF(L50="",0,L50)))</f>
        <v>0</v>
      </c>
    </row>
    <row r="51" customFormat="false" ht="23.85" hidden="false" customHeight="false" outlineLevel="0" collapsed="false">
      <c r="A51" s="41" t="s">
        <v>269</v>
      </c>
      <c r="B51" s="42" t="s">
        <v>256</v>
      </c>
      <c r="C51" s="42" t="s">
        <v>270</v>
      </c>
      <c r="D51" s="42" t="s">
        <v>271</v>
      </c>
      <c r="E51" s="43" t="s">
        <v>95</v>
      </c>
      <c r="F51" s="43" t="s">
        <v>211</v>
      </c>
      <c r="G51" s="43" t="s">
        <v>97</v>
      </c>
      <c r="H51" s="43" t="n">
        <v>23</v>
      </c>
      <c r="I51" s="43" t="n">
        <v>24</v>
      </c>
      <c r="J51" s="44" t="n">
        <f aca="false">IF(OR(H51="",I51=""),"",(I51-H51+1)*5)</f>
        <v>10</v>
      </c>
      <c r="K51" s="43" t="s">
        <v>29</v>
      </c>
      <c r="L51" s="45" t="n">
        <v>0</v>
      </c>
      <c r="M51" s="42" t="s">
        <v>272</v>
      </c>
      <c r="N51" s="42"/>
      <c r="O51" s="46" t="n">
        <f aca="false">IF(H51="","",CFG_Start+(H51-1)*7)</f>
        <v>46461</v>
      </c>
      <c r="P51" s="46" t="n">
        <f aca="false">IF(I51="","",CFG_Start+I51*7-1)</f>
        <v>46474</v>
      </c>
      <c r="Q51" s="47" t="str">
        <f aca="true">IF(D51="","",IF(K51="Done","✔ Xong",IF(K51="Blocked","⛔ Blocked",IF(P51&lt;TODAY(),"⚠ Trễ hạn",IF(O51&lt;=TODAY(),"▶ Trong kỳ","Chưa tới")))))</f>
        <v>Chưa tới</v>
      </c>
      <c r="R51" s="44" t="n">
        <f aca="false">IF(J51="",0,J51*IF(K51="Done",1,IF(L51="",0,L51)))</f>
        <v>0</v>
      </c>
    </row>
    <row r="52" customFormat="false" ht="23.85" hidden="false" customHeight="false" outlineLevel="0" collapsed="false">
      <c r="A52" s="41" t="s">
        <v>273</v>
      </c>
      <c r="B52" s="42" t="s">
        <v>256</v>
      </c>
      <c r="C52" s="42" t="s">
        <v>270</v>
      </c>
      <c r="D52" s="42" t="s">
        <v>274</v>
      </c>
      <c r="E52" s="43" t="s">
        <v>95</v>
      </c>
      <c r="F52" s="43" t="s">
        <v>161</v>
      </c>
      <c r="G52" s="43" t="s">
        <v>97</v>
      </c>
      <c r="H52" s="43" t="n">
        <v>24</v>
      </c>
      <c r="I52" s="43" t="n">
        <v>24</v>
      </c>
      <c r="J52" s="44" t="n">
        <f aca="false">IF(OR(H52="",I52=""),"",(I52-H52+1)*5)</f>
        <v>5</v>
      </c>
      <c r="K52" s="43" t="s">
        <v>29</v>
      </c>
      <c r="L52" s="45" t="n">
        <v>0</v>
      </c>
      <c r="M52" s="42" t="s">
        <v>275</v>
      </c>
      <c r="N52" s="42"/>
      <c r="O52" s="46" t="n">
        <f aca="false">IF(H52="","",CFG_Start+(H52-1)*7)</f>
        <v>46468</v>
      </c>
      <c r="P52" s="46" t="n">
        <f aca="false">IF(I52="","",CFG_Start+I52*7-1)</f>
        <v>46474</v>
      </c>
      <c r="Q52" s="47" t="str">
        <f aca="true">IF(D52="","",IF(K52="Done","✔ Xong",IF(K52="Blocked","⛔ Blocked",IF(P52&lt;TODAY(),"⚠ Trễ hạn",IF(O52&lt;=TODAY(),"▶ Trong kỳ","Chưa tới")))))</f>
        <v>Chưa tới</v>
      </c>
      <c r="R52" s="44" t="n">
        <f aca="false">IF(J52="",0,J52*IF(K52="Done",1,IF(L52="",0,L52)))</f>
        <v>0</v>
      </c>
    </row>
    <row r="53" customFormat="false" ht="23.85" hidden="false" customHeight="false" outlineLevel="0" collapsed="false">
      <c r="A53" s="41" t="s">
        <v>276</v>
      </c>
      <c r="B53" s="42" t="s">
        <v>256</v>
      </c>
      <c r="C53" s="42" t="s">
        <v>277</v>
      </c>
      <c r="D53" s="42" t="s">
        <v>278</v>
      </c>
      <c r="E53" s="43" t="s">
        <v>95</v>
      </c>
      <c r="F53" s="43" t="s">
        <v>161</v>
      </c>
      <c r="G53" s="43" t="s">
        <v>116</v>
      </c>
      <c r="H53" s="43" t="n">
        <v>24</v>
      </c>
      <c r="I53" s="43" t="n">
        <v>24</v>
      </c>
      <c r="J53" s="44" t="n">
        <f aca="false">IF(OR(H53="",I53=""),"",(I53-H53+1)*5)</f>
        <v>5</v>
      </c>
      <c r="K53" s="43" t="s">
        <v>29</v>
      </c>
      <c r="L53" s="45" t="n">
        <v>0</v>
      </c>
      <c r="M53" s="42" t="s">
        <v>279</v>
      </c>
      <c r="N53" s="42"/>
      <c r="O53" s="46" t="n">
        <f aca="false">IF(H53="","",CFG_Start+(H53-1)*7)</f>
        <v>46468</v>
      </c>
      <c r="P53" s="46" t="n">
        <f aca="false">IF(I53="","",CFG_Start+I53*7-1)</f>
        <v>46474</v>
      </c>
      <c r="Q53" s="47" t="str">
        <f aca="true">IF(D53="","",IF(K53="Done","✔ Xong",IF(K53="Blocked","⛔ Blocked",IF(P53&lt;TODAY(),"⚠ Trễ hạn",IF(O53&lt;=TODAY(),"▶ Trong kỳ","Chưa tới")))))</f>
        <v>Chưa tới</v>
      </c>
      <c r="R53" s="44" t="n">
        <f aca="false">IF(J53="",0,J53*IF(K53="Done",1,IF(L53="",0,L53)))</f>
        <v>0</v>
      </c>
    </row>
    <row r="54" customFormat="false" ht="23.85" hidden="false" customHeight="false" outlineLevel="0" collapsed="false">
      <c r="A54" s="41" t="s">
        <v>280</v>
      </c>
      <c r="B54" s="42" t="s">
        <v>256</v>
      </c>
      <c r="C54" s="42" t="s">
        <v>277</v>
      </c>
      <c r="D54" s="42" t="s">
        <v>281</v>
      </c>
      <c r="E54" s="43" t="s">
        <v>95</v>
      </c>
      <c r="F54" s="43" t="s">
        <v>211</v>
      </c>
      <c r="G54" s="43" t="s">
        <v>116</v>
      </c>
      <c r="H54" s="43" t="n">
        <v>24</v>
      </c>
      <c r="I54" s="43" t="n">
        <v>24</v>
      </c>
      <c r="J54" s="44" t="n">
        <f aca="false">IF(OR(H54="",I54=""),"",(I54-H54+1)*5)</f>
        <v>5</v>
      </c>
      <c r="K54" s="43" t="s">
        <v>29</v>
      </c>
      <c r="L54" s="45" t="n">
        <v>0</v>
      </c>
      <c r="M54" s="42" t="s">
        <v>282</v>
      </c>
      <c r="N54" s="42"/>
      <c r="O54" s="46" t="n">
        <f aca="false">IF(H54="","",CFG_Start+(H54-1)*7)</f>
        <v>46468</v>
      </c>
      <c r="P54" s="46" t="n">
        <f aca="false">IF(I54="","",CFG_Start+I54*7-1)</f>
        <v>46474</v>
      </c>
      <c r="Q54" s="47" t="str">
        <f aca="true">IF(D54="","",IF(K54="Done","✔ Xong",IF(K54="Blocked","⛔ Blocked",IF(P54&lt;TODAY(),"⚠ Trễ hạn",IF(O54&lt;=TODAY(),"▶ Trong kỳ","Chưa tới")))))</f>
        <v>Chưa tới</v>
      </c>
      <c r="R54" s="44" t="n">
        <f aca="false">IF(J54="",0,J54*IF(K54="Done",1,IF(L54="",0,L54)))</f>
        <v>0</v>
      </c>
    </row>
    <row r="55" customFormat="false" ht="23.85" hidden="false" customHeight="false" outlineLevel="0" collapsed="false">
      <c r="A55" s="41" t="s">
        <v>283</v>
      </c>
      <c r="B55" s="42" t="s">
        <v>256</v>
      </c>
      <c r="C55" s="42" t="s">
        <v>257</v>
      </c>
      <c r="D55" s="42" t="s">
        <v>284</v>
      </c>
      <c r="E55" s="43" t="s">
        <v>95</v>
      </c>
      <c r="F55" s="43" t="s">
        <v>150</v>
      </c>
      <c r="G55" s="43" t="s">
        <v>97</v>
      </c>
      <c r="H55" s="43" t="n">
        <v>24</v>
      </c>
      <c r="I55" s="43" t="n">
        <v>24</v>
      </c>
      <c r="J55" s="44" t="n">
        <f aca="false">IF(OR(H55="",I55=""),"",(I55-H55+1)*5)</f>
        <v>5</v>
      </c>
      <c r="K55" s="43" t="s">
        <v>29</v>
      </c>
      <c r="L55" s="45" t="n">
        <v>0</v>
      </c>
      <c r="M55" s="42" t="s">
        <v>285</v>
      </c>
      <c r="N55" s="42"/>
      <c r="O55" s="46" t="n">
        <f aca="false">IF(H55="","",CFG_Start+(H55-1)*7)</f>
        <v>46468</v>
      </c>
      <c r="P55" s="46" t="n">
        <f aca="false">IF(I55="","",CFG_Start+I55*7-1)</f>
        <v>46474</v>
      </c>
      <c r="Q55" s="47" t="str">
        <f aca="true">IF(D55="","",IF(K55="Done","✔ Xong",IF(K55="Blocked","⛔ Blocked",IF(P55&lt;TODAY(),"⚠ Trễ hạn",IF(O55&lt;=TODAY(),"▶ Trong kỳ","Chưa tới")))))</f>
        <v>Chưa tới</v>
      </c>
      <c r="R55" s="44" t="n">
        <f aca="false">IF(J55="",0,J55*IF(K55="Done",1,IF(L55="",0,L55)))</f>
        <v>0</v>
      </c>
    </row>
    <row r="56" customFormat="false" ht="23.85" hidden="false" customHeight="false" outlineLevel="0" collapsed="false">
      <c r="A56" s="41" t="s">
        <v>286</v>
      </c>
      <c r="B56" s="42" t="s">
        <v>287</v>
      </c>
      <c r="C56" s="42" t="s">
        <v>120</v>
      </c>
      <c r="D56" s="42" t="s">
        <v>288</v>
      </c>
      <c r="E56" s="43" t="s">
        <v>95</v>
      </c>
      <c r="F56" s="43" t="s">
        <v>96</v>
      </c>
      <c r="G56" s="43" t="s">
        <v>97</v>
      </c>
      <c r="H56" s="43" t="n">
        <v>25</v>
      </c>
      <c r="I56" s="43" t="n">
        <v>25</v>
      </c>
      <c r="J56" s="44" t="n">
        <f aca="false">IF(OR(H56="",I56=""),"",(I56-H56+1)*5)</f>
        <v>5</v>
      </c>
      <c r="K56" s="43" t="s">
        <v>29</v>
      </c>
      <c r="L56" s="45" t="n">
        <v>0</v>
      </c>
      <c r="M56" s="42" t="s">
        <v>289</v>
      </c>
      <c r="N56" s="42"/>
      <c r="O56" s="46" t="n">
        <f aca="false">IF(H56="","",CFG_Start+(H56-1)*7)</f>
        <v>46475</v>
      </c>
      <c r="P56" s="46" t="n">
        <f aca="false">IF(I56="","",CFG_Start+I56*7-1)</f>
        <v>46481</v>
      </c>
      <c r="Q56" s="47" t="str">
        <f aca="true">IF(D56="","",IF(K56="Done","✔ Xong",IF(K56="Blocked","⛔ Blocked",IF(P56&lt;TODAY(),"⚠ Trễ hạn",IF(O56&lt;=TODAY(),"▶ Trong kỳ","Chưa tới")))))</f>
        <v>Chưa tới</v>
      </c>
      <c r="R56" s="44" t="n">
        <f aca="false">IF(J56="",0,J56*IF(K56="Done",1,IF(L56="",0,L56)))</f>
        <v>0</v>
      </c>
    </row>
    <row r="57" customFormat="false" ht="23.85" hidden="false" customHeight="false" outlineLevel="0" collapsed="false">
      <c r="A57" s="41" t="s">
        <v>290</v>
      </c>
      <c r="B57" s="42" t="s">
        <v>287</v>
      </c>
      <c r="C57" s="42" t="s">
        <v>120</v>
      </c>
      <c r="D57" s="42" t="s">
        <v>291</v>
      </c>
      <c r="E57" s="43" t="s">
        <v>95</v>
      </c>
      <c r="F57" s="43" t="s">
        <v>207</v>
      </c>
      <c r="G57" s="43" t="s">
        <v>97</v>
      </c>
      <c r="H57" s="43" t="n">
        <v>25</v>
      </c>
      <c r="I57" s="43" t="n">
        <v>26</v>
      </c>
      <c r="J57" s="44" t="n">
        <f aca="false">IF(OR(H57="",I57=""),"",(I57-H57+1)*5)</f>
        <v>10</v>
      </c>
      <c r="K57" s="43" t="s">
        <v>29</v>
      </c>
      <c r="L57" s="45" t="n">
        <v>0</v>
      </c>
      <c r="M57" s="42" t="s">
        <v>292</v>
      </c>
      <c r="N57" s="42"/>
      <c r="O57" s="46" t="n">
        <f aca="false">IF(H57="","",CFG_Start+(H57-1)*7)</f>
        <v>46475</v>
      </c>
      <c r="P57" s="46" t="n">
        <f aca="false">IF(I57="","",CFG_Start+I57*7-1)</f>
        <v>46488</v>
      </c>
      <c r="Q57" s="47" t="str">
        <f aca="true">IF(D57="","",IF(K57="Done","✔ Xong",IF(K57="Blocked","⛔ Blocked",IF(P57&lt;TODAY(),"⚠ Trễ hạn",IF(O57&lt;=TODAY(),"▶ Trong kỳ","Chưa tới")))))</f>
        <v>Chưa tới</v>
      </c>
      <c r="R57" s="44" t="n">
        <f aca="false">IF(J57="",0,J57*IF(K57="Done",1,IF(L57="",0,L57)))</f>
        <v>0</v>
      </c>
    </row>
    <row r="58" customFormat="false" ht="23.85" hidden="false" customHeight="false" outlineLevel="0" collapsed="false">
      <c r="A58" s="41" t="s">
        <v>293</v>
      </c>
      <c r="B58" s="42" t="s">
        <v>287</v>
      </c>
      <c r="C58" s="42" t="s">
        <v>120</v>
      </c>
      <c r="D58" s="42" t="s">
        <v>294</v>
      </c>
      <c r="E58" s="43" t="s">
        <v>95</v>
      </c>
      <c r="F58" s="43" t="s">
        <v>207</v>
      </c>
      <c r="G58" s="43" t="s">
        <v>116</v>
      </c>
      <c r="H58" s="43" t="n">
        <v>26</v>
      </c>
      <c r="I58" s="43" t="n">
        <v>26</v>
      </c>
      <c r="J58" s="44" t="n">
        <f aca="false">IF(OR(H58="",I58=""),"",(I58-H58+1)*5)</f>
        <v>5</v>
      </c>
      <c r="K58" s="43" t="s">
        <v>29</v>
      </c>
      <c r="L58" s="45" t="n">
        <v>0</v>
      </c>
      <c r="M58" s="42" t="s">
        <v>295</v>
      </c>
      <c r="N58" s="42"/>
      <c r="O58" s="46" t="n">
        <f aca="false">IF(H58="","",CFG_Start+(H58-1)*7)</f>
        <v>46482</v>
      </c>
      <c r="P58" s="46" t="n">
        <f aca="false">IF(I58="","",CFG_Start+I58*7-1)</f>
        <v>46488</v>
      </c>
      <c r="Q58" s="47" t="str">
        <f aca="true">IF(D58="","",IF(K58="Done","✔ Xong",IF(K58="Blocked","⛔ Blocked",IF(P58&lt;TODAY(),"⚠ Trễ hạn",IF(O58&lt;=TODAY(),"▶ Trong kỳ","Chưa tới")))))</f>
        <v>Chưa tới</v>
      </c>
      <c r="R58" s="44" t="n">
        <f aca="false">IF(J58="",0,J58*IF(K58="Done",1,IF(L58="",0,L58)))</f>
        <v>0</v>
      </c>
    </row>
    <row r="59" customFormat="false" ht="23.85" hidden="false" customHeight="false" outlineLevel="0" collapsed="false">
      <c r="A59" s="41" t="s">
        <v>296</v>
      </c>
      <c r="B59" s="42" t="s">
        <v>287</v>
      </c>
      <c r="C59" s="42" t="s">
        <v>297</v>
      </c>
      <c r="D59" s="42" t="s">
        <v>298</v>
      </c>
      <c r="E59" s="43" t="s">
        <v>95</v>
      </c>
      <c r="F59" s="43" t="s">
        <v>161</v>
      </c>
      <c r="G59" s="43" t="s">
        <v>97</v>
      </c>
      <c r="H59" s="43" t="n">
        <v>26</v>
      </c>
      <c r="I59" s="43" t="n">
        <v>27</v>
      </c>
      <c r="J59" s="44" t="n">
        <f aca="false">IF(OR(H59="",I59=""),"",(I59-H59+1)*5)</f>
        <v>10</v>
      </c>
      <c r="K59" s="43" t="s">
        <v>29</v>
      </c>
      <c r="L59" s="45" t="n">
        <v>0</v>
      </c>
      <c r="M59" s="42" t="s">
        <v>299</v>
      </c>
      <c r="N59" s="42"/>
      <c r="O59" s="46" t="n">
        <f aca="false">IF(H59="","",CFG_Start+(H59-1)*7)</f>
        <v>46482</v>
      </c>
      <c r="P59" s="46" t="n">
        <f aca="false">IF(I59="","",CFG_Start+I59*7-1)</f>
        <v>46495</v>
      </c>
      <c r="Q59" s="47" t="str">
        <f aca="true">IF(D59="","",IF(K59="Done","✔ Xong",IF(K59="Blocked","⛔ Blocked",IF(P59&lt;TODAY(),"⚠ Trễ hạn",IF(O59&lt;=TODAY(),"▶ Trong kỳ","Chưa tới")))))</f>
        <v>Chưa tới</v>
      </c>
      <c r="R59" s="44" t="n">
        <f aca="false">IF(J59="",0,J59*IF(K59="Done",1,IF(L59="",0,L59)))</f>
        <v>0</v>
      </c>
    </row>
    <row r="60" customFormat="false" ht="23.85" hidden="false" customHeight="false" outlineLevel="0" collapsed="false">
      <c r="A60" s="41" t="s">
        <v>300</v>
      </c>
      <c r="B60" s="42" t="s">
        <v>287</v>
      </c>
      <c r="C60" s="42" t="s">
        <v>297</v>
      </c>
      <c r="D60" s="42" t="s">
        <v>301</v>
      </c>
      <c r="E60" s="43" t="s">
        <v>95</v>
      </c>
      <c r="F60" s="43" t="s">
        <v>161</v>
      </c>
      <c r="G60" s="43" t="s">
        <v>116</v>
      </c>
      <c r="H60" s="43" t="n">
        <v>27</v>
      </c>
      <c r="I60" s="43" t="n">
        <v>27</v>
      </c>
      <c r="J60" s="44" t="n">
        <f aca="false">IF(OR(H60="",I60=""),"",(I60-H60+1)*5)</f>
        <v>5</v>
      </c>
      <c r="K60" s="43" t="s">
        <v>29</v>
      </c>
      <c r="L60" s="45" t="n">
        <v>0</v>
      </c>
      <c r="M60" s="42" t="s">
        <v>302</v>
      </c>
      <c r="N60" s="42"/>
      <c r="O60" s="46" t="n">
        <f aca="false">IF(H60="","",CFG_Start+(H60-1)*7)</f>
        <v>46489</v>
      </c>
      <c r="P60" s="46" t="n">
        <f aca="false">IF(I60="","",CFG_Start+I60*7-1)</f>
        <v>46495</v>
      </c>
      <c r="Q60" s="47" t="str">
        <f aca="true">IF(D60="","",IF(K60="Done","✔ Xong",IF(K60="Blocked","⛔ Blocked",IF(P60&lt;TODAY(),"⚠ Trễ hạn",IF(O60&lt;=TODAY(),"▶ Trong kỳ","Chưa tới")))))</f>
        <v>Chưa tới</v>
      </c>
      <c r="R60" s="44" t="n">
        <f aca="false">IF(J60="",0,J60*IF(K60="Done",1,IF(L60="",0,L60)))</f>
        <v>0</v>
      </c>
    </row>
    <row r="61" customFormat="false" ht="23.85" hidden="false" customHeight="false" outlineLevel="0" collapsed="false">
      <c r="A61" s="41" t="s">
        <v>303</v>
      </c>
      <c r="B61" s="42" t="s">
        <v>287</v>
      </c>
      <c r="C61" s="42" t="s">
        <v>297</v>
      </c>
      <c r="D61" s="42" t="s">
        <v>304</v>
      </c>
      <c r="E61" s="43" t="s">
        <v>95</v>
      </c>
      <c r="F61" s="43" t="s">
        <v>211</v>
      </c>
      <c r="G61" s="43" t="s">
        <v>116</v>
      </c>
      <c r="H61" s="43" t="n">
        <v>27</v>
      </c>
      <c r="I61" s="43" t="n">
        <v>27</v>
      </c>
      <c r="J61" s="44" t="n">
        <f aca="false">IF(OR(H61="",I61=""),"",(I61-H61+1)*5)</f>
        <v>5</v>
      </c>
      <c r="K61" s="43" t="s">
        <v>29</v>
      </c>
      <c r="L61" s="45" t="n">
        <v>0</v>
      </c>
      <c r="M61" s="42" t="s">
        <v>305</v>
      </c>
      <c r="N61" s="42"/>
      <c r="O61" s="46" t="n">
        <f aca="false">IF(H61="","",CFG_Start+(H61-1)*7)</f>
        <v>46489</v>
      </c>
      <c r="P61" s="46" t="n">
        <f aca="false">IF(I61="","",CFG_Start+I61*7-1)</f>
        <v>46495</v>
      </c>
      <c r="Q61" s="47" t="str">
        <f aca="true">IF(D61="","",IF(K61="Done","✔ Xong",IF(K61="Blocked","⛔ Blocked",IF(P61&lt;TODAY(),"⚠ Trễ hạn",IF(O61&lt;=TODAY(),"▶ Trong kỳ","Chưa tới")))))</f>
        <v>Chưa tới</v>
      </c>
      <c r="R61" s="44" t="n">
        <f aca="false">IF(J61="",0,J61*IF(K61="Done",1,IF(L61="",0,L61)))</f>
        <v>0</v>
      </c>
    </row>
    <row r="62" customFormat="false" ht="23.85" hidden="false" customHeight="false" outlineLevel="0" collapsed="false">
      <c r="A62" s="41" t="s">
        <v>306</v>
      </c>
      <c r="B62" s="42" t="s">
        <v>287</v>
      </c>
      <c r="C62" s="42" t="s">
        <v>93</v>
      </c>
      <c r="D62" s="42" t="s">
        <v>307</v>
      </c>
      <c r="E62" s="43" t="s">
        <v>95</v>
      </c>
      <c r="F62" s="43" t="s">
        <v>150</v>
      </c>
      <c r="G62" s="43" t="s">
        <v>97</v>
      </c>
      <c r="H62" s="43" t="n">
        <v>27</v>
      </c>
      <c r="I62" s="43" t="n">
        <v>27</v>
      </c>
      <c r="J62" s="44" t="n">
        <f aca="false">IF(OR(H62="",I62=""),"",(I62-H62+1)*5)</f>
        <v>5</v>
      </c>
      <c r="K62" s="43" t="s">
        <v>29</v>
      </c>
      <c r="L62" s="45" t="n">
        <v>0</v>
      </c>
      <c r="M62" s="42" t="s">
        <v>308</v>
      </c>
      <c r="N62" s="42" t="s">
        <v>309</v>
      </c>
      <c r="O62" s="46" t="n">
        <f aca="false">IF(H62="","",CFG_Start+(H62-1)*7)</f>
        <v>46489</v>
      </c>
      <c r="P62" s="46" t="n">
        <f aca="false">IF(I62="","",CFG_Start+I62*7-1)</f>
        <v>46495</v>
      </c>
      <c r="Q62" s="47" t="str">
        <f aca="true">IF(D62="","",IF(K62="Done","✔ Xong",IF(K62="Blocked","⛔ Blocked",IF(P62&lt;TODAY(),"⚠ Trễ hạn",IF(O62&lt;=TODAY(),"▶ Trong kỳ","Chưa tới")))))</f>
        <v>Chưa tới</v>
      </c>
      <c r="R62" s="44" t="n">
        <f aca="false">IF(J62="",0,J62*IF(K62="Done",1,IF(L62="",0,L62)))</f>
        <v>0</v>
      </c>
    </row>
    <row r="63" customFormat="false" ht="23.85" hidden="false" customHeight="false" outlineLevel="0" collapsed="false">
      <c r="A63" s="41" t="s">
        <v>310</v>
      </c>
      <c r="B63" s="42" t="s">
        <v>311</v>
      </c>
      <c r="C63" s="42" t="s">
        <v>312</v>
      </c>
      <c r="D63" s="42" t="s">
        <v>313</v>
      </c>
      <c r="E63" s="43" t="s">
        <v>95</v>
      </c>
      <c r="F63" s="43" t="s">
        <v>96</v>
      </c>
      <c r="G63" s="43" t="s">
        <v>97</v>
      </c>
      <c r="H63" s="43" t="n">
        <v>28</v>
      </c>
      <c r="I63" s="43" t="n">
        <v>28</v>
      </c>
      <c r="J63" s="44" t="n">
        <f aca="false">IF(OR(H63="",I63=""),"",(I63-H63+1)*5)</f>
        <v>5</v>
      </c>
      <c r="K63" s="43" t="s">
        <v>29</v>
      </c>
      <c r="L63" s="45" t="n">
        <v>0</v>
      </c>
      <c r="M63" s="42" t="s">
        <v>86</v>
      </c>
      <c r="N63" s="42" t="s">
        <v>314</v>
      </c>
      <c r="O63" s="46" t="n">
        <f aca="false">IF(H63="","",CFG_Start+(H63-1)*7)</f>
        <v>46496</v>
      </c>
      <c r="P63" s="46" t="n">
        <f aca="false">IF(I63="","",CFG_Start+I63*7-1)</f>
        <v>46502</v>
      </c>
      <c r="Q63" s="47" t="str">
        <f aca="true">IF(D63="","",IF(K63="Done","✔ Xong",IF(K63="Blocked","⛔ Blocked",IF(P63&lt;TODAY(),"⚠ Trễ hạn",IF(O63&lt;=TODAY(),"▶ Trong kỳ","Chưa tới")))))</f>
        <v>Chưa tới</v>
      </c>
      <c r="R63" s="44" t="n">
        <f aca="false">IF(J63="",0,J63*IF(K63="Done",1,IF(L63="",0,L63)))</f>
        <v>0</v>
      </c>
    </row>
    <row r="64" customFormat="false" ht="15" hidden="false" customHeight="false" outlineLevel="0" collapsed="false">
      <c r="A64" s="41" t="s">
        <v>315</v>
      </c>
      <c r="B64" s="42" t="s">
        <v>311</v>
      </c>
      <c r="C64" s="42" t="s">
        <v>312</v>
      </c>
      <c r="D64" s="42" t="s">
        <v>316</v>
      </c>
      <c r="E64" s="43" t="s">
        <v>95</v>
      </c>
      <c r="F64" s="43" t="s">
        <v>161</v>
      </c>
      <c r="G64" s="43" t="s">
        <v>97</v>
      </c>
      <c r="H64" s="43" t="n">
        <v>28</v>
      </c>
      <c r="I64" s="43" t="n">
        <v>28</v>
      </c>
      <c r="J64" s="44" t="n">
        <f aca="false">IF(OR(H64="",I64=""),"",(I64-H64+1)*5)</f>
        <v>5</v>
      </c>
      <c r="K64" s="43" t="s">
        <v>29</v>
      </c>
      <c r="L64" s="45" t="n">
        <v>0</v>
      </c>
      <c r="M64" s="42" t="s">
        <v>317</v>
      </c>
      <c r="N64" s="42"/>
      <c r="O64" s="46" t="n">
        <f aca="false">IF(H64="","",CFG_Start+(H64-1)*7)</f>
        <v>46496</v>
      </c>
      <c r="P64" s="46" t="n">
        <f aca="false">IF(I64="","",CFG_Start+I64*7-1)</f>
        <v>46502</v>
      </c>
      <c r="Q64" s="47" t="str">
        <f aca="true">IF(D64="","",IF(K64="Done","✔ Xong",IF(K64="Blocked","⛔ Blocked",IF(P64&lt;TODAY(),"⚠ Trễ hạn",IF(O64&lt;=TODAY(),"▶ Trong kỳ","Chưa tới")))))</f>
        <v>Chưa tới</v>
      </c>
      <c r="R64" s="44" t="n">
        <f aca="false">IF(J64="",0,J64*IF(K64="Done",1,IF(L64="",0,L64)))</f>
        <v>0</v>
      </c>
    </row>
    <row r="65" customFormat="false" ht="23.85" hidden="false" customHeight="false" outlineLevel="0" collapsed="false">
      <c r="A65" s="41" t="s">
        <v>318</v>
      </c>
      <c r="B65" s="42" t="s">
        <v>311</v>
      </c>
      <c r="C65" s="42" t="s">
        <v>312</v>
      </c>
      <c r="D65" s="42" t="s">
        <v>319</v>
      </c>
      <c r="E65" s="43" t="s">
        <v>95</v>
      </c>
      <c r="F65" s="43" t="s">
        <v>161</v>
      </c>
      <c r="G65" s="43" t="s">
        <v>97</v>
      </c>
      <c r="H65" s="43" t="n">
        <v>28</v>
      </c>
      <c r="I65" s="43" t="n">
        <v>29</v>
      </c>
      <c r="J65" s="44" t="n">
        <f aca="false">IF(OR(H65="",I65=""),"",(I65-H65+1)*5)</f>
        <v>10</v>
      </c>
      <c r="K65" s="43" t="s">
        <v>29</v>
      </c>
      <c r="L65" s="45" t="n">
        <v>0</v>
      </c>
      <c r="M65" s="42" t="s">
        <v>320</v>
      </c>
      <c r="N65" s="42"/>
      <c r="O65" s="46" t="n">
        <f aca="false">IF(H65="","",CFG_Start+(H65-1)*7)</f>
        <v>46496</v>
      </c>
      <c r="P65" s="46" t="n">
        <f aca="false">IF(I65="","",CFG_Start+I65*7-1)</f>
        <v>46509</v>
      </c>
      <c r="Q65" s="47" t="str">
        <f aca="true">IF(D65="","",IF(K65="Done","✔ Xong",IF(K65="Blocked","⛔ Blocked",IF(P65&lt;TODAY(),"⚠ Trễ hạn",IF(O65&lt;=TODAY(),"▶ Trong kỳ","Chưa tới")))))</f>
        <v>Chưa tới</v>
      </c>
      <c r="R65" s="44" t="n">
        <f aca="false">IF(J65="",0,J65*IF(K65="Done",1,IF(L65="",0,L65)))</f>
        <v>0</v>
      </c>
    </row>
    <row r="66" customFormat="false" ht="15" hidden="false" customHeight="false" outlineLevel="0" collapsed="false">
      <c r="A66" s="41" t="s">
        <v>321</v>
      </c>
      <c r="B66" s="42" t="s">
        <v>311</v>
      </c>
      <c r="C66" s="42" t="s">
        <v>312</v>
      </c>
      <c r="D66" s="42" t="s">
        <v>322</v>
      </c>
      <c r="E66" s="43" t="s">
        <v>95</v>
      </c>
      <c r="F66" s="43" t="s">
        <v>161</v>
      </c>
      <c r="G66" s="43" t="s">
        <v>116</v>
      </c>
      <c r="H66" s="43" t="n">
        <v>29</v>
      </c>
      <c r="I66" s="43" t="n">
        <v>29</v>
      </c>
      <c r="J66" s="44" t="n">
        <f aca="false">IF(OR(H66="",I66=""),"",(I66-H66+1)*5)</f>
        <v>5</v>
      </c>
      <c r="K66" s="43" t="s">
        <v>29</v>
      </c>
      <c r="L66" s="45" t="n">
        <v>0</v>
      </c>
      <c r="M66" s="42" t="s">
        <v>323</v>
      </c>
      <c r="N66" s="42"/>
      <c r="O66" s="46" t="n">
        <f aca="false">IF(H66="","",CFG_Start+(H66-1)*7)</f>
        <v>46503</v>
      </c>
      <c r="P66" s="46" t="n">
        <f aca="false">IF(I66="","",CFG_Start+I66*7-1)</f>
        <v>46509</v>
      </c>
      <c r="Q66" s="47" t="str">
        <f aca="true">IF(D66="","",IF(K66="Done","✔ Xong",IF(K66="Blocked","⛔ Blocked",IF(P66&lt;TODAY(),"⚠ Trễ hạn",IF(O66&lt;=TODAY(),"▶ Trong kỳ","Chưa tới")))))</f>
        <v>Chưa tới</v>
      </c>
      <c r="R66" s="44" t="n">
        <f aca="false">IF(J66="",0,J66*IF(K66="Done",1,IF(L66="",0,L66)))</f>
        <v>0</v>
      </c>
    </row>
    <row r="67" customFormat="false" ht="15" hidden="false" customHeight="false" outlineLevel="0" collapsed="false">
      <c r="A67" s="41" t="s">
        <v>324</v>
      </c>
      <c r="B67" s="42" t="s">
        <v>311</v>
      </c>
      <c r="C67" s="42" t="s">
        <v>312</v>
      </c>
      <c r="D67" s="42" t="s">
        <v>325</v>
      </c>
      <c r="E67" s="43" t="s">
        <v>95</v>
      </c>
      <c r="F67" s="43" t="s">
        <v>161</v>
      </c>
      <c r="G67" s="43" t="s">
        <v>97</v>
      </c>
      <c r="H67" s="43" t="n">
        <v>29</v>
      </c>
      <c r="I67" s="43" t="n">
        <v>30</v>
      </c>
      <c r="J67" s="44" t="n">
        <f aca="false">IF(OR(H67="",I67=""),"",(I67-H67+1)*5)</f>
        <v>10</v>
      </c>
      <c r="K67" s="43" t="s">
        <v>29</v>
      </c>
      <c r="L67" s="45" t="n">
        <v>0</v>
      </c>
      <c r="M67" s="42" t="s">
        <v>326</v>
      </c>
      <c r="N67" s="42"/>
      <c r="O67" s="46" t="n">
        <f aca="false">IF(H67="","",CFG_Start+(H67-1)*7)</f>
        <v>46503</v>
      </c>
      <c r="P67" s="46" t="n">
        <f aca="false">IF(I67="","",CFG_Start+I67*7-1)</f>
        <v>46516</v>
      </c>
      <c r="Q67" s="47" t="str">
        <f aca="true">IF(D67="","",IF(K67="Done","✔ Xong",IF(K67="Blocked","⛔ Blocked",IF(P67&lt;TODAY(),"⚠ Trễ hạn",IF(O67&lt;=TODAY(),"▶ Trong kỳ","Chưa tới")))))</f>
        <v>Chưa tới</v>
      </c>
      <c r="R67" s="44" t="n">
        <f aca="false">IF(J67="",0,J67*IF(K67="Done",1,IF(L67="",0,L67)))</f>
        <v>0</v>
      </c>
    </row>
    <row r="68" customFormat="false" ht="15" hidden="false" customHeight="false" outlineLevel="0" collapsed="false">
      <c r="A68" s="41" t="s">
        <v>327</v>
      </c>
      <c r="B68" s="42" t="s">
        <v>311</v>
      </c>
      <c r="C68" s="42" t="s">
        <v>328</v>
      </c>
      <c r="D68" s="42" t="s">
        <v>329</v>
      </c>
      <c r="E68" s="43" t="s">
        <v>95</v>
      </c>
      <c r="F68" s="43" t="s">
        <v>211</v>
      </c>
      <c r="G68" s="43" t="s">
        <v>116</v>
      </c>
      <c r="H68" s="43" t="n">
        <v>29</v>
      </c>
      <c r="I68" s="43" t="n">
        <v>29</v>
      </c>
      <c r="J68" s="44" t="n">
        <f aca="false">IF(OR(H68="",I68=""),"",(I68-H68+1)*5)</f>
        <v>5</v>
      </c>
      <c r="K68" s="43" t="s">
        <v>29</v>
      </c>
      <c r="L68" s="45" t="n">
        <v>0</v>
      </c>
      <c r="M68" s="42" t="s">
        <v>330</v>
      </c>
      <c r="N68" s="42"/>
      <c r="O68" s="46" t="n">
        <f aca="false">IF(H68="","",CFG_Start+(H68-1)*7)</f>
        <v>46503</v>
      </c>
      <c r="P68" s="46" t="n">
        <f aca="false">IF(I68="","",CFG_Start+I68*7-1)</f>
        <v>46509</v>
      </c>
      <c r="Q68" s="47" t="str">
        <f aca="true">IF(D68="","",IF(K68="Done","✔ Xong",IF(K68="Blocked","⛔ Blocked",IF(P68&lt;TODAY(),"⚠ Trễ hạn",IF(O68&lt;=TODAY(),"▶ Trong kỳ","Chưa tới")))))</f>
        <v>Chưa tới</v>
      </c>
      <c r="R68" s="44" t="n">
        <f aca="false">IF(J68="",0,J68*IF(K68="Done",1,IF(L68="",0,L68)))</f>
        <v>0</v>
      </c>
    </row>
    <row r="69" customFormat="false" ht="23.85" hidden="false" customHeight="false" outlineLevel="0" collapsed="false">
      <c r="A69" s="41" t="s">
        <v>331</v>
      </c>
      <c r="B69" s="42" t="s">
        <v>311</v>
      </c>
      <c r="C69" s="42" t="s">
        <v>328</v>
      </c>
      <c r="D69" s="42" t="s">
        <v>332</v>
      </c>
      <c r="E69" s="43" t="s">
        <v>95</v>
      </c>
      <c r="F69" s="43" t="s">
        <v>161</v>
      </c>
      <c r="G69" s="43" t="s">
        <v>116</v>
      </c>
      <c r="H69" s="43" t="n">
        <v>30</v>
      </c>
      <c r="I69" s="43" t="n">
        <v>30</v>
      </c>
      <c r="J69" s="44" t="n">
        <f aca="false">IF(OR(H69="",I69=""),"",(I69-H69+1)*5)</f>
        <v>5</v>
      </c>
      <c r="K69" s="43" t="s">
        <v>29</v>
      </c>
      <c r="L69" s="45" t="n">
        <v>0</v>
      </c>
      <c r="M69" s="42" t="s">
        <v>333</v>
      </c>
      <c r="N69" s="42"/>
      <c r="O69" s="46" t="n">
        <f aca="false">IF(H69="","",CFG_Start+(H69-1)*7)</f>
        <v>46510</v>
      </c>
      <c r="P69" s="46" t="n">
        <f aca="false">IF(I69="","",CFG_Start+I69*7-1)</f>
        <v>46516</v>
      </c>
      <c r="Q69" s="47" t="str">
        <f aca="true">IF(D69="","",IF(K69="Done","✔ Xong",IF(K69="Blocked","⛔ Blocked",IF(P69&lt;TODAY(),"⚠ Trễ hạn",IF(O69&lt;=TODAY(),"▶ Trong kỳ","Chưa tới")))))</f>
        <v>Chưa tới</v>
      </c>
      <c r="R69" s="44" t="n">
        <f aca="false">IF(J69="",0,J69*IF(K69="Done",1,IF(L69="",0,L69)))</f>
        <v>0</v>
      </c>
    </row>
    <row r="70" customFormat="false" ht="15" hidden="false" customHeight="false" outlineLevel="0" collapsed="false">
      <c r="A70" s="41" t="s">
        <v>334</v>
      </c>
      <c r="B70" s="42" t="s">
        <v>311</v>
      </c>
      <c r="C70" s="42" t="s">
        <v>312</v>
      </c>
      <c r="D70" s="42" t="s">
        <v>335</v>
      </c>
      <c r="E70" s="43" t="s">
        <v>95</v>
      </c>
      <c r="F70" s="43" t="s">
        <v>150</v>
      </c>
      <c r="G70" s="43" t="s">
        <v>97</v>
      </c>
      <c r="H70" s="43" t="n">
        <v>30</v>
      </c>
      <c r="I70" s="43" t="n">
        <v>30</v>
      </c>
      <c r="J70" s="44" t="n">
        <f aca="false">IF(OR(H70="",I70=""),"",(I70-H70+1)*5)</f>
        <v>5</v>
      </c>
      <c r="K70" s="43" t="s">
        <v>29</v>
      </c>
      <c r="L70" s="45" t="n">
        <v>0</v>
      </c>
      <c r="M70" s="42" t="s">
        <v>285</v>
      </c>
      <c r="N70" s="42"/>
      <c r="O70" s="46" t="n">
        <f aca="false">IF(H70="","",CFG_Start+(H70-1)*7)</f>
        <v>46510</v>
      </c>
      <c r="P70" s="46" t="n">
        <f aca="false">IF(I70="","",CFG_Start+I70*7-1)</f>
        <v>46516</v>
      </c>
      <c r="Q70" s="47" t="str">
        <f aca="true">IF(D70="","",IF(K70="Done","✔ Xong",IF(K70="Blocked","⛔ Blocked",IF(P70&lt;TODAY(),"⚠ Trễ hạn",IF(O70&lt;=TODAY(),"▶ Trong kỳ","Chưa tới")))))</f>
        <v>Chưa tới</v>
      </c>
      <c r="R70" s="44" t="n">
        <f aca="false">IF(J70="",0,J70*IF(K70="Done",1,IF(L70="",0,L70)))</f>
        <v>0</v>
      </c>
    </row>
    <row r="71" customFormat="false" ht="23.85" hidden="false" customHeight="false" outlineLevel="0" collapsed="false">
      <c r="A71" s="41" t="s">
        <v>336</v>
      </c>
      <c r="B71" s="42" t="s">
        <v>337</v>
      </c>
      <c r="C71" s="42" t="s">
        <v>338</v>
      </c>
      <c r="D71" s="42" t="s">
        <v>339</v>
      </c>
      <c r="E71" s="43" t="s">
        <v>95</v>
      </c>
      <c r="F71" s="43" t="s">
        <v>96</v>
      </c>
      <c r="G71" s="43" t="s">
        <v>116</v>
      </c>
      <c r="H71" s="43" t="n">
        <v>31</v>
      </c>
      <c r="I71" s="43" t="n">
        <v>31</v>
      </c>
      <c r="J71" s="44" t="n">
        <f aca="false">IF(OR(H71="",I71=""),"",(I71-H71+1)*5)</f>
        <v>5</v>
      </c>
      <c r="K71" s="43" t="s">
        <v>29</v>
      </c>
      <c r="L71" s="45" t="n">
        <v>0</v>
      </c>
      <c r="M71" s="42" t="s">
        <v>86</v>
      </c>
      <c r="N71" s="42"/>
      <c r="O71" s="46" t="n">
        <f aca="false">IF(H71="","",CFG_Start+(H71-1)*7)</f>
        <v>46517</v>
      </c>
      <c r="P71" s="46" t="n">
        <f aca="false">IF(I71="","",CFG_Start+I71*7-1)</f>
        <v>46523</v>
      </c>
      <c r="Q71" s="47" t="str">
        <f aca="true">IF(D71="","",IF(K71="Done","✔ Xong",IF(K71="Blocked","⛔ Blocked",IF(P71&lt;TODAY(),"⚠ Trễ hạn",IF(O71&lt;=TODAY(),"▶ Trong kỳ","Chưa tới")))))</f>
        <v>Chưa tới</v>
      </c>
      <c r="R71" s="44" t="n">
        <f aca="false">IF(J71="",0,J71*IF(K71="Done",1,IF(L71="",0,L71)))</f>
        <v>0</v>
      </c>
    </row>
    <row r="72" customFormat="false" ht="23.85" hidden="false" customHeight="false" outlineLevel="0" collapsed="false">
      <c r="A72" s="41" t="s">
        <v>340</v>
      </c>
      <c r="B72" s="42" t="s">
        <v>337</v>
      </c>
      <c r="C72" s="42" t="s">
        <v>338</v>
      </c>
      <c r="D72" s="42" t="s">
        <v>341</v>
      </c>
      <c r="E72" s="43" t="s">
        <v>95</v>
      </c>
      <c r="F72" s="43" t="s">
        <v>207</v>
      </c>
      <c r="G72" s="43" t="s">
        <v>97</v>
      </c>
      <c r="H72" s="43" t="n">
        <v>31</v>
      </c>
      <c r="I72" s="43" t="n">
        <v>31</v>
      </c>
      <c r="J72" s="44" t="n">
        <f aca="false">IF(OR(H72="",I72=""),"",(I72-H72+1)*5)</f>
        <v>5</v>
      </c>
      <c r="K72" s="43" t="s">
        <v>29</v>
      </c>
      <c r="L72" s="45" t="n">
        <v>0</v>
      </c>
      <c r="M72" s="42" t="s">
        <v>342</v>
      </c>
      <c r="N72" s="42" t="s">
        <v>343</v>
      </c>
      <c r="O72" s="46" t="n">
        <f aca="false">IF(H72="","",CFG_Start+(H72-1)*7)</f>
        <v>46517</v>
      </c>
      <c r="P72" s="46" t="n">
        <f aca="false">IF(I72="","",CFG_Start+I72*7-1)</f>
        <v>46523</v>
      </c>
      <c r="Q72" s="47" t="str">
        <f aca="true">IF(D72="","",IF(K72="Done","✔ Xong",IF(K72="Blocked","⛔ Blocked",IF(P72&lt;TODAY(),"⚠ Trễ hạn",IF(O72&lt;=TODAY(),"▶ Trong kỳ","Chưa tới")))))</f>
        <v>Chưa tới</v>
      </c>
      <c r="R72" s="44" t="n">
        <f aca="false">IF(J72="",0,J72*IF(K72="Done",1,IF(L72="",0,L72)))</f>
        <v>0</v>
      </c>
    </row>
    <row r="73" customFormat="false" ht="23.85" hidden="false" customHeight="false" outlineLevel="0" collapsed="false">
      <c r="A73" s="41" t="s">
        <v>344</v>
      </c>
      <c r="B73" s="42" t="s">
        <v>337</v>
      </c>
      <c r="C73" s="42" t="s">
        <v>345</v>
      </c>
      <c r="D73" s="42" t="s">
        <v>346</v>
      </c>
      <c r="E73" s="43" t="s">
        <v>95</v>
      </c>
      <c r="F73" s="43" t="s">
        <v>207</v>
      </c>
      <c r="G73" s="43" t="s">
        <v>116</v>
      </c>
      <c r="H73" s="43" t="n">
        <v>31</v>
      </c>
      <c r="I73" s="43" t="n">
        <v>32</v>
      </c>
      <c r="J73" s="44" t="n">
        <f aca="false">IF(OR(H73="",I73=""),"",(I73-H73+1)*5)</f>
        <v>10</v>
      </c>
      <c r="K73" s="43" t="s">
        <v>29</v>
      </c>
      <c r="L73" s="45" t="n">
        <v>0</v>
      </c>
      <c r="M73" s="42" t="s">
        <v>347</v>
      </c>
      <c r="N73" s="42"/>
      <c r="O73" s="46" t="n">
        <f aca="false">IF(H73="","",CFG_Start+(H73-1)*7)</f>
        <v>46517</v>
      </c>
      <c r="P73" s="46" t="n">
        <f aca="false">IF(I73="","",CFG_Start+I73*7-1)</f>
        <v>46530</v>
      </c>
      <c r="Q73" s="47" t="str">
        <f aca="true">IF(D73="","",IF(K73="Done","✔ Xong",IF(K73="Blocked","⛔ Blocked",IF(P73&lt;TODAY(),"⚠ Trễ hạn",IF(O73&lt;=TODAY(),"▶ Trong kỳ","Chưa tới")))))</f>
        <v>Chưa tới</v>
      </c>
      <c r="R73" s="44" t="n">
        <f aca="false">IF(J73="",0,J73*IF(K73="Done",1,IF(L73="",0,L73)))</f>
        <v>0</v>
      </c>
    </row>
    <row r="74" customFormat="false" ht="23.85" hidden="false" customHeight="false" outlineLevel="0" collapsed="false">
      <c r="A74" s="41" t="s">
        <v>348</v>
      </c>
      <c r="B74" s="42" t="s">
        <v>337</v>
      </c>
      <c r="C74" s="42" t="s">
        <v>345</v>
      </c>
      <c r="D74" s="42" t="s">
        <v>349</v>
      </c>
      <c r="E74" s="43" t="s">
        <v>95</v>
      </c>
      <c r="F74" s="43" t="s">
        <v>161</v>
      </c>
      <c r="G74" s="43" t="s">
        <v>146</v>
      </c>
      <c r="H74" s="43" t="n">
        <v>32</v>
      </c>
      <c r="I74" s="43" t="n">
        <v>32</v>
      </c>
      <c r="J74" s="44" t="n">
        <f aca="false">IF(OR(H74="",I74=""),"",(I74-H74+1)*5)</f>
        <v>5</v>
      </c>
      <c r="K74" s="43" t="s">
        <v>29</v>
      </c>
      <c r="L74" s="45" t="n">
        <v>0</v>
      </c>
      <c r="M74" s="42" t="s">
        <v>350</v>
      </c>
      <c r="N74" s="42"/>
      <c r="O74" s="46" t="n">
        <f aca="false">IF(H74="","",CFG_Start+(H74-1)*7)</f>
        <v>46524</v>
      </c>
      <c r="P74" s="46" t="n">
        <f aca="false">IF(I74="","",CFG_Start+I74*7-1)</f>
        <v>46530</v>
      </c>
      <c r="Q74" s="47" t="str">
        <f aca="true">IF(D74="","",IF(K74="Done","✔ Xong",IF(K74="Blocked","⛔ Blocked",IF(P74&lt;TODAY(),"⚠ Trễ hạn",IF(O74&lt;=TODAY(),"▶ Trong kỳ","Chưa tới")))))</f>
        <v>Chưa tới</v>
      </c>
      <c r="R74" s="44" t="n">
        <f aca="false">IF(J74="",0,J74*IF(K74="Done",1,IF(L74="",0,L74)))</f>
        <v>0</v>
      </c>
    </row>
    <row r="75" customFormat="false" ht="23.85" hidden="false" customHeight="false" outlineLevel="0" collapsed="false">
      <c r="A75" s="41" t="s">
        <v>351</v>
      </c>
      <c r="B75" s="42" t="s">
        <v>337</v>
      </c>
      <c r="C75" s="42" t="s">
        <v>345</v>
      </c>
      <c r="D75" s="42" t="s">
        <v>352</v>
      </c>
      <c r="E75" s="43" t="s">
        <v>95</v>
      </c>
      <c r="F75" s="43" t="s">
        <v>161</v>
      </c>
      <c r="G75" s="43" t="s">
        <v>146</v>
      </c>
      <c r="H75" s="43" t="n">
        <v>32</v>
      </c>
      <c r="I75" s="43" t="n">
        <v>33</v>
      </c>
      <c r="J75" s="44" t="n">
        <f aca="false">IF(OR(H75="",I75=""),"",(I75-H75+1)*5)</f>
        <v>10</v>
      </c>
      <c r="K75" s="43" t="s">
        <v>29</v>
      </c>
      <c r="L75" s="45" t="n">
        <v>0</v>
      </c>
      <c r="M75" s="42" t="s">
        <v>353</v>
      </c>
      <c r="N75" s="42"/>
      <c r="O75" s="46" t="n">
        <f aca="false">IF(H75="","",CFG_Start+(H75-1)*7)</f>
        <v>46524</v>
      </c>
      <c r="P75" s="46" t="n">
        <f aca="false">IF(I75="","",CFG_Start+I75*7-1)</f>
        <v>46537</v>
      </c>
      <c r="Q75" s="47" t="str">
        <f aca="true">IF(D75="","",IF(K75="Done","✔ Xong",IF(K75="Blocked","⛔ Blocked",IF(P75&lt;TODAY(),"⚠ Trễ hạn",IF(O75&lt;=TODAY(),"▶ Trong kỳ","Chưa tới")))))</f>
        <v>Chưa tới</v>
      </c>
      <c r="R75" s="44" t="n">
        <f aca="false">IF(J75="",0,J75*IF(K75="Done",1,IF(L75="",0,L75)))</f>
        <v>0</v>
      </c>
    </row>
    <row r="76" customFormat="false" ht="23.85" hidden="false" customHeight="false" outlineLevel="0" collapsed="false">
      <c r="A76" s="41" t="s">
        <v>354</v>
      </c>
      <c r="B76" s="42" t="s">
        <v>337</v>
      </c>
      <c r="C76" s="42" t="s">
        <v>338</v>
      </c>
      <c r="D76" s="42" t="s">
        <v>355</v>
      </c>
      <c r="E76" s="43" t="s">
        <v>95</v>
      </c>
      <c r="F76" s="43" t="s">
        <v>102</v>
      </c>
      <c r="G76" s="43" t="s">
        <v>116</v>
      </c>
      <c r="H76" s="43" t="n">
        <v>32</v>
      </c>
      <c r="I76" s="43" t="n">
        <v>33</v>
      </c>
      <c r="J76" s="44" t="n">
        <f aca="false">IF(OR(H76="",I76=""),"",(I76-H76+1)*5)</f>
        <v>10</v>
      </c>
      <c r="K76" s="43" t="s">
        <v>29</v>
      </c>
      <c r="L76" s="45" t="n">
        <v>0</v>
      </c>
      <c r="M76" s="42" t="s">
        <v>356</v>
      </c>
      <c r="N76" s="42"/>
      <c r="O76" s="46" t="n">
        <f aca="false">IF(H76="","",CFG_Start+(H76-1)*7)</f>
        <v>46524</v>
      </c>
      <c r="P76" s="46" t="n">
        <f aca="false">IF(I76="","",CFG_Start+I76*7-1)</f>
        <v>46537</v>
      </c>
      <c r="Q76" s="47" t="str">
        <f aca="true">IF(D76="","",IF(K76="Done","✔ Xong",IF(K76="Blocked","⛔ Blocked",IF(P76&lt;TODAY(),"⚠ Trễ hạn",IF(O76&lt;=TODAY(),"▶ Trong kỳ","Chưa tới")))))</f>
        <v>Chưa tới</v>
      </c>
      <c r="R76" s="44" t="n">
        <f aca="false">IF(J76="",0,J76*IF(K76="Done",1,IF(L76="",0,L76)))</f>
        <v>0</v>
      </c>
    </row>
    <row r="77" customFormat="false" ht="23.85" hidden="false" customHeight="false" outlineLevel="0" collapsed="false">
      <c r="A77" s="41" t="s">
        <v>357</v>
      </c>
      <c r="B77" s="42" t="s">
        <v>337</v>
      </c>
      <c r="C77" s="42" t="s">
        <v>338</v>
      </c>
      <c r="D77" s="42" t="s">
        <v>358</v>
      </c>
      <c r="E77" s="43" t="s">
        <v>95</v>
      </c>
      <c r="F77" s="43" t="s">
        <v>102</v>
      </c>
      <c r="G77" s="43" t="s">
        <v>97</v>
      </c>
      <c r="H77" s="43" t="n">
        <v>33</v>
      </c>
      <c r="I77" s="43" t="n">
        <v>33</v>
      </c>
      <c r="J77" s="44" t="n">
        <f aca="false">IF(OR(H77="",I77=""),"",(I77-H77+1)*5)</f>
        <v>5</v>
      </c>
      <c r="K77" s="43" t="s">
        <v>29</v>
      </c>
      <c r="L77" s="45" t="n">
        <v>0</v>
      </c>
      <c r="M77" s="42" t="s">
        <v>359</v>
      </c>
      <c r="N77" s="42"/>
      <c r="O77" s="46" t="n">
        <f aca="false">IF(H77="","",CFG_Start+(H77-1)*7)</f>
        <v>46531</v>
      </c>
      <c r="P77" s="46" t="n">
        <f aca="false">IF(I77="","",CFG_Start+I77*7-1)</f>
        <v>46537</v>
      </c>
      <c r="Q77" s="47" t="str">
        <f aca="true">IF(D77="","",IF(K77="Done","✔ Xong",IF(K77="Blocked","⛔ Blocked",IF(P77&lt;TODAY(),"⚠ Trễ hạn",IF(O77&lt;=TODAY(),"▶ Trong kỳ","Chưa tới")))))</f>
        <v>Chưa tới</v>
      </c>
      <c r="R77" s="44" t="n">
        <f aca="false">IF(J77="",0,J77*IF(K77="Done",1,IF(L77="",0,L77)))</f>
        <v>0</v>
      </c>
    </row>
    <row r="78" customFormat="false" ht="23.85" hidden="false" customHeight="false" outlineLevel="0" collapsed="false">
      <c r="A78" s="41" t="s">
        <v>360</v>
      </c>
      <c r="B78" s="42" t="s">
        <v>337</v>
      </c>
      <c r="C78" s="42" t="s">
        <v>338</v>
      </c>
      <c r="D78" s="42" t="s">
        <v>361</v>
      </c>
      <c r="E78" s="43" t="s">
        <v>95</v>
      </c>
      <c r="F78" s="43" t="s">
        <v>102</v>
      </c>
      <c r="G78" s="43" t="s">
        <v>116</v>
      </c>
      <c r="H78" s="43" t="n">
        <v>33</v>
      </c>
      <c r="I78" s="43" t="n">
        <v>34</v>
      </c>
      <c r="J78" s="44" t="n">
        <f aca="false">IF(OR(H78="",I78=""),"",(I78-H78+1)*5)</f>
        <v>10</v>
      </c>
      <c r="K78" s="43" t="s">
        <v>29</v>
      </c>
      <c r="L78" s="45" t="n">
        <v>0</v>
      </c>
      <c r="M78" s="42" t="s">
        <v>362</v>
      </c>
      <c r="N78" s="42"/>
      <c r="O78" s="46" t="n">
        <f aca="false">IF(H78="","",CFG_Start+(H78-1)*7)</f>
        <v>46531</v>
      </c>
      <c r="P78" s="46" t="n">
        <f aca="false">IF(I78="","",CFG_Start+I78*7-1)</f>
        <v>46544</v>
      </c>
      <c r="Q78" s="47" t="str">
        <f aca="true">IF(D78="","",IF(K78="Done","✔ Xong",IF(K78="Blocked","⛔ Blocked",IF(P78&lt;TODAY(),"⚠ Trễ hạn",IF(O78&lt;=TODAY(),"▶ Trong kỳ","Chưa tới")))))</f>
        <v>Chưa tới</v>
      </c>
      <c r="R78" s="44" t="n">
        <f aca="false">IF(J78="",0,J78*IF(K78="Done",1,IF(L78="",0,L78)))</f>
        <v>0</v>
      </c>
    </row>
    <row r="79" customFormat="false" ht="23.85" hidden="false" customHeight="false" outlineLevel="0" collapsed="false">
      <c r="A79" s="41" t="s">
        <v>363</v>
      </c>
      <c r="B79" s="42" t="s">
        <v>337</v>
      </c>
      <c r="C79" s="42" t="s">
        <v>338</v>
      </c>
      <c r="D79" s="42" t="s">
        <v>364</v>
      </c>
      <c r="E79" s="43" t="s">
        <v>95</v>
      </c>
      <c r="F79" s="43" t="s">
        <v>150</v>
      </c>
      <c r="G79" s="43" t="s">
        <v>97</v>
      </c>
      <c r="H79" s="43" t="n">
        <v>34</v>
      </c>
      <c r="I79" s="43" t="n">
        <v>34</v>
      </c>
      <c r="J79" s="44" t="n">
        <f aca="false">IF(OR(H79="",I79=""),"",(I79-H79+1)*5)</f>
        <v>5</v>
      </c>
      <c r="K79" s="43" t="s">
        <v>29</v>
      </c>
      <c r="L79" s="45" t="n">
        <v>0</v>
      </c>
      <c r="M79" s="42" t="s">
        <v>365</v>
      </c>
      <c r="N79" s="42"/>
      <c r="O79" s="46" t="n">
        <f aca="false">IF(H79="","",CFG_Start+(H79-1)*7)</f>
        <v>46538</v>
      </c>
      <c r="P79" s="46" t="n">
        <f aca="false">IF(I79="","",CFG_Start+I79*7-1)</f>
        <v>46544</v>
      </c>
      <c r="Q79" s="47" t="str">
        <f aca="true">IF(D79="","",IF(K79="Done","✔ Xong",IF(K79="Blocked","⛔ Blocked",IF(P79&lt;TODAY(),"⚠ Trễ hạn",IF(O79&lt;=TODAY(),"▶ Trong kỳ","Chưa tới")))))</f>
        <v>Chưa tới</v>
      </c>
      <c r="R79" s="44" t="n">
        <f aca="false">IF(J79="",0,J79*IF(K79="Done",1,IF(L79="",0,L79)))</f>
        <v>0</v>
      </c>
    </row>
    <row r="80" customFormat="false" ht="23.85" hidden="false" customHeight="false" outlineLevel="0" collapsed="false">
      <c r="A80" s="41" t="s">
        <v>366</v>
      </c>
      <c r="B80" s="42" t="s">
        <v>337</v>
      </c>
      <c r="C80" s="42" t="s">
        <v>338</v>
      </c>
      <c r="D80" s="42" t="s">
        <v>367</v>
      </c>
      <c r="E80" s="43" t="s">
        <v>95</v>
      </c>
      <c r="F80" s="43" t="s">
        <v>110</v>
      </c>
      <c r="G80" s="43" t="s">
        <v>97</v>
      </c>
      <c r="H80" s="43" t="n">
        <v>34</v>
      </c>
      <c r="I80" s="43" t="n">
        <v>34</v>
      </c>
      <c r="J80" s="44" t="n">
        <f aca="false">IF(OR(H80="",I80=""),"",(I80-H80+1)*5)</f>
        <v>5</v>
      </c>
      <c r="K80" s="43" t="s">
        <v>29</v>
      </c>
      <c r="L80" s="45" t="n">
        <v>0</v>
      </c>
      <c r="M80" s="42" t="s">
        <v>368</v>
      </c>
      <c r="N80" s="42" t="s">
        <v>369</v>
      </c>
      <c r="O80" s="46" t="n">
        <f aca="false">IF(H80="","",CFG_Start+(H80-1)*7)</f>
        <v>46538</v>
      </c>
      <c r="P80" s="46" t="n">
        <f aca="false">IF(I80="","",CFG_Start+I80*7-1)</f>
        <v>46544</v>
      </c>
      <c r="Q80" s="47" t="str">
        <f aca="true">IF(D80="","",IF(K80="Done","✔ Xong",IF(K80="Blocked","⛔ Blocked",IF(P80&lt;TODAY(),"⚠ Trễ hạn",IF(O80&lt;=TODAY(),"▶ Trong kỳ","Chưa tới")))))</f>
        <v>Chưa tới</v>
      </c>
      <c r="R80" s="44" t="n">
        <f aca="false">IF(J80="",0,J80*IF(K80="Done",1,IF(L80="",0,L80)))</f>
        <v>0</v>
      </c>
    </row>
    <row r="81" customFormat="false" ht="15" hidden="false" customHeight="false" outlineLevel="0" collapsed="false">
      <c r="A81" s="48"/>
      <c r="B81" s="48"/>
      <c r="C81" s="48"/>
      <c r="D81" s="48"/>
      <c r="E81" s="48"/>
      <c r="F81" s="48"/>
      <c r="G81" s="48"/>
      <c r="H81" s="48"/>
      <c r="I81" s="48"/>
      <c r="J81" s="44" t="str">
        <f aca="false">IF(OR(H81="",I81=""),"",(I81-H81+1)*5)</f>
        <v/>
      </c>
      <c r="K81" s="48"/>
      <c r="L81" s="49"/>
      <c r="M81" s="48"/>
      <c r="N81" s="48"/>
      <c r="O81" s="46" t="str">
        <f aca="false">IF(H81="","",CFG_Start+(H81-1)*7)</f>
        <v/>
      </c>
      <c r="P81" s="46" t="str">
        <f aca="false">IF(I81="","",CFG_Start+I81*7-1)</f>
        <v/>
      </c>
      <c r="Q81" s="47" t="str">
        <f aca="true">IF(D81="","",IF(K81="Done","✔ Xong",IF(K81="Blocked","⛔ Blocked",IF(P81&lt;TODAY(),"⚠ Trễ hạn",IF(O81&lt;=TODAY(),"▶ Trong kỳ","Chưa tới")))))</f>
        <v/>
      </c>
      <c r="R81" s="44" t="n">
        <f aca="false">IF(J81="",0,J81*IF(K81="Done",1,IF(L81="",0,L81)))</f>
        <v>0</v>
      </c>
    </row>
    <row r="82" customFormat="false" ht="15" hidden="false" customHeight="false" outlineLevel="0" collapsed="false">
      <c r="A82" s="48"/>
      <c r="B82" s="48"/>
      <c r="C82" s="48"/>
      <c r="D82" s="48"/>
      <c r="E82" s="48"/>
      <c r="F82" s="48"/>
      <c r="G82" s="48"/>
      <c r="H82" s="48"/>
      <c r="I82" s="48"/>
      <c r="J82" s="44" t="str">
        <f aca="false">IF(OR(H82="",I82=""),"",(I82-H82+1)*5)</f>
        <v/>
      </c>
      <c r="K82" s="48"/>
      <c r="L82" s="49"/>
      <c r="M82" s="48"/>
      <c r="N82" s="48"/>
      <c r="O82" s="46" t="str">
        <f aca="false">IF(H82="","",CFG_Start+(H82-1)*7)</f>
        <v/>
      </c>
      <c r="P82" s="46" t="str">
        <f aca="false">IF(I82="","",CFG_Start+I82*7-1)</f>
        <v/>
      </c>
      <c r="Q82" s="47" t="str">
        <f aca="true">IF(D82="","",IF(K82="Done","✔ Xong",IF(K82="Blocked","⛔ Blocked",IF(P82&lt;TODAY(),"⚠ Trễ hạn",IF(O82&lt;=TODAY(),"▶ Trong kỳ","Chưa tới")))))</f>
        <v/>
      </c>
      <c r="R82" s="44" t="n">
        <f aca="false">IF(J82="",0,J82*IF(K82="Done",1,IF(L82="",0,L82)))</f>
        <v>0</v>
      </c>
    </row>
    <row r="83" customFormat="false" ht="15" hidden="false" customHeight="false" outlineLevel="0" collapsed="false">
      <c r="A83" s="48"/>
      <c r="B83" s="48"/>
      <c r="C83" s="48"/>
      <c r="D83" s="48"/>
      <c r="E83" s="48"/>
      <c r="F83" s="48"/>
      <c r="G83" s="48"/>
      <c r="H83" s="48"/>
      <c r="I83" s="48"/>
      <c r="J83" s="44" t="str">
        <f aca="false">IF(OR(H83="",I83=""),"",(I83-H83+1)*5)</f>
        <v/>
      </c>
      <c r="K83" s="48"/>
      <c r="L83" s="49"/>
      <c r="M83" s="48"/>
      <c r="N83" s="48"/>
      <c r="O83" s="46" t="str">
        <f aca="false">IF(H83="","",CFG_Start+(H83-1)*7)</f>
        <v/>
      </c>
      <c r="P83" s="46" t="str">
        <f aca="false">IF(I83="","",CFG_Start+I83*7-1)</f>
        <v/>
      </c>
      <c r="Q83" s="47" t="str">
        <f aca="true">IF(D83="","",IF(K83="Done","✔ Xong",IF(K83="Blocked","⛔ Blocked",IF(P83&lt;TODAY(),"⚠ Trễ hạn",IF(O83&lt;=TODAY(),"▶ Trong kỳ","Chưa tới")))))</f>
        <v/>
      </c>
      <c r="R83" s="44" t="n">
        <f aca="false">IF(J83="",0,J83*IF(K83="Done",1,IF(L83="",0,L83)))</f>
        <v>0</v>
      </c>
    </row>
    <row r="84" customFormat="false" ht="15" hidden="false" customHeight="false" outlineLevel="0" collapsed="false">
      <c r="A84" s="48"/>
      <c r="B84" s="48"/>
      <c r="C84" s="48"/>
      <c r="D84" s="48"/>
      <c r="E84" s="48"/>
      <c r="F84" s="48"/>
      <c r="G84" s="48"/>
      <c r="H84" s="48"/>
      <c r="I84" s="48"/>
      <c r="J84" s="44" t="str">
        <f aca="false">IF(OR(H84="",I84=""),"",(I84-H84+1)*5)</f>
        <v/>
      </c>
      <c r="K84" s="48"/>
      <c r="L84" s="49"/>
      <c r="M84" s="48"/>
      <c r="N84" s="48"/>
      <c r="O84" s="46" t="str">
        <f aca="false">IF(H84="","",CFG_Start+(H84-1)*7)</f>
        <v/>
      </c>
      <c r="P84" s="46" t="str">
        <f aca="false">IF(I84="","",CFG_Start+I84*7-1)</f>
        <v/>
      </c>
      <c r="Q84" s="47" t="str">
        <f aca="true">IF(D84="","",IF(K84="Done","✔ Xong",IF(K84="Blocked","⛔ Blocked",IF(P84&lt;TODAY(),"⚠ Trễ hạn",IF(O84&lt;=TODAY(),"▶ Trong kỳ","Chưa tới")))))</f>
        <v/>
      </c>
      <c r="R84" s="44" t="n">
        <f aca="false">IF(J84="",0,J84*IF(K84="Done",1,IF(L84="",0,L84)))</f>
        <v>0</v>
      </c>
    </row>
    <row r="85" customFormat="false" ht="15" hidden="false" customHeight="false" outlineLevel="0" collapsed="false">
      <c r="A85" s="48"/>
      <c r="B85" s="48"/>
      <c r="C85" s="48"/>
      <c r="D85" s="48"/>
      <c r="E85" s="48"/>
      <c r="F85" s="48"/>
      <c r="G85" s="48"/>
      <c r="H85" s="48"/>
      <c r="I85" s="48"/>
      <c r="J85" s="44" t="str">
        <f aca="false">IF(OR(H85="",I85=""),"",(I85-H85+1)*5)</f>
        <v/>
      </c>
      <c r="K85" s="48"/>
      <c r="L85" s="49"/>
      <c r="M85" s="48"/>
      <c r="N85" s="48"/>
      <c r="O85" s="46" t="str">
        <f aca="false">IF(H85="","",CFG_Start+(H85-1)*7)</f>
        <v/>
      </c>
      <c r="P85" s="46" t="str">
        <f aca="false">IF(I85="","",CFG_Start+I85*7-1)</f>
        <v/>
      </c>
      <c r="Q85" s="47" t="str">
        <f aca="true">IF(D85="","",IF(K85="Done","✔ Xong",IF(K85="Blocked","⛔ Blocked",IF(P85&lt;TODAY(),"⚠ Trễ hạn",IF(O85&lt;=TODAY(),"▶ Trong kỳ","Chưa tới")))))</f>
        <v/>
      </c>
      <c r="R85" s="44" t="n">
        <f aca="false">IF(J85="",0,J85*IF(K85="Done",1,IF(L85="",0,L85)))</f>
        <v>0</v>
      </c>
    </row>
    <row r="86" customFormat="false" ht="15" hidden="false" customHeight="false" outlineLevel="0" collapsed="false">
      <c r="A86" s="48"/>
      <c r="B86" s="48"/>
      <c r="C86" s="48"/>
      <c r="D86" s="48"/>
      <c r="E86" s="48"/>
      <c r="F86" s="48"/>
      <c r="G86" s="48"/>
      <c r="H86" s="48"/>
      <c r="I86" s="48"/>
      <c r="J86" s="44" t="str">
        <f aca="false">IF(OR(H86="",I86=""),"",(I86-H86+1)*5)</f>
        <v/>
      </c>
      <c r="K86" s="48"/>
      <c r="L86" s="49"/>
      <c r="M86" s="48"/>
      <c r="N86" s="48"/>
      <c r="O86" s="46" t="str">
        <f aca="false">IF(H86="","",CFG_Start+(H86-1)*7)</f>
        <v/>
      </c>
      <c r="P86" s="46" t="str">
        <f aca="false">IF(I86="","",CFG_Start+I86*7-1)</f>
        <v/>
      </c>
      <c r="Q86" s="47" t="str">
        <f aca="true">IF(D86="","",IF(K86="Done","✔ Xong",IF(K86="Blocked","⛔ Blocked",IF(P86&lt;TODAY(),"⚠ Trễ hạn",IF(O86&lt;=TODAY(),"▶ Trong kỳ","Chưa tới")))))</f>
        <v/>
      </c>
      <c r="R86" s="44" t="n">
        <f aca="false">IF(J86="",0,J86*IF(K86="Done",1,IF(L86="",0,L86)))</f>
        <v>0</v>
      </c>
    </row>
    <row r="87" customFormat="false" ht="15" hidden="false" customHeight="false" outlineLevel="0" collapsed="false">
      <c r="A87" s="48"/>
      <c r="B87" s="48"/>
      <c r="C87" s="48"/>
      <c r="D87" s="48"/>
      <c r="E87" s="48"/>
      <c r="F87" s="48"/>
      <c r="G87" s="48"/>
      <c r="H87" s="48"/>
      <c r="I87" s="48"/>
      <c r="J87" s="44" t="str">
        <f aca="false">IF(OR(H87="",I87=""),"",(I87-H87+1)*5)</f>
        <v/>
      </c>
      <c r="K87" s="48"/>
      <c r="L87" s="49"/>
      <c r="M87" s="48"/>
      <c r="N87" s="48"/>
      <c r="O87" s="46" t="str">
        <f aca="false">IF(H87="","",CFG_Start+(H87-1)*7)</f>
        <v/>
      </c>
      <c r="P87" s="46" t="str">
        <f aca="false">IF(I87="","",CFG_Start+I87*7-1)</f>
        <v/>
      </c>
      <c r="Q87" s="47" t="str">
        <f aca="true">IF(D87="","",IF(K87="Done","✔ Xong",IF(K87="Blocked","⛔ Blocked",IF(P87&lt;TODAY(),"⚠ Trễ hạn",IF(O87&lt;=TODAY(),"▶ Trong kỳ","Chưa tới")))))</f>
        <v/>
      </c>
      <c r="R87" s="44" t="n">
        <f aca="false">IF(J87="",0,J87*IF(K87="Done",1,IF(L87="",0,L87)))</f>
        <v>0</v>
      </c>
    </row>
    <row r="88" customFormat="false" ht="15" hidden="false" customHeight="false" outlineLevel="0" collapsed="false">
      <c r="A88" s="48"/>
      <c r="B88" s="48"/>
      <c r="C88" s="48"/>
      <c r="D88" s="48"/>
      <c r="E88" s="48"/>
      <c r="F88" s="48"/>
      <c r="G88" s="48"/>
      <c r="H88" s="48"/>
      <c r="I88" s="48"/>
      <c r="J88" s="44" t="str">
        <f aca="false">IF(OR(H88="",I88=""),"",(I88-H88+1)*5)</f>
        <v/>
      </c>
      <c r="K88" s="48"/>
      <c r="L88" s="49"/>
      <c r="M88" s="48"/>
      <c r="N88" s="48"/>
      <c r="O88" s="46" t="str">
        <f aca="false">IF(H88="","",CFG_Start+(H88-1)*7)</f>
        <v/>
      </c>
      <c r="P88" s="46" t="str">
        <f aca="false">IF(I88="","",CFG_Start+I88*7-1)</f>
        <v/>
      </c>
      <c r="Q88" s="47" t="str">
        <f aca="true">IF(D88="","",IF(K88="Done","✔ Xong",IF(K88="Blocked","⛔ Blocked",IF(P88&lt;TODAY(),"⚠ Trễ hạn",IF(O88&lt;=TODAY(),"▶ Trong kỳ","Chưa tới")))))</f>
        <v/>
      </c>
      <c r="R88" s="44" t="n">
        <f aca="false">IF(J88="",0,J88*IF(K88="Done",1,IF(L88="",0,L88)))</f>
        <v>0</v>
      </c>
    </row>
    <row r="89" customFormat="false" ht="15" hidden="false" customHeight="false" outlineLevel="0" collapsed="false">
      <c r="A89" s="48"/>
      <c r="B89" s="48"/>
      <c r="C89" s="48"/>
      <c r="D89" s="48"/>
      <c r="E89" s="48"/>
      <c r="F89" s="48"/>
      <c r="G89" s="48"/>
      <c r="H89" s="48"/>
      <c r="I89" s="48"/>
      <c r="J89" s="44" t="str">
        <f aca="false">IF(OR(H89="",I89=""),"",(I89-H89+1)*5)</f>
        <v/>
      </c>
      <c r="K89" s="48"/>
      <c r="L89" s="49"/>
      <c r="M89" s="48"/>
      <c r="N89" s="48"/>
      <c r="O89" s="46" t="str">
        <f aca="false">IF(H89="","",CFG_Start+(H89-1)*7)</f>
        <v/>
      </c>
      <c r="P89" s="46" t="str">
        <f aca="false">IF(I89="","",CFG_Start+I89*7-1)</f>
        <v/>
      </c>
      <c r="Q89" s="47" t="str">
        <f aca="true">IF(D89="","",IF(K89="Done","✔ Xong",IF(K89="Blocked","⛔ Blocked",IF(P89&lt;TODAY(),"⚠ Trễ hạn",IF(O89&lt;=TODAY(),"▶ Trong kỳ","Chưa tới")))))</f>
        <v/>
      </c>
      <c r="R89" s="44" t="n">
        <f aca="false">IF(J89="",0,J89*IF(K89="Done",1,IF(L89="",0,L89)))</f>
        <v>0</v>
      </c>
    </row>
    <row r="90" customFormat="false" ht="15" hidden="false" customHeight="false" outlineLevel="0" collapsed="false">
      <c r="A90" s="48"/>
      <c r="B90" s="48"/>
      <c r="C90" s="48"/>
      <c r="D90" s="48"/>
      <c r="E90" s="48"/>
      <c r="F90" s="48"/>
      <c r="G90" s="48"/>
      <c r="H90" s="48"/>
      <c r="I90" s="48"/>
      <c r="J90" s="44" t="str">
        <f aca="false">IF(OR(H90="",I90=""),"",(I90-H90+1)*5)</f>
        <v/>
      </c>
      <c r="K90" s="48"/>
      <c r="L90" s="49"/>
      <c r="M90" s="48"/>
      <c r="N90" s="48"/>
      <c r="O90" s="46" t="str">
        <f aca="false">IF(H90="","",CFG_Start+(H90-1)*7)</f>
        <v/>
      </c>
      <c r="P90" s="46" t="str">
        <f aca="false">IF(I90="","",CFG_Start+I90*7-1)</f>
        <v/>
      </c>
      <c r="Q90" s="47" t="str">
        <f aca="true">IF(D90="","",IF(K90="Done","✔ Xong",IF(K90="Blocked","⛔ Blocked",IF(P90&lt;TODAY(),"⚠ Trễ hạn",IF(O90&lt;=TODAY(),"▶ Trong kỳ","Chưa tới")))))</f>
        <v/>
      </c>
      <c r="R90" s="44" t="n">
        <f aca="false">IF(J90="",0,J90*IF(K90="Done",1,IF(L90="",0,L90)))</f>
        <v>0</v>
      </c>
    </row>
    <row r="91" customFormat="false" ht="15" hidden="false" customHeight="false" outlineLevel="0" collapsed="false">
      <c r="A91" s="48"/>
      <c r="B91" s="48"/>
      <c r="C91" s="48"/>
      <c r="D91" s="48"/>
      <c r="E91" s="48"/>
      <c r="F91" s="48"/>
      <c r="G91" s="48"/>
      <c r="H91" s="48"/>
      <c r="I91" s="48"/>
      <c r="J91" s="44" t="str">
        <f aca="false">IF(OR(H91="",I91=""),"",(I91-H91+1)*5)</f>
        <v/>
      </c>
      <c r="K91" s="48"/>
      <c r="L91" s="49"/>
      <c r="M91" s="48"/>
      <c r="N91" s="48"/>
      <c r="O91" s="46" t="str">
        <f aca="false">IF(H91="","",CFG_Start+(H91-1)*7)</f>
        <v/>
      </c>
      <c r="P91" s="46" t="str">
        <f aca="false">IF(I91="","",CFG_Start+I91*7-1)</f>
        <v/>
      </c>
      <c r="Q91" s="47" t="str">
        <f aca="true">IF(D91="","",IF(K91="Done","✔ Xong",IF(K91="Blocked","⛔ Blocked",IF(P91&lt;TODAY(),"⚠ Trễ hạn",IF(O91&lt;=TODAY(),"▶ Trong kỳ","Chưa tới")))))</f>
        <v/>
      </c>
      <c r="R91" s="44" t="n">
        <f aca="false">IF(J91="",0,J91*IF(K91="Done",1,IF(L91="",0,L91)))</f>
        <v>0</v>
      </c>
    </row>
    <row r="92" customFormat="false" ht="15" hidden="false" customHeight="false" outlineLevel="0" collapsed="false">
      <c r="A92" s="48"/>
      <c r="B92" s="48"/>
      <c r="C92" s="48"/>
      <c r="D92" s="48"/>
      <c r="E92" s="48"/>
      <c r="F92" s="48"/>
      <c r="G92" s="48"/>
      <c r="H92" s="48"/>
      <c r="I92" s="48"/>
      <c r="J92" s="44" t="str">
        <f aca="false">IF(OR(H92="",I92=""),"",(I92-H92+1)*5)</f>
        <v/>
      </c>
      <c r="K92" s="48"/>
      <c r="L92" s="49"/>
      <c r="M92" s="48"/>
      <c r="N92" s="48"/>
      <c r="O92" s="46" t="str">
        <f aca="false">IF(H92="","",CFG_Start+(H92-1)*7)</f>
        <v/>
      </c>
      <c r="P92" s="46" t="str">
        <f aca="false">IF(I92="","",CFG_Start+I92*7-1)</f>
        <v/>
      </c>
      <c r="Q92" s="47" t="str">
        <f aca="true">IF(D92="","",IF(K92="Done","✔ Xong",IF(K92="Blocked","⛔ Blocked",IF(P92&lt;TODAY(),"⚠ Trễ hạn",IF(O92&lt;=TODAY(),"▶ Trong kỳ","Chưa tới")))))</f>
        <v/>
      </c>
      <c r="R92" s="44" t="n">
        <f aca="false">IF(J92="",0,J92*IF(K92="Done",1,IF(L92="",0,L92)))</f>
        <v>0</v>
      </c>
    </row>
    <row r="93" customFormat="false" ht="15" hidden="false" customHeight="false" outlineLevel="0" collapsed="false">
      <c r="A93" s="48"/>
      <c r="B93" s="48"/>
      <c r="C93" s="48"/>
      <c r="D93" s="48"/>
      <c r="E93" s="48"/>
      <c r="F93" s="48"/>
      <c r="G93" s="48"/>
      <c r="H93" s="48"/>
      <c r="I93" s="48"/>
      <c r="J93" s="44" t="str">
        <f aca="false">IF(OR(H93="",I93=""),"",(I93-H93+1)*5)</f>
        <v/>
      </c>
      <c r="K93" s="48"/>
      <c r="L93" s="49"/>
      <c r="M93" s="48"/>
      <c r="N93" s="48"/>
      <c r="O93" s="46" t="str">
        <f aca="false">IF(H93="","",CFG_Start+(H93-1)*7)</f>
        <v/>
      </c>
      <c r="P93" s="46" t="str">
        <f aca="false">IF(I93="","",CFG_Start+I93*7-1)</f>
        <v/>
      </c>
      <c r="Q93" s="47" t="str">
        <f aca="true">IF(D93="","",IF(K93="Done","✔ Xong",IF(K93="Blocked","⛔ Blocked",IF(P93&lt;TODAY(),"⚠ Trễ hạn",IF(O93&lt;=TODAY(),"▶ Trong kỳ","Chưa tới")))))</f>
        <v/>
      </c>
      <c r="R93" s="44" t="n">
        <f aca="false">IF(J93="",0,J93*IF(K93="Done",1,IF(L93="",0,L93)))</f>
        <v>0</v>
      </c>
    </row>
    <row r="94" customFormat="false" ht="15" hidden="false" customHeight="false" outlineLevel="0" collapsed="false">
      <c r="A94" s="48"/>
      <c r="B94" s="48"/>
      <c r="C94" s="48"/>
      <c r="D94" s="48"/>
      <c r="E94" s="48"/>
      <c r="F94" s="48"/>
      <c r="G94" s="48"/>
      <c r="H94" s="48"/>
      <c r="I94" s="48"/>
      <c r="J94" s="44" t="str">
        <f aca="false">IF(OR(H94="",I94=""),"",(I94-H94+1)*5)</f>
        <v/>
      </c>
      <c r="K94" s="48"/>
      <c r="L94" s="49"/>
      <c r="M94" s="48"/>
      <c r="N94" s="48"/>
      <c r="O94" s="46" t="str">
        <f aca="false">IF(H94="","",CFG_Start+(H94-1)*7)</f>
        <v/>
      </c>
      <c r="P94" s="46" t="str">
        <f aca="false">IF(I94="","",CFG_Start+I94*7-1)</f>
        <v/>
      </c>
      <c r="Q94" s="47" t="str">
        <f aca="true">IF(D94="","",IF(K94="Done","✔ Xong",IF(K94="Blocked","⛔ Blocked",IF(P94&lt;TODAY(),"⚠ Trễ hạn",IF(O94&lt;=TODAY(),"▶ Trong kỳ","Chưa tới")))))</f>
        <v/>
      </c>
      <c r="R94" s="44" t="n">
        <f aca="false">IF(J94="",0,J94*IF(K94="Done",1,IF(L94="",0,L94)))</f>
        <v>0</v>
      </c>
    </row>
    <row r="95" customFormat="false" ht="15" hidden="false" customHeight="false" outlineLevel="0" collapsed="false">
      <c r="A95" s="48"/>
      <c r="B95" s="48"/>
      <c r="C95" s="48"/>
      <c r="D95" s="48"/>
      <c r="E95" s="48"/>
      <c r="F95" s="48"/>
      <c r="G95" s="48"/>
      <c r="H95" s="48"/>
      <c r="I95" s="48"/>
      <c r="J95" s="44" t="str">
        <f aca="false">IF(OR(H95="",I95=""),"",(I95-H95+1)*5)</f>
        <v/>
      </c>
      <c r="K95" s="48"/>
      <c r="L95" s="49"/>
      <c r="M95" s="48"/>
      <c r="N95" s="48"/>
      <c r="O95" s="46" t="str">
        <f aca="false">IF(H95="","",CFG_Start+(H95-1)*7)</f>
        <v/>
      </c>
      <c r="P95" s="46" t="str">
        <f aca="false">IF(I95="","",CFG_Start+I95*7-1)</f>
        <v/>
      </c>
      <c r="Q95" s="47" t="str">
        <f aca="true">IF(D95="","",IF(K95="Done","✔ Xong",IF(K95="Blocked","⛔ Blocked",IF(P95&lt;TODAY(),"⚠ Trễ hạn",IF(O95&lt;=TODAY(),"▶ Trong kỳ","Chưa tới")))))</f>
        <v/>
      </c>
      <c r="R95" s="44" t="n">
        <f aca="false">IF(J95="",0,J95*IF(K95="Done",1,IF(L95="",0,L95)))</f>
        <v>0</v>
      </c>
    </row>
    <row r="96" customFormat="false" ht="15" hidden="false" customHeight="false" outlineLevel="0" collapsed="false">
      <c r="A96" s="48"/>
      <c r="B96" s="48"/>
      <c r="C96" s="48"/>
      <c r="D96" s="48"/>
      <c r="E96" s="48"/>
      <c r="F96" s="48"/>
      <c r="G96" s="48"/>
      <c r="H96" s="48"/>
      <c r="I96" s="48"/>
      <c r="J96" s="44" t="str">
        <f aca="false">IF(OR(H96="",I96=""),"",(I96-H96+1)*5)</f>
        <v/>
      </c>
      <c r="K96" s="48"/>
      <c r="L96" s="49"/>
      <c r="M96" s="48"/>
      <c r="N96" s="48"/>
      <c r="O96" s="46" t="str">
        <f aca="false">IF(H96="","",CFG_Start+(H96-1)*7)</f>
        <v/>
      </c>
      <c r="P96" s="46" t="str">
        <f aca="false">IF(I96="","",CFG_Start+I96*7-1)</f>
        <v/>
      </c>
      <c r="Q96" s="47" t="str">
        <f aca="true">IF(D96="","",IF(K96="Done","✔ Xong",IF(K96="Blocked","⛔ Blocked",IF(P96&lt;TODAY(),"⚠ Trễ hạn",IF(O96&lt;=TODAY(),"▶ Trong kỳ","Chưa tới")))))</f>
        <v/>
      </c>
      <c r="R96" s="44" t="n">
        <f aca="false">IF(J96="",0,J96*IF(K96="Done",1,IF(L96="",0,L96)))</f>
        <v>0</v>
      </c>
    </row>
    <row r="97" customFormat="false" ht="15" hidden="false" customHeight="false" outlineLevel="0" collapsed="false">
      <c r="A97" s="48"/>
      <c r="B97" s="48"/>
      <c r="C97" s="48"/>
      <c r="D97" s="48"/>
      <c r="E97" s="48"/>
      <c r="F97" s="48"/>
      <c r="G97" s="48"/>
      <c r="H97" s="48"/>
      <c r="I97" s="48"/>
      <c r="J97" s="44" t="str">
        <f aca="false">IF(OR(H97="",I97=""),"",(I97-H97+1)*5)</f>
        <v/>
      </c>
      <c r="K97" s="48"/>
      <c r="L97" s="49"/>
      <c r="M97" s="48"/>
      <c r="N97" s="48"/>
      <c r="O97" s="46" t="str">
        <f aca="false">IF(H97="","",CFG_Start+(H97-1)*7)</f>
        <v/>
      </c>
      <c r="P97" s="46" t="str">
        <f aca="false">IF(I97="","",CFG_Start+I97*7-1)</f>
        <v/>
      </c>
      <c r="Q97" s="47" t="str">
        <f aca="true">IF(D97="","",IF(K97="Done","✔ Xong",IF(K97="Blocked","⛔ Blocked",IF(P97&lt;TODAY(),"⚠ Trễ hạn",IF(O97&lt;=TODAY(),"▶ Trong kỳ","Chưa tới")))))</f>
        <v/>
      </c>
      <c r="R97" s="44" t="n">
        <f aca="false">IF(J97="",0,J97*IF(K97="Done",1,IF(L97="",0,L97)))</f>
        <v>0</v>
      </c>
    </row>
    <row r="98" customFormat="false" ht="15" hidden="false" customHeight="false" outlineLevel="0" collapsed="false">
      <c r="A98" s="48"/>
      <c r="B98" s="48"/>
      <c r="C98" s="48"/>
      <c r="D98" s="48"/>
      <c r="E98" s="48"/>
      <c r="F98" s="48"/>
      <c r="G98" s="48"/>
      <c r="H98" s="48"/>
      <c r="I98" s="48"/>
      <c r="J98" s="44" t="str">
        <f aca="false">IF(OR(H98="",I98=""),"",(I98-H98+1)*5)</f>
        <v/>
      </c>
      <c r="K98" s="48"/>
      <c r="L98" s="49"/>
      <c r="M98" s="48"/>
      <c r="N98" s="48"/>
      <c r="O98" s="46" t="str">
        <f aca="false">IF(H98="","",CFG_Start+(H98-1)*7)</f>
        <v/>
      </c>
      <c r="P98" s="46" t="str">
        <f aca="false">IF(I98="","",CFG_Start+I98*7-1)</f>
        <v/>
      </c>
      <c r="Q98" s="47" t="str">
        <f aca="true">IF(D98="","",IF(K98="Done","✔ Xong",IF(K98="Blocked","⛔ Blocked",IF(P98&lt;TODAY(),"⚠ Trễ hạn",IF(O98&lt;=TODAY(),"▶ Trong kỳ","Chưa tới")))))</f>
        <v/>
      </c>
      <c r="R98" s="44" t="n">
        <f aca="false">IF(J98="",0,J98*IF(K98="Done",1,IF(L98="",0,L98)))</f>
        <v>0</v>
      </c>
    </row>
    <row r="99" customFormat="false" ht="15" hidden="false" customHeight="false" outlineLevel="0" collapsed="false">
      <c r="A99" s="48"/>
      <c r="B99" s="48"/>
      <c r="C99" s="48"/>
      <c r="D99" s="48"/>
      <c r="E99" s="48"/>
      <c r="F99" s="48"/>
      <c r="G99" s="48"/>
      <c r="H99" s="48"/>
      <c r="I99" s="48"/>
      <c r="J99" s="44" t="str">
        <f aca="false">IF(OR(H99="",I99=""),"",(I99-H99+1)*5)</f>
        <v/>
      </c>
      <c r="K99" s="48"/>
      <c r="L99" s="49"/>
      <c r="M99" s="48"/>
      <c r="N99" s="48"/>
      <c r="O99" s="46" t="str">
        <f aca="false">IF(H99="","",CFG_Start+(H99-1)*7)</f>
        <v/>
      </c>
      <c r="P99" s="46" t="str">
        <f aca="false">IF(I99="","",CFG_Start+I99*7-1)</f>
        <v/>
      </c>
      <c r="Q99" s="47" t="str">
        <f aca="true">IF(D99="","",IF(K99="Done","✔ Xong",IF(K99="Blocked","⛔ Blocked",IF(P99&lt;TODAY(),"⚠ Trễ hạn",IF(O99&lt;=TODAY(),"▶ Trong kỳ","Chưa tới")))))</f>
        <v/>
      </c>
      <c r="R99" s="44" t="n">
        <f aca="false">IF(J99="",0,J99*IF(K99="Done",1,IF(L99="",0,L99)))</f>
        <v>0</v>
      </c>
    </row>
    <row r="100" customFormat="false" ht="15" hidden="false" customHeight="false" outlineLevel="0" collapsed="false">
      <c r="A100" s="48"/>
      <c r="B100" s="48"/>
      <c r="C100" s="48"/>
      <c r="D100" s="48"/>
      <c r="E100" s="48"/>
      <c r="F100" s="48"/>
      <c r="G100" s="48"/>
      <c r="H100" s="48"/>
      <c r="I100" s="48"/>
      <c r="J100" s="44" t="str">
        <f aca="false">IF(OR(H100="",I100=""),"",(I100-H100+1)*5)</f>
        <v/>
      </c>
      <c r="K100" s="48"/>
      <c r="L100" s="49"/>
      <c r="M100" s="48"/>
      <c r="N100" s="48"/>
      <c r="O100" s="46" t="str">
        <f aca="false">IF(H100="","",CFG_Start+(H100-1)*7)</f>
        <v/>
      </c>
      <c r="P100" s="46" t="str">
        <f aca="false">IF(I100="","",CFG_Start+I100*7-1)</f>
        <v/>
      </c>
      <c r="Q100" s="47" t="str">
        <f aca="true">IF(D100="","",IF(K100="Done","✔ Xong",IF(K100="Blocked","⛔ Blocked",IF(P100&lt;TODAY(),"⚠ Trễ hạn",IF(O100&lt;=TODAY(),"▶ Trong kỳ","Chưa tới")))))</f>
        <v/>
      </c>
      <c r="R100" s="44" t="n">
        <f aca="false">IF(J100="",0,J100*IF(K100="Done",1,IF(L100="",0,L100)))</f>
        <v>0</v>
      </c>
    </row>
    <row r="101" customFormat="false" ht="15" hidden="false" customHeight="false" outlineLevel="0" collapsed="false">
      <c r="A101" s="48"/>
      <c r="B101" s="48"/>
      <c r="C101" s="48"/>
      <c r="D101" s="48"/>
      <c r="E101" s="48"/>
      <c r="F101" s="48"/>
      <c r="G101" s="48"/>
      <c r="H101" s="48"/>
      <c r="I101" s="48"/>
      <c r="J101" s="44" t="str">
        <f aca="false">IF(OR(H101="",I101=""),"",(I101-H101+1)*5)</f>
        <v/>
      </c>
      <c r="K101" s="48"/>
      <c r="L101" s="49"/>
      <c r="M101" s="48"/>
      <c r="N101" s="48"/>
      <c r="O101" s="46" t="str">
        <f aca="false">IF(H101="","",CFG_Start+(H101-1)*7)</f>
        <v/>
      </c>
      <c r="P101" s="46" t="str">
        <f aca="false">IF(I101="","",CFG_Start+I101*7-1)</f>
        <v/>
      </c>
      <c r="Q101" s="47" t="str">
        <f aca="true">IF(D101="","",IF(K101="Done","✔ Xong",IF(K101="Blocked","⛔ Blocked",IF(P101&lt;TODAY(),"⚠ Trễ hạn",IF(O101&lt;=TODAY(),"▶ Trong kỳ","Chưa tới")))))</f>
        <v/>
      </c>
      <c r="R101" s="44" t="n">
        <f aca="false">IF(J101="",0,J101*IF(K101="Done",1,IF(L101="",0,L101)))</f>
        <v>0</v>
      </c>
    </row>
    <row r="102" customFormat="false" ht="15" hidden="false" customHeight="false" outlineLevel="0" collapsed="false">
      <c r="A102" s="48"/>
      <c r="B102" s="48"/>
      <c r="C102" s="48"/>
      <c r="D102" s="48"/>
      <c r="E102" s="48"/>
      <c r="F102" s="48"/>
      <c r="G102" s="48"/>
      <c r="H102" s="48"/>
      <c r="I102" s="48"/>
      <c r="J102" s="44" t="str">
        <f aca="false">IF(OR(H102="",I102=""),"",(I102-H102+1)*5)</f>
        <v/>
      </c>
      <c r="K102" s="48"/>
      <c r="L102" s="49"/>
      <c r="M102" s="48"/>
      <c r="N102" s="48"/>
      <c r="O102" s="46" t="str">
        <f aca="false">IF(H102="","",CFG_Start+(H102-1)*7)</f>
        <v/>
      </c>
      <c r="P102" s="46" t="str">
        <f aca="false">IF(I102="","",CFG_Start+I102*7-1)</f>
        <v/>
      </c>
      <c r="Q102" s="47" t="str">
        <f aca="true">IF(D102="","",IF(K102="Done","✔ Xong",IF(K102="Blocked","⛔ Blocked",IF(P102&lt;TODAY(),"⚠ Trễ hạn",IF(O102&lt;=TODAY(),"▶ Trong kỳ","Chưa tới")))))</f>
        <v/>
      </c>
      <c r="R102" s="44" t="n">
        <f aca="false">IF(J102="",0,J102*IF(K102="Done",1,IF(L102="",0,L102)))</f>
        <v>0</v>
      </c>
    </row>
    <row r="103" customFormat="false" ht="15" hidden="false" customHeight="false" outlineLevel="0" collapsed="false">
      <c r="A103" s="48"/>
      <c r="B103" s="48"/>
      <c r="C103" s="48"/>
      <c r="D103" s="48"/>
      <c r="E103" s="48"/>
      <c r="F103" s="48"/>
      <c r="G103" s="48"/>
      <c r="H103" s="48"/>
      <c r="I103" s="48"/>
      <c r="J103" s="44" t="str">
        <f aca="false">IF(OR(H103="",I103=""),"",(I103-H103+1)*5)</f>
        <v/>
      </c>
      <c r="K103" s="48"/>
      <c r="L103" s="49"/>
      <c r="M103" s="48"/>
      <c r="N103" s="48"/>
      <c r="O103" s="46" t="str">
        <f aca="false">IF(H103="","",CFG_Start+(H103-1)*7)</f>
        <v/>
      </c>
      <c r="P103" s="46" t="str">
        <f aca="false">IF(I103="","",CFG_Start+I103*7-1)</f>
        <v/>
      </c>
      <c r="Q103" s="47" t="str">
        <f aca="true">IF(D103="","",IF(K103="Done","✔ Xong",IF(K103="Blocked","⛔ Blocked",IF(P103&lt;TODAY(),"⚠ Trễ hạn",IF(O103&lt;=TODAY(),"▶ Trong kỳ","Chưa tới")))))</f>
        <v/>
      </c>
      <c r="R103" s="44" t="n">
        <f aca="false">IF(J103="",0,J103*IF(K103="Done",1,IF(L103="",0,L103)))</f>
        <v>0</v>
      </c>
    </row>
    <row r="104" customFormat="false" ht="15" hidden="false" customHeight="false" outlineLevel="0" collapsed="false">
      <c r="A104" s="48"/>
      <c r="B104" s="48"/>
      <c r="C104" s="48"/>
      <c r="D104" s="48"/>
      <c r="E104" s="48"/>
      <c r="F104" s="48"/>
      <c r="G104" s="48"/>
      <c r="H104" s="48"/>
      <c r="I104" s="48"/>
      <c r="J104" s="44" t="str">
        <f aca="false">IF(OR(H104="",I104=""),"",(I104-H104+1)*5)</f>
        <v/>
      </c>
      <c r="K104" s="48"/>
      <c r="L104" s="49"/>
      <c r="M104" s="48"/>
      <c r="N104" s="48"/>
      <c r="O104" s="46" t="str">
        <f aca="false">IF(H104="","",CFG_Start+(H104-1)*7)</f>
        <v/>
      </c>
      <c r="P104" s="46" t="str">
        <f aca="false">IF(I104="","",CFG_Start+I104*7-1)</f>
        <v/>
      </c>
      <c r="Q104" s="47" t="str">
        <f aca="true">IF(D104="","",IF(K104="Done","✔ Xong",IF(K104="Blocked","⛔ Blocked",IF(P104&lt;TODAY(),"⚠ Trễ hạn",IF(O104&lt;=TODAY(),"▶ Trong kỳ","Chưa tới")))))</f>
        <v/>
      </c>
      <c r="R104" s="44" t="n">
        <f aca="false">IF(J104="",0,J104*IF(K104="Done",1,IF(L104="",0,L104)))</f>
        <v>0</v>
      </c>
    </row>
    <row r="105" customFormat="false" ht="15" hidden="false" customHeight="false" outlineLevel="0" collapsed="false">
      <c r="A105" s="48"/>
      <c r="B105" s="48"/>
      <c r="C105" s="48"/>
      <c r="D105" s="48"/>
      <c r="E105" s="48"/>
      <c r="F105" s="48"/>
      <c r="G105" s="48"/>
      <c r="H105" s="48"/>
      <c r="I105" s="48"/>
      <c r="J105" s="44" t="str">
        <f aca="false">IF(OR(H105="",I105=""),"",(I105-H105+1)*5)</f>
        <v/>
      </c>
      <c r="K105" s="48"/>
      <c r="L105" s="49"/>
      <c r="M105" s="48"/>
      <c r="N105" s="48"/>
      <c r="O105" s="46" t="str">
        <f aca="false">IF(H105="","",CFG_Start+(H105-1)*7)</f>
        <v/>
      </c>
      <c r="P105" s="46" t="str">
        <f aca="false">IF(I105="","",CFG_Start+I105*7-1)</f>
        <v/>
      </c>
      <c r="Q105" s="47" t="str">
        <f aca="true">IF(D105="","",IF(K105="Done","✔ Xong",IF(K105="Blocked","⛔ Blocked",IF(P105&lt;TODAY(),"⚠ Trễ hạn",IF(O105&lt;=TODAY(),"▶ Trong kỳ","Chưa tới")))))</f>
        <v/>
      </c>
      <c r="R105" s="44" t="n">
        <f aca="false">IF(J105="",0,J105*IF(K105="Done",1,IF(L105="",0,L105)))</f>
        <v>0</v>
      </c>
    </row>
    <row r="106" customFormat="false" ht="15" hidden="false" customHeight="false" outlineLevel="0" collapsed="false">
      <c r="A106" s="48"/>
      <c r="B106" s="48"/>
      <c r="C106" s="48"/>
      <c r="D106" s="48"/>
      <c r="E106" s="48"/>
      <c r="F106" s="48"/>
      <c r="G106" s="48"/>
      <c r="H106" s="48"/>
      <c r="I106" s="48"/>
      <c r="J106" s="44" t="str">
        <f aca="false">IF(OR(H106="",I106=""),"",(I106-H106+1)*5)</f>
        <v/>
      </c>
      <c r="K106" s="48"/>
      <c r="L106" s="49"/>
      <c r="M106" s="48"/>
      <c r="N106" s="48"/>
      <c r="O106" s="46" t="str">
        <f aca="false">IF(H106="","",CFG_Start+(H106-1)*7)</f>
        <v/>
      </c>
      <c r="P106" s="46" t="str">
        <f aca="false">IF(I106="","",CFG_Start+I106*7-1)</f>
        <v/>
      </c>
      <c r="Q106" s="47" t="str">
        <f aca="true">IF(D106="","",IF(K106="Done","✔ Xong",IF(K106="Blocked","⛔ Blocked",IF(P106&lt;TODAY(),"⚠ Trễ hạn",IF(O106&lt;=TODAY(),"▶ Trong kỳ","Chưa tới")))))</f>
        <v/>
      </c>
      <c r="R106" s="44" t="n">
        <f aca="false">IF(J106="",0,J106*IF(K106="Done",1,IF(L106="",0,L106)))</f>
        <v>0</v>
      </c>
    </row>
    <row r="107" customFormat="false" ht="15" hidden="false" customHeight="false" outlineLevel="0" collapsed="false">
      <c r="A107" s="48"/>
      <c r="B107" s="48"/>
      <c r="C107" s="48"/>
      <c r="D107" s="48"/>
      <c r="E107" s="48"/>
      <c r="F107" s="48"/>
      <c r="G107" s="48"/>
      <c r="H107" s="48"/>
      <c r="I107" s="48"/>
      <c r="J107" s="44" t="str">
        <f aca="false">IF(OR(H107="",I107=""),"",(I107-H107+1)*5)</f>
        <v/>
      </c>
      <c r="K107" s="48"/>
      <c r="L107" s="49"/>
      <c r="M107" s="48"/>
      <c r="N107" s="48"/>
      <c r="O107" s="46" t="str">
        <f aca="false">IF(H107="","",CFG_Start+(H107-1)*7)</f>
        <v/>
      </c>
      <c r="P107" s="46" t="str">
        <f aca="false">IF(I107="","",CFG_Start+I107*7-1)</f>
        <v/>
      </c>
      <c r="Q107" s="47" t="str">
        <f aca="true">IF(D107="","",IF(K107="Done","✔ Xong",IF(K107="Blocked","⛔ Blocked",IF(P107&lt;TODAY(),"⚠ Trễ hạn",IF(O107&lt;=TODAY(),"▶ Trong kỳ","Chưa tới")))))</f>
        <v/>
      </c>
      <c r="R107" s="44" t="n">
        <f aca="false">IF(J107="",0,J107*IF(K107="Done",1,IF(L107="",0,L107)))</f>
        <v>0</v>
      </c>
    </row>
    <row r="108" customFormat="false" ht="15" hidden="false" customHeight="false" outlineLevel="0" collapsed="false">
      <c r="A108" s="48"/>
      <c r="B108" s="48"/>
      <c r="C108" s="48"/>
      <c r="D108" s="48"/>
      <c r="E108" s="48"/>
      <c r="F108" s="48"/>
      <c r="G108" s="48"/>
      <c r="H108" s="48"/>
      <c r="I108" s="48"/>
      <c r="J108" s="44" t="str">
        <f aca="false">IF(OR(H108="",I108=""),"",(I108-H108+1)*5)</f>
        <v/>
      </c>
      <c r="K108" s="48"/>
      <c r="L108" s="49"/>
      <c r="M108" s="48"/>
      <c r="N108" s="48"/>
      <c r="O108" s="46" t="str">
        <f aca="false">IF(H108="","",CFG_Start+(H108-1)*7)</f>
        <v/>
      </c>
      <c r="P108" s="46" t="str">
        <f aca="false">IF(I108="","",CFG_Start+I108*7-1)</f>
        <v/>
      </c>
      <c r="Q108" s="47" t="str">
        <f aca="true">IF(D108="","",IF(K108="Done","✔ Xong",IF(K108="Blocked","⛔ Blocked",IF(P108&lt;TODAY(),"⚠ Trễ hạn",IF(O108&lt;=TODAY(),"▶ Trong kỳ","Chưa tới")))))</f>
        <v/>
      </c>
      <c r="R108" s="44" t="n">
        <f aca="false">IF(J108="",0,J108*IF(K108="Done",1,IF(L108="",0,L108)))</f>
        <v>0</v>
      </c>
    </row>
    <row r="109" customFormat="false" ht="15" hidden="false" customHeight="false" outlineLevel="0" collapsed="false">
      <c r="A109" s="48"/>
      <c r="B109" s="48"/>
      <c r="C109" s="48"/>
      <c r="D109" s="48"/>
      <c r="E109" s="48"/>
      <c r="F109" s="48"/>
      <c r="G109" s="48"/>
      <c r="H109" s="48"/>
      <c r="I109" s="48"/>
      <c r="J109" s="44" t="str">
        <f aca="false">IF(OR(H109="",I109=""),"",(I109-H109+1)*5)</f>
        <v/>
      </c>
      <c r="K109" s="48"/>
      <c r="L109" s="49"/>
      <c r="M109" s="48"/>
      <c r="N109" s="48"/>
      <c r="O109" s="46" t="str">
        <f aca="false">IF(H109="","",CFG_Start+(H109-1)*7)</f>
        <v/>
      </c>
      <c r="P109" s="46" t="str">
        <f aca="false">IF(I109="","",CFG_Start+I109*7-1)</f>
        <v/>
      </c>
      <c r="Q109" s="47" t="str">
        <f aca="true">IF(D109="","",IF(K109="Done","✔ Xong",IF(K109="Blocked","⛔ Blocked",IF(P109&lt;TODAY(),"⚠ Trễ hạn",IF(O109&lt;=TODAY(),"▶ Trong kỳ","Chưa tới")))))</f>
        <v/>
      </c>
      <c r="R109" s="44" t="n">
        <f aca="false">IF(J109="",0,J109*IF(K109="Done",1,IF(L109="",0,L109)))</f>
        <v>0</v>
      </c>
    </row>
    <row r="110" customFormat="false" ht="15" hidden="false" customHeight="false" outlineLevel="0" collapsed="false">
      <c r="A110" s="48"/>
      <c r="B110" s="48"/>
      <c r="C110" s="48"/>
      <c r="D110" s="48"/>
      <c r="E110" s="48"/>
      <c r="F110" s="48"/>
      <c r="G110" s="48"/>
      <c r="H110" s="48"/>
      <c r="I110" s="48"/>
      <c r="J110" s="44" t="str">
        <f aca="false">IF(OR(H110="",I110=""),"",(I110-H110+1)*5)</f>
        <v/>
      </c>
      <c r="K110" s="48"/>
      <c r="L110" s="49"/>
      <c r="M110" s="48"/>
      <c r="N110" s="48"/>
      <c r="O110" s="46" t="str">
        <f aca="false">IF(H110="","",CFG_Start+(H110-1)*7)</f>
        <v/>
      </c>
      <c r="P110" s="46" t="str">
        <f aca="false">IF(I110="","",CFG_Start+I110*7-1)</f>
        <v/>
      </c>
      <c r="Q110" s="47" t="str">
        <f aca="true">IF(D110="","",IF(K110="Done","✔ Xong",IF(K110="Blocked","⛔ Blocked",IF(P110&lt;TODAY(),"⚠ Trễ hạn",IF(O110&lt;=TODAY(),"▶ Trong kỳ","Chưa tới")))))</f>
        <v/>
      </c>
      <c r="R110" s="44" t="n">
        <f aca="false">IF(J110="",0,J110*IF(K110="Done",1,IF(L110="",0,L110)))</f>
        <v>0</v>
      </c>
    </row>
    <row r="111" customFormat="false" ht="15" hidden="false" customHeight="false" outlineLevel="0" collapsed="false">
      <c r="A111" s="48"/>
      <c r="B111" s="48"/>
      <c r="C111" s="48"/>
      <c r="D111" s="48"/>
      <c r="E111" s="48"/>
      <c r="F111" s="48"/>
      <c r="G111" s="48"/>
      <c r="H111" s="48"/>
      <c r="I111" s="48"/>
      <c r="J111" s="44" t="str">
        <f aca="false">IF(OR(H111="",I111=""),"",(I111-H111+1)*5)</f>
        <v/>
      </c>
      <c r="K111" s="48"/>
      <c r="L111" s="49"/>
      <c r="M111" s="48"/>
      <c r="N111" s="48"/>
      <c r="O111" s="46" t="str">
        <f aca="false">IF(H111="","",CFG_Start+(H111-1)*7)</f>
        <v/>
      </c>
      <c r="P111" s="46" t="str">
        <f aca="false">IF(I111="","",CFG_Start+I111*7-1)</f>
        <v/>
      </c>
      <c r="Q111" s="47" t="str">
        <f aca="true">IF(D111="","",IF(K111="Done","✔ Xong",IF(K111="Blocked","⛔ Blocked",IF(P111&lt;TODAY(),"⚠ Trễ hạn",IF(O111&lt;=TODAY(),"▶ Trong kỳ","Chưa tới")))))</f>
        <v/>
      </c>
      <c r="R111" s="44" t="n">
        <f aca="false">IF(J111="",0,J111*IF(K111="Done",1,IF(L111="",0,L111)))</f>
        <v>0</v>
      </c>
    </row>
    <row r="112" customFormat="false" ht="15" hidden="false" customHeight="false" outlineLevel="0" collapsed="false">
      <c r="A112" s="48"/>
      <c r="B112" s="48"/>
      <c r="C112" s="48"/>
      <c r="D112" s="48"/>
      <c r="E112" s="48"/>
      <c r="F112" s="48"/>
      <c r="G112" s="48"/>
      <c r="H112" s="48"/>
      <c r="I112" s="48"/>
      <c r="J112" s="44" t="str">
        <f aca="false">IF(OR(H112="",I112=""),"",(I112-H112+1)*5)</f>
        <v/>
      </c>
      <c r="K112" s="48"/>
      <c r="L112" s="49"/>
      <c r="M112" s="48"/>
      <c r="N112" s="48"/>
      <c r="O112" s="46" t="str">
        <f aca="false">IF(H112="","",CFG_Start+(H112-1)*7)</f>
        <v/>
      </c>
      <c r="P112" s="46" t="str">
        <f aca="false">IF(I112="","",CFG_Start+I112*7-1)</f>
        <v/>
      </c>
      <c r="Q112" s="47" t="str">
        <f aca="true">IF(D112="","",IF(K112="Done","✔ Xong",IF(K112="Blocked","⛔ Blocked",IF(P112&lt;TODAY(),"⚠ Trễ hạn",IF(O112&lt;=TODAY(),"▶ Trong kỳ","Chưa tới")))))</f>
        <v/>
      </c>
      <c r="R112" s="44" t="n">
        <f aca="false">IF(J112="",0,J112*IF(K112="Done",1,IF(L112="",0,L112)))</f>
        <v>0</v>
      </c>
    </row>
    <row r="113" customFormat="false" ht="15" hidden="false" customHeight="false" outlineLevel="0" collapsed="false">
      <c r="A113" s="48"/>
      <c r="B113" s="48"/>
      <c r="C113" s="48"/>
      <c r="D113" s="48"/>
      <c r="E113" s="48"/>
      <c r="F113" s="48"/>
      <c r="G113" s="48"/>
      <c r="H113" s="48"/>
      <c r="I113" s="48"/>
      <c r="J113" s="44" t="str">
        <f aca="false">IF(OR(H113="",I113=""),"",(I113-H113+1)*5)</f>
        <v/>
      </c>
      <c r="K113" s="48"/>
      <c r="L113" s="49"/>
      <c r="M113" s="48"/>
      <c r="N113" s="48"/>
      <c r="O113" s="46" t="str">
        <f aca="false">IF(H113="","",CFG_Start+(H113-1)*7)</f>
        <v/>
      </c>
      <c r="P113" s="46" t="str">
        <f aca="false">IF(I113="","",CFG_Start+I113*7-1)</f>
        <v/>
      </c>
      <c r="Q113" s="47" t="str">
        <f aca="true">IF(D113="","",IF(K113="Done","✔ Xong",IF(K113="Blocked","⛔ Blocked",IF(P113&lt;TODAY(),"⚠ Trễ hạn",IF(O113&lt;=TODAY(),"▶ Trong kỳ","Chưa tới")))))</f>
        <v/>
      </c>
      <c r="R113" s="44" t="n">
        <f aca="false">IF(J113="",0,J113*IF(K113="Done",1,IF(L113="",0,L113)))</f>
        <v>0</v>
      </c>
    </row>
    <row r="114" customFormat="false" ht="15" hidden="false" customHeight="false" outlineLevel="0" collapsed="false">
      <c r="A114" s="48"/>
      <c r="B114" s="48"/>
      <c r="C114" s="48"/>
      <c r="D114" s="48"/>
      <c r="E114" s="48"/>
      <c r="F114" s="48"/>
      <c r="G114" s="48"/>
      <c r="H114" s="48"/>
      <c r="I114" s="48"/>
      <c r="J114" s="44" t="str">
        <f aca="false">IF(OR(H114="",I114=""),"",(I114-H114+1)*5)</f>
        <v/>
      </c>
      <c r="K114" s="48"/>
      <c r="L114" s="49"/>
      <c r="M114" s="48"/>
      <c r="N114" s="48"/>
      <c r="O114" s="46" t="str">
        <f aca="false">IF(H114="","",CFG_Start+(H114-1)*7)</f>
        <v/>
      </c>
      <c r="P114" s="46" t="str">
        <f aca="false">IF(I114="","",CFG_Start+I114*7-1)</f>
        <v/>
      </c>
      <c r="Q114" s="47" t="str">
        <f aca="true">IF(D114="","",IF(K114="Done","✔ Xong",IF(K114="Blocked","⛔ Blocked",IF(P114&lt;TODAY(),"⚠ Trễ hạn",IF(O114&lt;=TODAY(),"▶ Trong kỳ","Chưa tới")))))</f>
        <v/>
      </c>
      <c r="R114" s="44" t="n">
        <f aca="false">IF(J114="",0,J114*IF(K114="Done",1,IF(L114="",0,L114)))</f>
        <v>0</v>
      </c>
    </row>
    <row r="115" customFormat="false" ht="15" hidden="false" customHeight="false" outlineLevel="0" collapsed="false">
      <c r="A115" s="48"/>
      <c r="B115" s="48"/>
      <c r="C115" s="48"/>
      <c r="D115" s="48"/>
      <c r="E115" s="48"/>
      <c r="F115" s="48"/>
      <c r="G115" s="48"/>
      <c r="H115" s="48"/>
      <c r="I115" s="48"/>
      <c r="J115" s="44" t="str">
        <f aca="false">IF(OR(H115="",I115=""),"",(I115-H115+1)*5)</f>
        <v/>
      </c>
      <c r="K115" s="48"/>
      <c r="L115" s="49"/>
      <c r="M115" s="48"/>
      <c r="N115" s="48"/>
      <c r="O115" s="46" t="str">
        <f aca="false">IF(H115="","",CFG_Start+(H115-1)*7)</f>
        <v/>
      </c>
      <c r="P115" s="46" t="str">
        <f aca="false">IF(I115="","",CFG_Start+I115*7-1)</f>
        <v/>
      </c>
      <c r="Q115" s="47" t="str">
        <f aca="true">IF(D115="","",IF(K115="Done","✔ Xong",IF(K115="Blocked","⛔ Blocked",IF(P115&lt;TODAY(),"⚠ Trễ hạn",IF(O115&lt;=TODAY(),"▶ Trong kỳ","Chưa tới")))))</f>
        <v/>
      </c>
      <c r="R115" s="44" t="n">
        <f aca="false">IF(J115="",0,J115*IF(K115="Done",1,IF(L115="",0,L115)))</f>
        <v>0</v>
      </c>
    </row>
    <row r="116" customFormat="false" ht="15" hidden="false" customHeight="false" outlineLevel="0" collapsed="false">
      <c r="A116" s="48"/>
      <c r="B116" s="48"/>
      <c r="C116" s="48"/>
      <c r="D116" s="48"/>
      <c r="E116" s="48"/>
      <c r="F116" s="48"/>
      <c r="G116" s="48"/>
      <c r="H116" s="48"/>
      <c r="I116" s="48"/>
      <c r="J116" s="44" t="str">
        <f aca="false">IF(OR(H116="",I116=""),"",(I116-H116+1)*5)</f>
        <v/>
      </c>
      <c r="K116" s="48"/>
      <c r="L116" s="49"/>
      <c r="M116" s="48"/>
      <c r="N116" s="48"/>
      <c r="O116" s="46" t="str">
        <f aca="false">IF(H116="","",CFG_Start+(H116-1)*7)</f>
        <v/>
      </c>
      <c r="P116" s="46" t="str">
        <f aca="false">IF(I116="","",CFG_Start+I116*7-1)</f>
        <v/>
      </c>
      <c r="Q116" s="47" t="str">
        <f aca="true">IF(D116="","",IF(K116="Done","✔ Xong",IF(K116="Blocked","⛔ Blocked",IF(P116&lt;TODAY(),"⚠ Trễ hạn",IF(O116&lt;=TODAY(),"▶ Trong kỳ","Chưa tới")))))</f>
        <v/>
      </c>
      <c r="R116" s="44" t="n">
        <f aca="false">IF(J116="",0,J116*IF(K116="Done",1,IF(L116="",0,L116)))</f>
        <v>0</v>
      </c>
    </row>
    <row r="117" customFormat="false" ht="15" hidden="false" customHeight="false" outlineLevel="0" collapsed="false">
      <c r="A117" s="48"/>
      <c r="B117" s="48"/>
      <c r="C117" s="48"/>
      <c r="D117" s="48"/>
      <c r="E117" s="48"/>
      <c r="F117" s="48"/>
      <c r="G117" s="48"/>
      <c r="H117" s="48"/>
      <c r="I117" s="48"/>
      <c r="J117" s="44" t="str">
        <f aca="false">IF(OR(H117="",I117=""),"",(I117-H117+1)*5)</f>
        <v/>
      </c>
      <c r="K117" s="48"/>
      <c r="L117" s="49"/>
      <c r="M117" s="48"/>
      <c r="N117" s="48"/>
      <c r="O117" s="46" t="str">
        <f aca="false">IF(H117="","",CFG_Start+(H117-1)*7)</f>
        <v/>
      </c>
      <c r="P117" s="46" t="str">
        <f aca="false">IF(I117="","",CFG_Start+I117*7-1)</f>
        <v/>
      </c>
      <c r="Q117" s="47" t="str">
        <f aca="true">IF(D117="","",IF(K117="Done","✔ Xong",IF(K117="Blocked","⛔ Blocked",IF(P117&lt;TODAY(),"⚠ Trễ hạn",IF(O117&lt;=TODAY(),"▶ Trong kỳ","Chưa tới")))))</f>
        <v/>
      </c>
      <c r="R117" s="44" t="n">
        <f aca="false">IF(J117="",0,J117*IF(K117="Done",1,IF(L117="",0,L117)))</f>
        <v>0</v>
      </c>
    </row>
    <row r="118" customFormat="false" ht="15" hidden="false" customHeight="false" outlineLevel="0" collapsed="false">
      <c r="A118" s="48"/>
      <c r="B118" s="48"/>
      <c r="C118" s="48"/>
      <c r="D118" s="48"/>
      <c r="E118" s="48"/>
      <c r="F118" s="48"/>
      <c r="G118" s="48"/>
      <c r="H118" s="48"/>
      <c r="I118" s="48"/>
      <c r="J118" s="44" t="str">
        <f aca="false">IF(OR(H118="",I118=""),"",(I118-H118+1)*5)</f>
        <v/>
      </c>
      <c r="K118" s="48"/>
      <c r="L118" s="49"/>
      <c r="M118" s="48"/>
      <c r="N118" s="48"/>
      <c r="O118" s="46" t="str">
        <f aca="false">IF(H118="","",CFG_Start+(H118-1)*7)</f>
        <v/>
      </c>
      <c r="P118" s="46" t="str">
        <f aca="false">IF(I118="","",CFG_Start+I118*7-1)</f>
        <v/>
      </c>
      <c r="Q118" s="47" t="str">
        <f aca="true">IF(D118="","",IF(K118="Done","✔ Xong",IF(K118="Blocked","⛔ Blocked",IF(P118&lt;TODAY(),"⚠ Trễ hạn",IF(O118&lt;=TODAY(),"▶ Trong kỳ","Chưa tới")))))</f>
        <v/>
      </c>
      <c r="R118" s="44" t="n">
        <f aca="false">IF(J118="",0,J118*IF(K118="Done",1,IF(L118="",0,L118)))</f>
        <v>0</v>
      </c>
    </row>
    <row r="119" customFormat="false" ht="15" hidden="false" customHeight="false" outlineLevel="0" collapsed="false">
      <c r="A119" s="48"/>
      <c r="B119" s="48"/>
      <c r="C119" s="48"/>
      <c r="D119" s="48"/>
      <c r="E119" s="48"/>
      <c r="F119" s="48"/>
      <c r="G119" s="48"/>
      <c r="H119" s="48"/>
      <c r="I119" s="48"/>
      <c r="J119" s="44" t="str">
        <f aca="false">IF(OR(H119="",I119=""),"",(I119-H119+1)*5)</f>
        <v/>
      </c>
      <c r="K119" s="48"/>
      <c r="L119" s="49"/>
      <c r="M119" s="48"/>
      <c r="N119" s="48"/>
      <c r="O119" s="46" t="str">
        <f aca="false">IF(H119="","",CFG_Start+(H119-1)*7)</f>
        <v/>
      </c>
      <c r="P119" s="46" t="str">
        <f aca="false">IF(I119="","",CFG_Start+I119*7-1)</f>
        <v/>
      </c>
      <c r="Q119" s="47" t="str">
        <f aca="true">IF(D119="","",IF(K119="Done","✔ Xong",IF(K119="Blocked","⛔ Blocked",IF(P119&lt;TODAY(),"⚠ Trễ hạn",IF(O119&lt;=TODAY(),"▶ Trong kỳ","Chưa tới")))))</f>
        <v/>
      </c>
      <c r="R119" s="44" t="n">
        <f aca="false">IF(J119="",0,J119*IF(K119="Done",1,IF(L119="",0,L119)))</f>
        <v>0</v>
      </c>
    </row>
    <row r="120" customFormat="false" ht="15" hidden="false" customHeight="false" outlineLevel="0" collapsed="false">
      <c r="A120" s="48"/>
      <c r="B120" s="48"/>
      <c r="C120" s="48"/>
      <c r="D120" s="48"/>
      <c r="E120" s="48"/>
      <c r="F120" s="48"/>
      <c r="G120" s="48"/>
      <c r="H120" s="48"/>
      <c r="I120" s="48"/>
      <c r="J120" s="44" t="str">
        <f aca="false">IF(OR(H120="",I120=""),"",(I120-H120+1)*5)</f>
        <v/>
      </c>
      <c r="K120" s="48"/>
      <c r="L120" s="49"/>
      <c r="M120" s="48"/>
      <c r="N120" s="48"/>
      <c r="O120" s="46" t="str">
        <f aca="false">IF(H120="","",CFG_Start+(H120-1)*7)</f>
        <v/>
      </c>
      <c r="P120" s="46" t="str">
        <f aca="false">IF(I120="","",CFG_Start+I120*7-1)</f>
        <v/>
      </c>
      <c r="Q120" s="47" t="str">
        <f aca="true">IF(D120="","",IF(K120="Done","✔ Xong",IF(K120="Blocked","⛔ Blocked",IF(P120&lt;TODAY(),"⚠ Trễ hạn",IF(O120&lt;=TODAY(),"▶ Trong kỳ","Chưa tới")))))</f>
        <v/>
      </c>
      <c r="R120" s="44" t="n">
        <f aca="false">IF(J120="",0,J120*IF(K120="Done",1,IF(L120="",0,L120)))</f>
        <v>0</v>
      </c>
    </row>
    <row r="121" customFormat="false" ht="15" hidden="false" customHeight="false" outlineLevel="0" collapsed="false">
      <c r="A121" s="48"/>
      <c r="B121" s="48"/>
      <c r="C121" s="48"/>
      <c r="D121" s="48"/>
      <c r="E121" s="48"/>
      <c r="F121" s="48"/>
      <c r="G121" s="48"/>
      <c r="H121" s="48"/>
      <c r="I121" s="48"/>
      <c r="J121" s="44" t="str">
        <f aca="false">IF(OR(H121="",I121=""),"",(I121-H121+1)*5)</f>
        <v/>
      </c>
      <c r="K121" s="48"/>
      <c r="L121" s="49"/>
      <c r="M121" s="48"/>
      <c r="N121" s="48"/>
      <c r="O121" s="46" t="str">
        <f aca="false">IF(H121="","",CFG_Start+(H121-1)*7)</f>
        <v/>
      </c>
      <c r="P121" s="46" t="str">
        <f aca="false">IF(I121="","",CFG_Start+I121*7-1)</f>
        <v/>
      </c>
      <c r="Q121" s="47" t="str">
        <f aca="true">IF(D121="","",IF(K121="Done","✔ Xong",IF(K121="Blocked","⛔ Blocked",IF(P121&lt;TODAY(),"⚠ Trễ hạn",IF(O121&lt;=TODAY(),"▶ Trong kỳ","Chưa tới")))))</f>
        <v/>
      </c>
      <c r="R121" s="44" t="n">
        <f aca="false">IF(J121="",0,J121*IF(K121="Done",1,IF(L121="",0,L121)))</f>
        <v>0</v>
      </c>
    </row>
    <row r="122" customFormat="false" ht="15" hidden="false" customHeight="false" outlineLevel="0" collapsed="false">
      <c r="A122" s="48"/>
      <c r="B122" s="48"/>
      <c r="C122" s="48"/>
      <c r="D122" s="48"/>
      <c r="E122" s="48"/>
      <c r="F122" s="48"/>
      <c r="G122" s="48"/>
      <c r="H122" s="48"/>
      <c r="I122" s="48"/>
      <c r="J122" s="44" t="str">
        <f aca="false">IF(OR(H122="",I122=""),"",(I122-H122+1)*5)</f>
        <v/>
      </c>
      <c r="K122" s="48"/>
      <c r="L122" s="49"/>
      <c r="M122" s="48"/>
      <c r="N122" s="48"/>
      <c r="O122" s="46" t="str">
        <f aca="false">IF(H122="","",CFG_Start+(H122-1)*7)</f>
        <v/>
      </c>
      <c r="P122" s="46" t="str">
        <f aca="false">IF(I122="","",CFG_Start+I122*7-1)</f>
        <v/>
      </c>
      <c r="Q122" s="47" t="str">
        <f aca="true">IF(D122="","",IF(K122="Done","✔ Xong",IF(K122="Blocked","⛔ Blocked",IF(P122&lt;TODAY(),"⚠ Trễ hạn",IF(O122&lt;=TODAY(),"▶ Trong kỳ","Chưa tới")))))</f>
        <v/>
      </c>
      <c r="R122" s="44" t="n">
        <f aca="false">IF(J122="",0,J122*IF(K122="Done",1,IF(L122="",0,L122)))</f>
        <v>0</v>
      </c>
    </row>
    <row r="123" customFormat="false" ht="15" hidden="false" customHeight="false" outlineLevel="0" collapsed="false">
      <c r="A123" s="48"/>
      <c r="B123" s="48"/>
      <c r="C123" s="48"/>
      <c r="D123" s="48"/>
      <c r="E123" s="48"/>
      <c r="F123" s="48"/>
      <c r="G123" s="48"/>
      <c r="H123" s="48"/>
      <c r="I123" s="48"/>
      <c r="J123" s="44" t="str">
        <f aca="false">IF(OR(H123="",I123=""),"",(I123-H123+1)*5)</f>
        <v/>
      </c>
      <c r="K123" s="48"/>
      <c r="L123" s="49"/>
      <c r="M123" s="48"/>
      <c r="N123" s="48"/>
      <c r="O123" s="46" t="str">
        <f aca="false">IF(H123="","",CFG_Start+(H123-1)*7)</f>
        <v/>
      </c>
      <c r="P123" s="46" t="str">
        <f aca="false">IF(I123="","",CFG_Start+I123*7-1)</f>
        <v/>
      </c>
      <c r="Q123" s="47" t="str">
        <f aca="true">IF(D123="","",IF(K123="Done","✔ Xong",IF(K123="Blocked","⛔ Blocked",IF(P123&lt;TODAY(),"⚠ Trễ hạn",IF(O123&lt;=TODAY(),"▶ Trong kỳ","Chưa tới")))))</f>
        <v/>
      </c>
      <c r="R123" s="44" t="n">
        <f aca="false">IF(J123="",0,J123*IF(K123="Done",1,IF(L123="",0,L123)))</f>
        <v>0</v>
      </c>
    </row>
    <row r="124" customFormat="false" ht="15" hidden="false" customHeight="false" outlineLevel="0" collapsed="false">
      <c r="A124" s="48"/>
      <c r="B124" s="48"/>
      <c r="C124" s="48"/>
      <c r="D124" s="48"/>
      <c r="E124" s="48"/>
      <c r="F124" s="48"/>
      <c r="G124" s="48"/>
      <c r="H124" s="48"/>
      <c r="I124" s="48"/>
      <c r="J124" s="44" t="str">
        <f aca="false">IF(OR(H124="",I124=""),"",(I124-H124+1)*5)</f>
        <v/>
      </c>
      <c r="K124" s="48"/>
      <c r="L124" s="49"/>
      <c r="M124" s="48"/>
      <c r="N124" s="48"/>
      <c r="O124" s="46" t="str">
        <f aca="false">IF(H124="","",CFG_Start+(H124-1)*7)</f>
        <v/>
      </c>
      <c r="P124" s="46" t="str">
        <f aca="false">IF(I124="","",CFG_Start+I124*7-1)</f>
        <v/>
      </c>
      <c r="Q124" s="47" t="str">
        <f aca="true">IF(D124="","",IF(K124="Done","✔ Xong",IF(K124="Blocked","⛔ Blocked",IF(P124&lt;TODAY(),"⚠ Trễ hạn",IF(O124&lt;=TODAY(),"▶ Trong kỳ","Chưa tới")))))</f>
        <v/>
      </c>
      <c r="R124" s="44" t="n">
        <f aca="false">IF(J124="",0,J124*IF(K124="Done",1,IF(L124="",0,L124)))</f>
        <v>0</v>
      </c>
    </row>
    <row r="125" customFormat="false" ht="15" hidden="false" customHeight="false" outlineLevel="0" collapsed="false">
      <c r="A125" s="48"/>
      <c r="B125" s="48"/>
      <c r="C125" s="48"/>
      <c r="D125" s="48"/>
      <c r="E125" s="48"/>
      <c r="F125" s="48"/>
      <c r="G125" s="48"/>
      <c r="H125" s="48"/>
      <c r="I125" s="48"/>
      <c r="J125" s="44" t="str">
        <f aca="false">IF(OR(H125="",I125=""),"",(I125-H125+1)*5)</f>
        <v/>
      </c>
      <c r="K125" s="48"/>
      <c r="L125" s="49"/>
      <c r="M125" s="48"/>
      <c r="N125" s="48"/>
      <c r="O125" s="46" t="str">
        <f aca="false">IF(H125="","",CFG_Start+(H125-1)*7)</f>
        <v/>
      </c>
      <c r="P125" s="46" t="str">
        <f aca="false">IF(I125="","",CFG_Start+I125*7-1)</f>
        <v/>
      </c>
      <c r="Q125" s="47" t="str">
        <f aca="true">IF(D125="","",IF(K125="Done","✔ Xong",IF(K125="Blocked","⛔ Blocked",IF(P125&lt;TODAY(),"⚠ Trễ hạn",IF(O125&lt;=TODAY(),"▶ Trong kỳ","Chưa tới")))))</f>
        <v/>
      </c>
      <c r="R125" s="44" t="n">
        <f aca="false">IF(J125="",0,J125*IF(K125="Done",1,IF(L125="",0,L125)))</f>
        <v>0</v>
      </c>
    </row>
    <row r="126" customFormat="false" ht="15" hidden="false" customHeight="false" outlineLevel="0" collapsed="false">
      <c r="A126" s="48"/>
      <c r="B126" s="48"/>
      <c r="C126" s="48"/>
      <c r="D126" s="48"/>
      <c r="E126" s="48"/>
      <c r="F126" s="48"/>
      <c r="G126" s="48"/>
      <c r="H126" s="48"/>
      <c r="I126" s="48"/>
      <c r="J126" s="44" t="str">
        <f aca="false">IF(OR(H126="",I126=""),"",(I126-H126+1)*5)</f>
        <v/>
      </c>
      <c r="K126" s="48"/>
      <c r="L126" s="49"/>
      <c r="M126" s="48"/>
      <c r="N126" s="48"/>
      <c r="O126" s="46" t="str">
        <f aca="false">IF(H126="","",CFG_Start+(H126-1)*7)</f>
        <v/>
      </c>
      <c r="P126" s="46" t="str">
        <f aca="false">IF(I126="","",CFG_Start+I126*7-1)</f>
        <v/>
      </c>
      <c r="Q126" s="47" t="str">
        <f aca="true">IF(D126="","",IF(K126="Done","✔ Xong",IF(K126="Blocked","⛔ Blocked",IF(P126&lt;TODAY(),"⚠ Trễ hạn",IF(O126&lt;=TODAY(),"▶ Trong kỳ","Chưa tới")))))</f>
        <v/>
      </c>
      <c r="R126" s="44" t="n">
        <f aca="false">IF(J126="",0,J126*IF(K126="Done",1,IF(L126="",0,L126)))</f>
        <v>0</v>
      </c>
    </row>
    <row r="127" customFormat="false" ht="15" hidden="false" customHeight="false" outlineLevel="0" collapsed="false">
      <c r="A127" s="48"/>
      <c r="B127" s="48"/>
      <c r="C127" s="48"/>
      <c r="D127" s="48"/>
      <c r="E127" s="48"/>
      <c r="F127" s="48"/>
      <c r="G127" s="48"/>
      <c r="H127" s="48"/>
      <c r="I127" s="48"/>
      <c r="J127" s="44" t="str">
        <f aca="false">IF(OR(H127="",I127=""),"",(I127-H127+1)*5)</f>
        <v/>
      </c>
      <c r="K127" s="48"/>
      <c r="L127" s="49"/>
      <c r="M127" s="48"/>
      <c r="N127" s="48"/>
      <c r="O127" s="46" t="str">
        <f aca="false">IF(H127="","",CFG_Start+(H127-1)*7)</f>
        <v/>
      </c>
      <c r="P127" s="46" t="str">
        <f aca="false">IF(I127="","",CFG_Start+I127*7-1)</f>
        <v/>
      </c>
      <c r="Q127" s="47" t="str">
        <f aca="true">IF(D127="","",IF(K127="Done","✔ Xong",IF(K127="Blocked","⛔ Blocked",IF(P127&lt;TODAY(),"⚠ Trễ hạn",IF(O127&lt;=TODAY(),"▶ Trong kỳ","Chưa tới")))))</f>
        <v/>
      </c>
      <c r="R127" s="44" t="n">
        <f aca="false">IF(J127="",0,J127*IF(K127="Done",1,IF(L127="",0,L127)))</f>
        <v>0</v>
      </c>
    </row>
    <row r="128" customFormat="false" ht="15" hidden="false" customHeight="false" outlineLevel="0" collapsed="false">
      <c r="A128" s="48"/>
      <c r="B128" s="48"/>
      <c r="C128" s="48"/>
      <c r="D128" s="48"/>
      <c r="E128" s="48"/>
      <c r="F128" s="48"/>
      <c r="G128" s="48"/>
      <c r="H128" s="48"/>
      <c r="I128" s="48"/>
      <c r="J128" s="44" t="str">
        <f aca="false">IF(OR(H128="",I128=""),"",(I128-H128+1)*5)</f>
        <v/>
      </c>
      <c r="K128" s="48"/>
      <c r="L128" s="49"/>
      <c r="M128" s="48"/>
      <c r="N128" s="48"/>
      <c r="O128" s="46" t="str">
        <f aca="false">IF(H128="","",CFG_Start+(H128-1)*7)</f>
        <v/>
      </c>
      <c r="P128" s="46" t="str">
        <f aca="false">IF(I128="","",CFG_Start+I128*7-1)</f>
        <v/>
      </c>
      <c r="Q128" s="47" t="str">
        <f aca="true">IF(D128="","",IF(K128="Done","✔ Xong",IF(K128="Blocked","⛔ Blocked",IF(P128&lt;TODAY(),"⚠ Trễ hạn",IF(O128&lt;=TODAY(),"▶ Trong kỳ","Chưa tới")))))</f>
        <v/>
      </c>
      <c r="R128" s="44" t="n">
        <f aca="false">IF(J128="",0,J128*IF(K128="Done",1,IF(L128="",0,L128)))</f>
        <v>0</v>
      </c>
    </row>
    <row r="129" customFormat="false" ht="15" hidden="false" customHeight="false" outlineLevel="0" collapsed="false">
      <c r="A129" s="48"/>
      <c r="B129" s="48"/>
      <c r="C129" s="48"/>
      <c r="D129" s="48"/>
      <c r="E129" s="48"/>
      <c r="F129" s="48"/>
      <c r="G129" s="48"/>
      <c r="H129" s="48"/>
      <c r="I129" s="48"/>
      <c r="J129" s="44" t="str">
        <f aca="false">IF(OR(H129="",I129=""),"",(I129-H129+1)*5)</f>
        <v/>
      </c>
      <c r="K129" s="48"/>
      <c r="L129" s="49"/>
      <c r="M129" s="48"/>
      <c r="N129" s="48"/>
      <c r="O129" s="46" t="str">
        <f aca="false">IF(H129="","",CFG_Start+(H129-1)*7)</f>
        <v/>
      </c>
      <c r="P129" s="46" t="str">
        <f aca="false">IF(I129="","",CFG_Start+I129*7-1)</f>
        <v/>
      </c>
      <c r="Q129" s="47" t="str">
        <f aca="true">IF(D129="","",IF(K129="Done","✔ Xong",IF(K129="Blocked","⛔ Blocked",IF(P129&lt;TODAY(),"⚠ Trễ hạn",IF(O129&lt;=TODAY(),"▶ Trong kỳ","Chưa tới")))))</f>
        <v/>
      </c>
      <c r="R129" s="44" t="n">
        <f aca="false">IF(J129="",0,J129*IF(K129="Done",1,IF(L129="",0,L129)))</f>
        <v>0</v>
      </c>
    </row>
    <row r="130" customFormat="false" ht="15" hidden="false" customHeight="false" outlineLevel="0" collapsed="false">
      <c r="A130" s="48"/>
      <c r="B130" s="48"/>
      <c r="C130" s="48"/>
      <c r="D130" s="48"/>
      <c r="E130" s="48"/>
      <c r="F130" s="48"/>
      <c r="G130" s="48"/>
      <c r="H130" s="48"/>
      <c r="I130" s="48"/>
      <c r="J130" s="44" t="str">
        <f aca="false">IF(OR(H130="",I130=""),"",(I130-H130+1)*5)</f>
        <v/>
      </c>
      <c r="K130" s="48"/>
      <c r="L130" s="49"/>
      <c r="M130" s="48"/>
      <c r="N130" s="48"/>
      <c r="O130" s="46" t="str">
        <f aca="false">IF(H130="","",CFG_Start+(H130-1)*7)</f>
        <v/>
      </c>
      <c r="P130" s="46" t="str">
        <f aca="false">IF(I130="","",CFG_Start+I130*7-1)</f>
        <v/>
      </c>
      <c r="Q130" s="47" t="str">
        <f aca="true">IF(D130="","",IF(K130="Done","✔ Xong",IF(K130="Blocked","⛔ Blocked",IF(P130&lt;TODAY(),"⚠ Trễ hạn",IF(O130&lt;=TODAY(),"▶ Trong kỳ","Chưa tới")))))</f>
        <v/>
      </c>
      <c r="R130" s="44" t="n">
        <f aca="false">IF(J130="",0,J130*IF(K130="Done",1,IF(L130="",0,L130)))</f>
        <v>0</v>
      </c>
    </row>
    <row r="131" customFormat="false" ht="15" hidden="false" customHeight="false" outlineLevel="0" collapsed="false">
      <c r="A131" s="48"/>
      <c r="B131" s="48"/>
      <c r="C131" s="48"/>
      <c r="D131" s="48"/>
      <c r="E131" s="48"/>
      <c r="F131" s="48"/>
      <c r="G131" s="48"/>
      <c r="H131" s="48"/>
      <c r="I131" s="48"/>
      <c r="J131" s="44" t="str">
        <f aca="false">IF(OR(H131="",I131=""),"",(I131-H131+1)*5)</f>
        <v/>
      </c>
      <c r="K131" s="48"/>
      <c r="L131" s="49"/>
      <c r="M131" s="48"/>
      <c r="N131" s="48"/>
      <c r="O131" s="46" t="str">
        <f aca="false">IF(H131="","",CFG_Start+(H131-1)*7)</f>
        <v/>
      </c>
      <c r="P131" s="46" t="str">
        <f aca="false">IF(I131="","",CFG_Start+I131*7-1)</f>
        <v/>
      </c>
      <c r="Q131" s="47" t="str">
        <f aca="true">IF(D131="","",IF(K131="Done","✔ Xong",IF(K131="Blocked","⛔ Blocked",IF(P131&lt;TODAY(),"⚠ Trễ hạn",IF(O131&lt;=TODAY(),"▶ Trong kỳ","Chưa tới")))))</f>
        <v/>
      </c>
      <c r="R131" s="44" t="n">
        <f aca="false">IF(J131="",0,J131*IF(K131="Done",1,IF(L131="",0,L131)))</f>
        <v>0</v>
      </c>
    </row>
    <row r="132" customFormat="false" ht="15" hidden="false" customHeight="false" outlineLevel="0" collapsed="false">
      <c r="A132" s="48"/>
      <c r="B132" s="48"/>
      <c r="C132" s="48"/>
      <c r="D132" s="48"/>
      <c r="E132" s="48"/>
      <c r="F132" s="48"/>
      <c r="G132" s="48"/>
      <c r="H132" s="48"/>
      <c r="I132" s="48"/>
      <c r="J132" s="44" t="str">
        <f aca="false">IF(OR(H132="",I132=""),"",(I132-H132+1)*5)</f>
        <v/>
      </c>
      <c r="K132" s="48"/>
      <c r="L132" s="49"/>
      <c r="M132" s="48"/>
      <c r="N132" s="48"/>
      <c r="O132" s="46" t="str">
        <f aca="false">IF(H132="","",CFG_Start+(H132-1)*7)</f>
        <v/>
      </c>
      <c r="P132" s="46" t="str">
        <f aca="false">IF(I132="","",CFG_Start+I132*7-1)</f>
        <v/>
      </c>
      <c r="Q132" s="47" t="str">
        <f aca="true">IF(D132="","",IF(K132="Done","✔ Xong",IF(K132="Blocked","⛔ Blocked",IF(P132&lt;TODAY(),"⚠ Trễ hạn",IF(O132&lt;=TODAY(),"▶ Trong kỳ","Chưa tới")))))</f>
        <v/>
      </c>
      <c r="R132" s="44" t="n">
        <f aca="false">IF(J132="",0,J132*IF(K132="Done",1,IF(L132="",0,L132)))</f>
        <v>0</v>
      </c>
    </row>
    <row r="133" customFormat="false" ht="15" hidden="false" customHeight="false" outlineLevel="0" collapsed="false">
      <c r="A133" s="48"/>
      <c r="B133" s="48"/>
      <c r="C133" s="48"/>
      <c r="D133" s="48"/>
      <c r="E133" s="48"/>
      <c r="F133" s="48"/>
      <c r="G133" s="48"/>
      <c r="H133" s="48"/>
      <c r="I133" s="48"/>
      <c r="J133" s="44" t="str">
        <f aca="false">IF(OR(H133="",I133=""),"",(I133-H133+1)*5)</f>
        <v/>
      </c>
      <c r="K133" s="48"/>
      <c r="L133" s="49"/>
      <c r="M133" s="48"/>
      <c r="N133" s="48"/>
      <c r="O133" s="46" t="str">
        <f aca="false">IF(H133="","",CFG_Start+(H133-1)*7)</f>
        <v/>
      </c>
      <c r="P133" s="46" t="str">
        <f aca="false">IF(I133="","",CFG_Start+I133*7-1)</f>
        <v/>
      </c>
      <c r="Q133" s="47" t="str">
        <f aca="true">IF(D133="","",IF(K133="Done","✔ Xong",IF(K133="Blocked","⛔ Blocked",IF(P133&lt;TODAY(),"⚠ Trễ hạn",IF(O133&lt;=TODAY(),"▶ Trong kỳ","Chưa tới")))))</f>
        <v/>
      </c>
      <c r="R133" s="44" t="n">
        <f aca="false">IF(J133="",0,J133*IF(K133="Done",1,IF(L133="",0,L133)))</f>
        <v>0</v>
      </c>
    </row>
    <row r="134" customFormat="false" ht="15" hidden="false" customHeight="false" outlineLevel="0" collapsed="false">
      <c r="A134" s="48"/>
      <c r="B134" s="48"/>
      <c r="C134" s="48"/>
      <c r="D134" s="48"/>
      <c r="E134" s="48"/>
      <c r="F134" s="48"/>
      <c r="G134" s="48"/>
      <c r="H134" s="48"/>
      <c r="I134" s="48"/>
      <c r="J134" s="44" t="str">
        <f aca="false">IF(OR(H134="",I134=""),"",(I134-H134+1)*5)</f>
        <v/>
      </c>
      <c r="K134" s="48"/>
      <c r="L134" s="49"/>
      <c r="M134" s="48"/>
      <c r="N134" s="48"/>
      <c r="O134" s="46" t="str">
        <f aca="false">IF(H134="","",CFG_Start+(H134-1)*7)</f>
        <v/>
      </c>
      <c r="P134" s="46" t="str">
        <f aca="false">IF(I134="","",CFG_Start+I134*7-1)</f>
        <v/>
      </c>
      <c r="Q134" s="47" t="str">
        <f aca="true">IF(D134="","",IF(K134="Done","✔ Xong",IF(K134="Blocked","⛔ Blocked",IF(P134&lt;TODAY(),"⚠ Trễ hạn",IF(O134&lt;=TODAY(),"▶ Trong kỳ","Chưa tới")))))</f>
        <v/>
      </c>
      <c r="R134" s="44" t="n">
        <f aca="false">IF(J134="",0,J134*IF(K134="Done",1,IF(L134="",0,L134)))</f>
        <v>0</v>
      </c>
    </row>
    <row r="135" customFormat="false" ht="15" hidden="false" customHeight="false" outlineLevel="0" collapsed="false">
      <c r="A135" s="48"/>
      <c r="B135" s="48"/>
      <c r="C135" s="48"/>
      <c r="D135" s="48"/>
      <c r="E135" s="48"/>
      <c r="F135" s="48"/>
      <c r="G135" s="48"/>
      <c r="H135" s="48"/>
      <c r="I135" s="48"/>
      <c r="J135" s="44" t="str">
        <f aca="false">IF(OR(H135="",I135=""),"",(I135-H135+1)*5)</f>
        <v/>
      </c>
      <c r="K135" s="48"/>
      <c r="L135" s="49"/>
      <c r="M135" s="48"/>
      <c r="N135" s="48"/>
      <c r="O135" s="46" t="str">
        <f aca="false">IF(H135="","",CFG_Start+(H135-1)*7)</f>
        <v/>
      </c>
      <c r="P135" s="46" t="str">
        <f aca="false">IF(I135="","",CFG_Start+I135*7-1)</f>
        <v/>
      </c>
      <c r="Q135" s="47" t="str">
        <f aca="true">IF(D135="","",IF(K135="Done","✔ Xong",IF(K135="Blocked","⛔ Blocked",IF(P135&lt;TODAY(),"⚠ Trễ hạn",IF(O135&lt;=TODAY(),"▶ Trong kỳ","Chưa tới")))))</f>
        <v/>
      </c>
      <c r="R135" s="44" t="n">
        <f aca="false">IF(J135="",0,J135*IF(K135="Done",1,IF(L135="",0,L135)))</f>
        <v>0</v>
      </c>
    </row>
    <row r="136" customFormat="false" ht="15" hidden="false" customHeight="false" outlineLevel="0" collapsed="false">
      <c r="A136" s="48"/>
      <c r="B136" s="48"/>
      <c r="C136" s="48"/>
      <c r="D136" s="48"/>
      <c r="E136" s="48"/>
      <c r="F136" s="48"/>
      <c r="G136" s="48"/>
      <c r="H136" s="48"/>
      <c r="I136" s="48"/>
      <c r="J136" s="44" t="str">
        <f aca="false">IF(OR(H136="",I136=""),"",(I136-H136+1)*5)</f>
        <v/>
      </c>
      <c r="K136" s="48"/>
      <c r="L136" s="49"/>
      <c r="M136" s="48"/>
      <c r="N136" s="48"/>
      <c r="O136" s="46" t="str">
        <f aca="false">IF(H136="","",CFG_Start+(H136-1)*7)</f>
        <v/>
      </c>
      <c r="P136" s="46" t="str">
        <f aca="false">IF(I136="","",CFG_Start+I136*7-1)</f>
        <v/>
      </c>
      <c r="Q136" s="47" t="str">
        <f aca="true">IF(D136="","",IF(K136="Done","✔ Xong",IF(K136="Blocked","⛔ Blocked",IF(P136&lt;TODAY(),"⚠ Trễ hạn",IF(O136&lt;=TODAY(),"▶ Trong kỳ","Chưa tới")))))</f>
        <v/>
      </c>
      <c r="R136" s="44" t="n">
        <f aca="false">IF(J136="",0,J136*IF(K136="Done",1,IF(L136="",0,L136)))</f>
        <v>0</v>
      </c>
    </row>
    <row r="137" customFormat="false" ht="15" hidden="false" customHeight="false" outlineLevel="0" collapsed="false">
      <c r="A137" s="48"/>
      <c r="B137" s="48"/>
      <c r="C137" s="48"/>
      <c r="D137" s="48"/>
      <c r="E137" s="48"/>
      <c r="F137" s="48"/>
      <c r="G137" s="48"/>
      <c r="H137" s="48"/>
      <c r="I137" s="48"/>
      <c r="J137" s="44" t="str">
        <f aca="false">IF(OR(H137="",I137=""),"",(I137-H137+1)*5)</f>
        <v/>
      </c>
      <c r="K137" s="48"/>
      <c r="L137" s="49"/>
      <c r="M137" s="48"/>
      <c r="N137" s="48"/>
      <c r="O137" s="46" t="str">
        <f aca="false">IF(H137="","",CFG_Start+(H137-1)*7)</f>
        <v/>
      </c>
      <c r="P137" s="46" t="str">
        <f aca="false">IF(I137="","",CFG_Start+I137*7-1)</f>
        <v/>
      </c>
      <c r="Q137" s="47" t="str">
        <f aca="true">IF(D137="","",IF(K137="Done","✔ Xong",IF(K137="Blocked","⛔ Blocked",IF(P137&lt;TODAY(),"⚠ Trễ hạn",IF(O137&lt;=TODAY(),"▶ Trong kỳ","Chưa tới")))))</f>
        <v/>
      </c>
      <c r="R137" s="44" t="n">
        <f aca="false">IF(J137="",0,J137*IF(K137="Done",1,IF(L137="",0,L137)))</f>
        <v>0</v>
      </c>
    </row>
    <row r="138" customFormat="false" ht="15" hidden="false" customHeight="false" outlineLevel="0" collapsed="false">
      <c r="A138" s="48"/>
      <c r="B138" s="48"/>
      <c r="C138" s="48"/>
      <c r="D138" s="48"/>
      <c r="E138" s="48"/>
      <c r="F138" s="48"/>
      <c r="G138" s="48"/>
      <c r="H138" s="48"/>
      <c r="I138" s="48"/>
      <c r="J138" s="44" t="str">
        <f aca="false">IF(OR(H138="",I138=""),"",(I138-H138+1)*5)</f>
        <v/>
      </c>
      <c r="K138" s="48"/>
      <c r="L138" s="49"/>
      <c r="M138" s="48"/>
      <c r="N138" s="48"/>
      <c r="O138" s="46" t="str">
        <f aca="false">IF(H138="","",CFG_Start+(H138-1)*7)</f>
        <v/>
      </c>
      <c r="P138" s="46" t="str">
        <f aca="false">IF(I138="","",CFG_Start+I138*7-1)</f>
        <v/>
      </c>
      <c r="Q138" s="47" t="str">
        <f aca="true">IF(D138="","",IF(K138="Done","✔ Xong",IF(K138="Blocked","⛔ Blocked",IF(P138&lt;TODAY(),"⚠ Trễ hạn",IF(O138&lt;=TODAY(),"▶ Trong kỳ","Chưa tới")))))</f>
        <v/>
      </c>
      <c r="R138" s="44" t="n">
        <f aca="false">IF(J138="",0,J138*IF(K138="Done",1,IF(L138="",0,L138)))</f>
        <v>0</v>
      </c>
    </row>
    <row r="139" customFormat="false" ht="15" hidden="false" customHeight="false" outlineLevel="0" collapsed="false">
      <c r="A139" s="48"/>
      <c r="B139" s="48"/>
      <c r="C139" s="48"/>
      <c r="D139" s="48"/>
      <c r="E139" s="48"/>
      <c r="F139" s="48"/>
      <c r="G139" s="48"/>
      <c r="H139" s="48"/>
      <c r="I139" s="48"/>
      <c r="J139" s="44" t="str">
        <f aca="false">IF(OR(H139="",I139=""),"",(I139-H139+1)*5)</f>
        <v/>
      </c>
      <c r="K139" s="48"/>
      <c r="L139" s="49"/>
      <c r="M139" s="48"/>
      <c r="N139" s="48"/>
      <c r="O139" s="46" t="str">
        <f aca="false">IF(H139="","",CFG_Start+(H139-1)*7)</f>
        <v/>
      </c>
      <c r="P139" s="46" t="str">
        <f aca="false">IF(I139="","",CFG_Start+I139*7-1)</f>
        <v/>
      </c>
      <c r="Q139" s="47" t="str">
        <f aca="true">IF(D139="","",IF(K139="Done","✔ Xong",IF(K139="Blocked","⛔ Blocked",IF(P139&lt;TODAY(),"⚠ Trễ hạn",IF(O139&lt;=TODAY(),"▶ Trong kỳ","Chưa tới")))))</f>
        <v/>
      </c>
      <c r="R139" s="44" t="n">
        <f aca="false">IF(J139="",0,J139*IF(K139="Done",1,IF(L139="",0,L139)))</f>
        <v>0</v>
      </c>
    </row>
    <row r="140" customFormat="false" ht="15" hidden="false" customHeight="false" outlineLevel="0" collapsed="false">
      <c r="A140" s="48"/>
      <c r="B140" s="48"/>
      <c r="C140" s="48"/>
      <c r="D140" s="48"/>
      <c r="E140" s="48"/>
      <c r="F140" s="48"/>
      <c r="G140" s="48"/>
      <c r="H140" s="48"/>
      <c r="I140" s="48"/>
      <c r="J140" s="44" t="str">
        <f aca="false">IF(OR(H140="",I140=""),"",(I140-H140+1)*5)</f>
        <v/>
      </c>
      <c r="K140" s="48"/>
      <c r="L140" s="49"/>
      <c r="M140" s="48"/>
      <c r="N140" s="48"/>
      <c r="O140" s="46" t="str">
        <f aca="false">IF(H140="","",CFG_Start+(H140-1)*7)</f>
        <v/>
      </c>
      <c r="P140" s="46" t="str">
        <f aca="false">IF(I140="","",CFG_Start+I140*7-1)</f>
        <v/>
      </c>
      <c r="Q140" s="47" t="str">
        <f aca="true">IF(D140="","",IF(K140="Done","✔ Xong",IF(K140="Blocked","⛔ Blocked",IF(P140&lt;TODAY(),"⚠ Trễ hạn",IF(O140&lt;=TODAY(),"▶ Trong kỳ","Chưa tới")))))</f>
        <v/>
      </c>
      <c r="R140" s="44" t="n">
        <f aca="false">IF(J140="",0,J140*IF(K140="Done",1,IF(L140="",0,L140)))</f>
        <v>0</v>
      </c>
    </row>
    <row r="141" customFormat="false" ht="15" hidden="false" customHeight="false" outlineLevel="0" collapsed="false">
      <c r="A141" s="48"/>
      <c r="B141" s="48"/>
      <c r="C141" s="48"/>
      <c r="D141" s="48"/>
      <c r="E141" s="48"/>
      <c r="F141" s="48"/>
      <c r="G141" s="48"/>
      <c r="H141" s="48"/>
      <c r="I141" s="48"/>
      <c r="J141" s="44" t="str">
        <f aca="false">IF(OR(H141="",I141=""),"",(I141-H141+1)*5)</f>
        <v/>
      </c>
      <c r="K141" s="48"/>
      <c r="L141" s="49"/>
      <c r="M141" s="48"/>
      <c r="N141" s="48"/>
      <c r="O141" s="46" t="str">
        <f aca="false">IF(H141="","",CFG_Start+(H141-1)*7)</f>
        <v/>
      </c>
      <c r="P141" s="46" t="str">
        <f aca="false">IF(I141="","",CFG_Start+I141*7-1)</f>
        <v/>
      </c>
      <c r="Q141" s="47" t="str">
        <f aca="true">IF(D141="","",IF(K141="Done","✔ Xong",IF(K141="Blocked","⛔ Blocked",IF(P141&lt;TODAY(),"⚠ Trễ hạn",IF(O141&lt;=TODAY(),"▶ Trong kỳ","Chưa tới")))))</f>
        <v/>
      </c>
      <c r="R141" s="44" t="n">
        <f aca="false">IF(J141="",0,J141*IF(K141="Done",1,IF(L141="",0,L141)))</f>
        <v>0</v>
      </c>
    </row>
    <row r="142" customFormat="false" ht="15" hidden="false" customHeight="false" outlineLevel="0" collapsed="false">
      <c r="A142" s="48"/>
      <c r="B142" s="48"/>
      <c r="C142" s="48"/>
      <c r="D142" s="48"/>
      <c r="E142" s="48"/>
      <c r="F142" s="48"/>
      <c r="G142" s="48"/>
      <c r="H142" s="48"/>
      <c r="I142" s="48"/>
      <c r="J142" s="44" t="str">
        <f aca="false">IF(OR(H142="",I142=""),"",(I142-H142+1)*5)</f>
        <v/>
      </c>
      <c r="K142" s="48"/>
      <c r="L142" s="49"/>
      <c r="M142" s="48"/>
      <c r="N142" s="48"/>
      <c r="O142" s="46" t="str">
        <f aca="false">IF(H142="","",CFG_Start+(H142-1)*7)</f>
        <v/>
      </c>
      <c r="P142" s="46" t="str">
        <f aca="false">IF(I142="","",CFG_Start+I142*7-1)</f>
        <v/>
      </c>
      <c r="Q142" s="47" t="str">
        <f aca="true">IF(D142="","",IF(K142="Done","✔ Xong",IF(K142="Blocked","⛔ Blocked",IF(P142&lt;TODAY(),"⚠ Trễ hạn",IF(O142&lt;=TODAY(),"▶ Trong kỳ","Chưa tới")))))</f>
        <v/>
      </c>
      <c r="R142" s="44" t="n">
        <f aca="false">IF(J142="",0,J142*IF(K142="Done",1,IF(L142="",0,L142)))</f>
        <v>0</v>
      </c>
    </row>
    <row r="143" customFormat="false" ht="15" hidden="false" customHeight="false" outlineLevel="0" collapsed="false">
      <c r="A143" s="48"/>
      <c r="B143" s="48"/>
      <c r="C143" s="48"/>
      <c r="D143" s="48"/>
      <c r="E143" s="48"/>
      <c r="F143" s="48"/>
      <c r="G143" s="48"/>
      <c r="H143" s="48"/>
      <c r="I143" s="48"/>
      <c r="J143" s="44" t="str">
        <f aca="false">IF(OR(H143="",I143=""),"",(I143-H143+1)*5)</f>
        <v/>
      </c>
      <c r="K143" s="48"/>
      <c r="L143" s="49"/>
      <c r="M143" s="48"/>
      <c r="N143" s="48"/>
      <c r="O143" s="46" t="str">
        <f aca="false">IF(H143="","",CFG_Start+(H143-1)*7)</f>
        <v/>
      </c>
      <c r="P143" s="46" t="str">
        <f aca="false">IF(I143="","",CFG_Start+I143*7-1)</f>
        <v/>
      </c>
      <c r="Q143" s="47" t="str">
        <f aca="true">IF(D143="","",IF(K143="Done","✔ Xong",IF(K143="Blocked","⛔ Blocked",IF(P143&lt;TODAY(),"⚠ Trễ hạn",IF(O143&lt;=TODAY(),"▶ Trong kỳ","Chưa tới")))))</f>
        <v/>
      </c>
      <c r="R143" s="44" t="n">
        <f aca="false">IF(J143="",0,J143*IF(K143="Done",1,IF(L143="",0,L143)))</f>
        <v>0</v>
      </c>
    </row>
    <row r="144" customFormat="false" ht="15" hidden="false" customHeight="false" outlineLevel="0" collapsed="false">
      <c r="A144" s="48"/>
      <c r="B144" s="48"/>
      <c r="C144" s="48"/>
      <c r="D144" s="48"/>
      <c r="E144" s="48"/>
      <c r="F144" s="48"/>
      <c r="G144" s="48"/>
      <c r="H144" s="48"/>
      <c r="I144" s="48"/>
      <c r="J144" s="44" t="str">
        <f aca="false">IF(OR(H144="",I144=""),"",(I144-H144+1)*5)</f>
        <v/>
      </c>
      <c r="K144" s="48"/>
      <c r="L144" s="49"/>
      <c r="M144" s="48"/>
      <c r="N144" s="48"/>
      <c r="O144" s="46" t="str">
        <f aca="false">IF(H144="","",CFG_Start+(H144-1)*7)</f>
        <v/>
      </c>
      <c r="P144" s="46" t="str">
        <f aca="false">IF(I144="","",CFG_Start+I144*7-1)</f>
        <v/>
      </c>
      <c r="Q144" s="47" t="str">
        <f aca="true">IF(D144="","",IF(K144="Done","✔ Xong",IF(K144="Blocked","⛔ Blocked",IF(P144&lt;TODAY(),"⚠ Trễ hạn",IF(O144&lt;=TODAY(),"▶ Trong kỳ","Chưa tới")))))</f>
        <v/>
      </c>
      <c r="R144" s="44" t="n">
        <f aca="false">IF(J144="",0,J144*IF(K144="Done",1,IF(L144="",0,L144)))</f>
        <v>0</v>
      </c>
    </row>
    <row r="145" customFormat="false" ht="15" hidden="false" customHeight="false" outlineLevel="0" collapsed="false">
      <c r="A145" s="48"/>
      <c r="B145" s="48"/>
      <c r="C145" s="48"/>
      <c r="D145" s="48"/>
      <c r="E145" s="48"/>
      <c r="F145" s="48"/>
      <c r="G145" s="48"/>
      <c r="H145" s="48"/>
      <c r="I145" s="48"/>
      <c r="J145" s="44" t="str">
        <f aca="false">IF(OR(H145="",I145=""),"",(I145-H145+1)*5)</f>
        <v/>
      </c>
      <c r="K145" s="48"/>
      <c r="L145" s="49"/>
      <c r="M145" s="48"/>
      <c r="N145" s="48"/>
      <c r="O145" s="46" t="str">
        <f aca="false">IF(H145="","",CFG_Start+(H145-1)*7)</f>
        <v/>
      </c>
      <c r="P145" s="46" t="str">
        <f aca="false">IF(I145="","",CFG_Start+I145*7-1)</f>
        <v/>
      </c>
      <c r="Q145" s="47" t="str">
        <f aca="true">IF(D145="","",IF(K145="Done","✔ Xong",IF(K145="Blocked","⛔ Blocked",IF(P145&lt;TODAY(),"⚠ Trễ hạn",IF(O145&lt;=TODAY(),"▶ Trong kỳ","Chưa tới")))))</f>
        <v/>
      </c>
      <c r="R145" s="44" t="n">
        <f aca="false">IF(J145="",0,J145*IF(K145="Done",1,IF(L145="",0,L145)))</f>
        <v>0</v>
      </c>
    </row>
    <row r="146" customFormat="false" ht="15" hidden="false" customHeight="false" outlineLevel="0" collapsed="false">
      <c r="A146" s="48"/>
      <c r="B146" s="48"/>
      <c r="C146" s="48"/>
      <c r="D146" s="48"/>
      <c r="E146" s="48"/>
      <c r="F146" s="48"/>
      <c r="G146" s="48"/>
      <c r="H146" s="48"/>
      <c r="I146" s="48"/>
      <c r="J146" s="44" t="str">
        <f aca="false">IF(OR(H146="",I146=""),"",(I146-H146+1)*5)</f>
        <v/>
      </c>
      <c r="K146" s="48"/>
      <c r="L146" s="49"/>
      <c r="M146" s="48"/>
      <c r="N146" s="48"/>
      <c r="O146" s="46" t="str">
        <f aca="false">IF(H146="","",CFG_Start+(H146-1)*7)</f>
        <v/>
      </c>
      <c r="P146" s="46" t="str">
        <f aca="false">IF(I146="","",CFG_Start+I146*7-1)</f>
        <v/>
      </c>
      <c r="Q146" s="47" t="str">
        <f aca="true">IF(D146="","",IF(K146="Done","✔ Xong",IF(K146="Blocked","⛔ Blocked",IF(P146&lt;TODAY(),"⚠ Trễ hạn",IF(O146&lt;=TODAY(),"▶ Trong kỳ","Chưa tới")))))</f>
        <v/>
      </c>
      <c r="R146" s="44" t="n">
        <f aca="false">IF(J146="",0,J146*IF(K146="Done",1,IF(L146="",0,L146)))</f>
        <v>0</v>
      </c>
    </row>
    <row r="147" customFormat="false" ht="15" hidden="false" customHeight="false" outlineLevel="0" collapsed="false">
      <c r="A147" s="48"/>
      <c r="B147" s="48"/>
      <c r="C147" s="48"/>
      <c r="D147" s="48"/>
      <c r="E147" s="48"/>
      <c r="F147" s="48"/>
      <c r="G147" s="48"/>
      <c r="H147" s="48"/>
      <c r="I147" s="48"/>
      <c r="J147" s="44" t="str">
        <f aca="false">IF(OR(H147="",I147=""),"",(I147-H147+1)*5)</f>
        <v/>
      </c>
      <c r="K147" s="48"/>
      <c r="L147" s="49"/>
      <c r="M147" s="48"/>
      <c r="N147" s="48"/>
      <c r="O147" s="46" t="str">
        <f aca="false">IF(H147="","",CFG_Start+(H147-1)*7)</f>
        <v/>
      </c>
      <c r="P147" s="46" t="str">
        <f aca="false">IF(I147="","",CFG_Start+I147*7-1)</f>
        <v/>
      </c>
      <c r="Q147" s="47" t="str">
        <f aca="true">IF(D147="","",IF(K147="Done","✔ Xong",IF(K147="Blocked","⛔ Blocked",IF(P147&lt;TODAY(),"⚠ Trễ hạn",IF(O147&lt;=TODAY(),"▶ Trong kỳ","Chưa tới")))))</f>
        <v/>
      </c>
      <c r="R147" s="44" t="n">
        <f aca="false">IF(J147="",0,J147*IF(K147="Done",1,IF(L147="",0,L147)))</f>
        <v>0</v>
      </c>
    </row>
    <row r="148" customFormat="false" ht="15" hidden="false" customHeight="false" outlineLevel="0" collapsed="false">
      <c r="A148" s="48"/>
      <c r="B148" s="48"/>
      <c r="C148" s="48"/>
      <c r="D148" s="48"/>
      <c r="E148" s="48"/>
      <c r="F148" s="48"/>
      <c r="G148" s="48"/>
      <c r="H148" s="48"/>
      <c r="I148" s="48"/>
      <c r="J148" s="44" t="str">
        <f aca="false">IF(OR(H148="",I148=""),"",(I148-H148+1)*5)</f>
        <v/>
      </c>
      <c r="K148" s="48"/>
      <c r="L148" s="49"/>
      <c r="M148" s="48"/>
      <c r="N148" s="48"/>
      <c r="O148" s="46" t="str">
        <f aca="false">IF(H148="","",CFG_Start+(H148-1)*7)</f>
        <v/>
      </c>
      <c r="P148" s="46" t="str">
        <f aca="false">IF(I148="","",CFG_Start+I148*7-1)</f>
        <v/>
      </c>
      <c r="Q148" s="47" t="str">
        <f aca="true">IF(D148="","",IF(K148="Done","✔ Xong",IF(K148="Blocked","⛔ Blocked",IF(P148&lt;TODAY(),"⚠ Trễ hạn",IF(O148&lt;=TODAY(),"▶ Trong kỳ","Chưa tới")))))</f>
        <v/>
      </c>
      <c r="R148" s="44" t="n">
        <f aca="false">IF(J148="",0,J148*IF(K148="Done",1,IF(L148="",0,L148)))</f>
        <v>0</v>
      </c>
    </row>
    <row r="149" customFormat="false" ht="15" hidden="false" customHeight="false" outlineLevel="0" collapsed="false">
      <c r="A149" s="48"/>
      <c r="B149" s="48"/>
      <c r="C149" s="48"/>
      <c r="D149" s="48"/>
      <c r="E149" s="48"/>
      <c r="F149" s="48"/>
      <c r="G149" s="48"/>
      <c r="H149" s="48"/>
      <c r="I149" s="48"/>
      <c r="J149" s="44" t="str">
        <f aca="false">IF(OR(H149="",I149=""),"",(I149-H149+1)*5)</f>
        <v/>
      </c>
      <c r="K149" s="48"/>
      <c r="L149" s="49"/>
      <c r="M149" s="48"/>
      <c r="N149" s="48"/>
      <c r="O149" s="46" t="str">
        <f aca="false">IF(H149="","",CFG_Start+(H149-1)*7)</f>
        <v/>
      </c>
      <c r="P149" s="46" t="str">
        <f aca="false">IF(I149="","",CFG_Start+I149*7-1)</f>
        <v/>
      </c>
      <c r="Q149" s="47" t="str">
        <f aca="true">IF(D149="","",IF(K149="Done","✔ Xong",IF(K149="Blocked","⛔ Blocked",IF(P149&lt;TODAY(),"⚠ Trễ hạn",IF(O149&lt;=TODAY(),"▶ Trong kỳ","Chưa tới")))))</f>
        <v/>
      </c>
      <c r="R149" s="44" t="n">
        <f aca="false">IF(J149="",0,J149*IF(K149="Done",1,IF(L149="",0,L149)))</f>
        <v>0</v>
      </c>
    </row>
    <row r="150" customFormat="false" ht="15" hidden="false" customHeight="false" outlineLevel="0" collapsed="false">
      <c r="A150" s="48"/>
      <c r="B150" s="48"/>
      <c r="C150" s="48"/>
      <c r="D150" s="48"/>
      <c r="E150" s="48"/>
      <c r="F150" s="48"/>
      <c r="G150" s="48"/>
      <c r="H150" s="48"/>
      <c r="I150" s="48"/>
      <c r="J150" s="44" t="str">
        <f aca="false">IF(OR(H150="",I150=""),"",(I150-H150+1)*5)</f>
        <v/>
      </c>
      <c r="K150" s="48"/>
      <c r="L150" s="49"/>
      <c r="M150" s="48"/>
      <c r="N150" s="48"/>
      <c r="O150" s="46" t="str">
        <f aca="false">IF(H150="","",CFG_Start+(H150-1)*7)</f>
        <v/>
      </c>
      <c r="P150" s="46" t="str">
        <f aca="false">IF(I150="","",CFG_Start+I150*7-1)</f>
        <v/>
      </c>
      <c r="Q150" s="47" t="str">
        <f aca="true">IF(D150="","",IF(K150="Done","✔ Xong",IF(K150="Blocked","⛔ Blocked",IF(P150&lt;TODAY(),"⚠ Trễ hạn",IF(O150&lt;=TODAY(),"▶ Trong kỳ","Chưa tới")))))</f>
        <v/>
      </c>
      <c r="R150" s="44" t="n">
        <f aca="false">IF(J150="",0,J150*IF(K150="Done",1,IF(L150="",0,L150)))</f>
        <v>0</v>
      </c>
    </row>
    <row r="151" customFormat="false" ht="15" hidden="false" customHeight="false" outlineLevel="0" collapsed="false">
      <c r="A151" s="48"/>
      <c r="B151" s="48"/>
      <c r="C151" s="48"/>
      <c r="D151" s="48"/>
      <c r="E151" s="48"/>
      <c r="F151" s="48"/>
      <c r="G151" s="48"/>
      <c r="H151" s="48"/>
      <c r="I151" s="48"/>
      <c r="J151" s="44" t="str">
        <f aca="false">IF(OR(H151="",I151=""),"",(I151-H151+1)*5)</f>
        <v/>
      </c>
      <c r="K151" s="48"/>
      <c r="L151" s="49"/>
      <c r="M151" s="48"/>
      <c r="N151" s="48"/>
      <c r="O151" s="46" t="str">
        <f aca="false">IF(H151="","",CFG_Start+(H151-1)*7)</f>
        <v/>
      </c>
      <c r="P151" s="46" t="str">
        <f aca="false">IF(I151="","",CFG_Start+I151*7-1)</f>
        <v/>
      </c>
      <c r="Q151" s="47" t="str">
        <f aca="true">IF(D151="","",IF(K151="Done","✔ Xong",IF(K151="Blocked","⛔ Blocked",IF(P151&lt;TODAY(),"⚠ Trễ hạn",IF(O151&lt;=TODAY(),"▶ Trong kỳ","Chưa tới")))))</f>
        <v/>
      </c>
      <c r="R151" s="44" t="n">
        <f aca="false">IF(J151="",0,J151*IF(K151="Done",1,IF(L151="",0,L151)))</f>
        <v>0</v>
      </c>
    </row>
    <row r="152" customFormat="false" ht="15" hidden="false" customHeight="false" outlineLevel="0" collapsed="false">
      <c r="A152" s="48"/>
      <c r="B152" s="48"/>
      <c r="C152" s="48"/>
      <c r="D152" s="48"/>
      <c r="E152" s="48"/>
      <c r="F152" s="48"/>
      <c r="G152" s="48"/>
      <c r="H152" s="48"/>
      <c r="I152" s="48"/>
      <c r="J152" s="44" t="str">
        <f aca="false">IF(OR(H152="",I152=""),"",(I152-H152+1)*5)</f>
        <v/>
      </c>
      <c r="K152" s="48"/>
      <c r="L152" s="49"/>
      <c r="M152" s="48"/>
      <c r="N152" s="48"/>
      <c r="O152" s="46" t="str">
        <f aca="false">IF(H152="","",CFG_Start+(H152-1)*7)</f>
        <v/>
      </c>
      <c r="P152" s="46" t="str">
        <f aca="false">IF(I152="","",CFG_Start+I152*7-1)</f>
        <v/>
      </c>
      <c r="Q152" s="47" t="str">
        <f aca="true">IF(D152="","",IF(K152="Done","✔ Xong",IF(K152="Blocked","⛔ Blocked",IF(P152&lt;TODAY(),"⚠ Trễ hạn",IF(O152&lt;=TODAY(),"▶ Trong kỳ","Chưa tới")))))</f>
        <v/>
      </c>
      <c r="R152" s="44" t="n">
        <f aca="false">IF(J152="",0,J152*IF(K152="Done",1,IF(L152="",0,L152)))</f>
        <v>0</v>
      </c>
    </row>
    <row r="153" customFormat="false" ht="15" hidden="false" customHeight="false" outlineLevel="0" collapsed="false">
      <c r="A153" s="48"/>
      <c r="B153" s="48"/>
      <c r="C153" s="48"/>
      <c r="D153" s="48"/>
      <c r="E153" s="48"/>
      <c r="F153" s="48"/>
      <c r="G153" s="48"/>
      <c r="H153" s="48"/>
      <c r="I153" s="48"/>
      <c r="J153" s="44" t="str">
        <f aca="false">IF(OR(H153="",I153=""),"",(I153-H153+1)*5)</f>
        <v/>
      </c>
      <c r="K153" s="48"/>
      <c r="L153" s="49"/>
      <c r="M153" s="48"/>
      <c r="N153" s="48"/>
      <c r="O153" s="46" t="str">
        <f aca="false">IF(H153="","",CFG_Start+(H153-1)*7)</f>
        <v/>
      </c>
      <c r="P153" s="46" t="str">
        <f aca="false">IF(I153="","",CFG_Start+I153*7-1)</f>
        <v/>
      </c>
      <c r="Q153" s="47" t="str">
        <f aca="true">IF(D153="","",IF(K153="Done","✔ Xong",IF(K153="Blocked","⛔ Blocked",IF(P153&lt;TODAY(),"⚠ Trễ hạn",IF(O153&lt;=TODAY(),"▶ Trong kỳ","Chưa tới")))))</f>
        <v/>
      </c>
      <c r="R153" s="44" t="n">
        <f aca="false">IF(J153="",0,J153*IF(K153="Done",1,IF(L153="",0,L153)))</f>
        <v>0</v>
      </c>
    </row>
    <row r="154" customFormat="false" ht="15" hidden="false" customHeight="false" outlineLevel="0" collapsed="false">
      <c r="A154" s="48"/>
      <c r="B154" s="48"/>
      <c r="C154" s="48"/>
      <c r="D154" s="48"/>
      <c r="E154" s="48"/>
      <c r="F154" s="48"/>
      <c r="G154" s="48"/>
      <c r="H154" s="48"/>
      <c r="I154" s="48"/>
      <c r="J154" s="44" t="str">
        <f aca="false">IF(OR(H154="",I154=""),"",(I154-H154+1)*5)</f>
        <v/>
      </c>
      <c r="K154" s="48"/>
      <c r="L154" s="49"/>
      <c r="M154" s="48"/>
      <c r="N154" s="48"/>
      <c r="O154" s="46" t="str">
        <f aca="false">IF(H154="","",CFG_Start+(H154-1)*7)</f>
        <v/>
      </c>
      <c r="P154" s="46" t="str">
        <f aca="false">IF(I154="","",CFG_Start+I154*7-1)</f>
        <v/>
      </c>
      <c r="Q154" s="47" t="str">
        <f aca="true">IF(D154="","",IF(K154="Done","✔ Xong",IF(K154="Blocked","⛔ Blocked",IF(P154&lt;TODAY(),"⚠ Trễ hạn",IF(O154&lt;=TODAY(),"▶ Trong kỳ","Chưa tới")))))</f>
        <v/>
      </c>
      <c r="R154" s="44" t="n">
        <f aca="false">IF(J154="",0,J154*IF(K154="Done",1,IF(L154="",0,L154)))</f>
        <v>0</v>
      </c>
    </row>
  </sheetData>
  <autoFilter ref="A4:R154"/>
  <mergeCells count="2">
    <mergeCell ref="A1:R1"/>
    <mergeCell ref="A2:R2"/>
  </mergeCells>
  <conditionalFormatting sqref="K5:K154">
    <cfRule type="cellIs" priority="2" operator="equal" aboveAverage="0" equalAverage="0" bottom="0" percent="0" rank="0" text="" dxfId="14">
      <formula>"Done"</formula>
    </cfRule>
    <cfRule type="cellIs" priority="3" operator="equal" aboveAverage="0" equalAverage="0" bottom="0" percent="0" rank="0" text="" dxfId="15">
      <formula>"In Progress"</formula>
    </cfRule>
    <cfRule type="cellIs" priority="4" operator="equal" aboveAverage="0" equalAverage="0" bottom="0" percent="0" rank="0" text="" dxfId="16">
      <formula>"Blocked"</formula>
    </cfRule>
    <cfRule type="cellIs" priority="5" operator="equal" aboveAverage="0" equalAverage="0" bottom="0" percent="0" rank="0" text="" dxfId="17">
      <formula>"To Do"</formula>
    </cfRule>
  </conditionalFormatting>
  <conditionalFormatting sqref="G5:G154">
    <cfRule type="cellIs" priority="6" operator="equal" aboveAverage="0" equalAverage="0" bottom="0" percent="0" rank="0" text="" dxfId="0">
      <formula>"High"</formula>
    </cfRule>
    <cfRule type="cellIs" priority="7" operator="equal" aboveAverage="0" equalAverage="0" bottom="0" percent="0" rank="0" text="" dxfId="18">
      <formula>"Medium"</formula>
    </cfRule>
    <cfRule type="cellIs" priority="8" operator="equal" aboveAverage="0" equalAverage="0" bottom="0" percent="0" rank="0" text="" dxfId="19">
      <formula>"Low"</formula>
    </cfRule>
  </conditionalFormatting>
  <conditionalFormatting sqref="L5:L154">
    <cfRule type="dataBar" priority="9">
      <dataBar showValue="1" minLength="10" maxLength="90">
        <cfvo type="num" val="0"/>
        <cfvo type="num" val="1"/>
        <color rgb="FF10B981"/>
      </dataBar>
      <extLst>
        <ext xmlns:x14="http://schemas.microsoft.com/office/spreadsheetml/2009/9/main" uri="{B025F937-C7B1-47D3-B67F-A62EFF666E3E}">
          <x14:id>{B73097F1-CF50-4CAA-84D1-BE22B96884F3}</x14:id>
        </ext>
      </extLst>
    </cfRule>
  </conditionalFormatting>
  <conditionalFormatting sqref="Q5:Q154">
    <cfRule type="cellIs" priority="10" operator="equal" aboveAverage="0" equalAverage="0" bottom="0" percent="0" rank="0" text="" dxfId="16">
      <formula>"⚠ Trễ hạn"</formula>
    </cfRule>
    <cfRule type="cellIs" priority="11" operator="equal" aboveAverage="0" equalAverage="0" bottom="0" percent="0" rank="0" text="" dxfId="14">
      <formula>"✔ Xong"</formula>
    </cfRule>
    <cfRule type="cellIs" priority="12" operator="equal" aboveAverage="0" equalAverage="0" bottom="0" percent="0" rank="0" text="" dxfId="16">
      <formula>"⛔ Blocked"</formula>
    </cfRule>
    <cfRule type="cellIs" priority="13" operator="equal" aboveAverage="0" equalAverage="0" bottom="0" percent="0" rank="0" text="" dxfId="15">
      <formula>"▶ Trong kỳ"</formula>
    </cfRule>
  </conditionalFormatting>
  <dataValidations count="8">
    <dataValidation allowBlank="true" error="Hãy chọn giá trị trong danh sách." errorStyle="stop" errorTitle="Giá trị không hợp lệ" operator="between" showDropDown="false" showErrorMessage="true" showInputMessage="false" sqref="B5:B154" type="list">
      <formula1>L_Phases</formula1>
      <formula2>0</formula2>
    </dataValidation>
    <dataValidation allowBlank="true" error="Hãy chọn giá trị trong danh sách." errorStyle="stop" errorTitle="Giá trị không hợp lệ" operator="between" showDropDown="false" showErrorMessage="true" showInputMessage="false" sqref="C5:C154" type="list">
      <formula1>L_Modules</formula1>
      <formula2>0</formula2>
    </dataValidation>
    <dataValidation allowBlank="true" error="Hãy chọn giá trị trong danh sách." errorStyle="stop" errorTitle="Giá trị không hợp lệ" operator="between" showDropDown="false" showErrorMessage="true" showInputMessage="false" sqref="E5:E154" type="list">
      <formula1>L_Members</formula1>
      <formula2>0</formula2>
    </dataValidation>
    <dataValidation allowBlank="true" error="Hãy chọn giá trị trong danh sách." errorStyle="stop" errorTitle="Giá trị không hợp lệ" operator="between" showDropDown="false" showErrorMessage="true" showInputMessage="false" sqref="F5:F154" type="list">
      <formula1>L_Types</formula1>
      <formula2>0</formula2>
    </dataValidation>
    <dataValidation allowBlank="true" error="Hãy chọn giá trị trong danh sách." errorStyle="stop" errorTitle="Giá trị không hợp lệ" operator="between" showDropDown="false" showErrorMessage="true" showInputMessage="false" sqref="G5:G154" type="list">
      <formula1>L_Priority</formula1>
      <formula2>0</formula2>
    </dataValidation>
    <dataValidation allowBlank="true" error="Hãy chọn giá trị trong danh sách." errorStyle="stop" errorTitle="Giá trị không hợp lệ" operator="between" showDropDown="false" showErrorMessage="true" showInputMessage="false" sqref="K5:K154" type="list">
      <formula1>L_Status</formula1>
      <formula2>0</formula2>
    </dataValidation>
    <dataValidation allowBlank="true" error="Tuần phải từ 1 đến tổng số tuần (sheet 05)." errorStyle="stop" operator="between" showDropDown="false" showErrorMessage="true" showInputMessage="false" sqref="H5:I154" type="whole">
      <formula1>1</formula1>
      <formula2>CFG_Weeks</formula2>
    </dataValidation>
    <dataValidation allowBlank="true" error="Nhập từ 0% đến 100%." errorStyle="stop" operator="between" showDropDown="false" showErrorMessage="true" showInputMessage="false" sqref="L5:L154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3097F1-CF50-4CAA-84D1-BE22B96884F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0B981"/>
              <x14:axisColor rgb="FF000000"/>
            </x14:dataBar>
          </x14:cfRule>
          <xm:sqref>L5:L154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72A"/>
    <pageSetUpPr fitToPage="true"/>
  </sheetPr>
  <dimension ref="A1:AO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7" topLeftCell="H8" activePane="bottomRight" state="frozen"/>
      <selection pane="topLeft" activeCell="A1" activeCellId="0" sqref="A1"/>
      <selection pane="topRight" activeCell="H1" activeCellId="0" sqref="H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6" min="4" style="0" width="7"/>
    <col collapsed="false" customWidth="true" hidden="false" outlineLevel="0" max="7" min="7" style="0" width="11"/>
    <col collapsed="false" customWidth="true" hidden="false" outlineLevel="0" max="41" min="8" style="0" width="3.61"/>
  </cols>
  <sheetData>
    <row r="1" customFormat="false" ht="33.75" hidden="false" customHeight="true" outlineLevel="0" collapsed="false">
      <c r="A1" s="37" t="s">
        <v>370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</row>
    <row r="2" customFormat="false" ht="30" hidden="false" customHeight="true" outlineLevel="0" collapsed="false">
      <c r="A2" s="38" t="s">
        <v>371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</row>
    <row r="3" customFormat="false" ht="15" hidden="false" customHeight="false" outlineLevel="0" collapsed="false">
      <c r="A3" s="50" t="s">
        <v>372</v>
      </c>
      <c r="C3" s="51" t="n">
        <f aca="false">CFG_CurWeek</f>
        <v>1</v>
      </c>
      <c r="E3" s="52"/>
      <c r="F3" s="53" t="s">
        <v>373</v>
      </c>
      <c r="I3" s="54"/>
      <c r="J3" s="53" t="s">
        <v>374</v>
      </c>
      <c r="M3" s="55"/>
      <c r="N3" s="53" t="s">
        <v>49</v>
      </c>
      <c r="Q3" s="56"/>
      <c r="R3" s="53" t="s">
        <v>375</v>
      </c>
      <c r="U3" s="57"/>
      <c r="V3" s="53" t="s">
        <v>376</v>
      </c>
    </row>
    <row r="5" customFormat="false" ht="31.5" hidden="false" customHeight="true" outlineLevel="0" collapsed="false">
      <c r="A5" s="39" t="s">
        <v>74</v>
      </c>
      <c r="B5" s="39" t="s">
        <v>377</v>
      </c>
      <c r="C5" s="39" t="s">
        <v>378</v>
      </c>
      <c r="D5" s="39" t="s">
        <v>81</v>
      </c>
      <c r="E5" s="39" t="s">
        <v>82</v>
      </c>
      <c r="F5" s="39" t="s">
        <v>379</v>
      </c>
      <c r="G5" s="39" t="s">
        <v>67</v>
      </c>
      <c r="H5" s="58" t="n">
        <v>1</v>
      </c>
      <c r="I5" s="58" t="n">
        <v>2</v>
      </c>
      <c r="J5" s="58" t="n">
        <v>3</v>
      </c>
      <c r="K5" s="58" t="n">
        <v>4</v>
      </c>
      <c r="L5" s="58" t="n">
        <v>5</v>
      </c>
      <c r="M5" s="58" t="n">
        <v>6</v>
      </c>
      <c r="N5" s="58" t="n">
        <v>7</v>
      </c>
      <c r="O5" s="58" t="n">
        <v>8</v>
      </c>
      <c r="P5" s="58" t="n">
        <v>9</v>
      </c>
      <c r="Q5" s="58" t="n">
        <v>10</v>
      </c>
      <c r="R5" s="58" t="n">
        <v>11</v>
      </c>
      <c r="S5" s="58" t="n">
        <v>12</v>
      </c>
      <c r="T5" s="58" t="n">
        <v>13</v>
      </c>
      <c r="U5" s="58" t="n">
        <v>14</v>
      </c>
      <c r="V5" s="58" t="n">
        <v>15</v>
      </c>
      <c r="W5" s="58" t="n">
        <v>16</v>
      </c>
      <c r="X5" s="58" t="n">
        <v>17</v>
      </c>
      <c r="Y5" s="58" t="n">
        <v>18</v>
      </c>
      <c r="Z5" s="58" t="n">
        <v>19</v>
      </c>
      <c r="AA5" s="58" t="n">
        <v>20</v>
      </c>
      <c r="AB5" s="58" t="n">
        <v>21</v>
      </c>
      <c r="AC5" s="58" t="n">
        <v>22</v>
      </c>
      <c r="AD5" s="58" t="n">
        <v>23</v>
      </c>
      <c r="AE5" s="58" t="n">
        <v>24</v>
      </c>
      <c r="AF5" s="58" t="n">
        <v>25</v>
      </c>
      <c r="AG5" s="58" t="n">
        <v>26</v>
      </c>
      <c r="AH5" s="58" t="n">
        <v>27</v>
      </c>
      <c r="AI5" s="58" t="n">
        <v>28</v>
      </c>
      <c r="AJ5" s="58" t="n">
        <v>29</v>
      </c>
      <c r="AK5" s="58" t="n">
        <v>30</v>
      </c>
      <c r="AL5" s="58" t="n">
        <v>31</v>
      </c>
      <c r="AM5" s="58" t="n">
        <v>32</v>
      </c>
      <c r="AN5" s="58" t="n">
        <v>33</v>
      </c>
      <c r="AO5" s="58" t="n">
        <v>34</v>
      </c>
    </row>
    <row r="6" customFormat="false" ht="33.75" hidden="false" customHeight="true" outlineLevel="0" collapsed="false">
      <c r="B6" s="59" t="s">
        <v>380</v>
      </c>
      <c r="H6" s="60" t="n">
        <f aca="false">CFG_Start+(H$5-1)*7</f>
        <v>46307</v>
      </c>
      <c r="I6" s="60" t="n">
        <f aca="false">CFG_Start+(I$5-1)*7</f>
        <v>46314</v>
      </c>
      <c r="J6" s="60" t="n">
        <f aca="false">CFG_Start+(J$5-1)*7</f>
        <v>46321</v>
      </c>
      <c r="K6" s="60" t="n">
        <f aca="false">CFG_Start+(K$5-1)*7</f>
        <v>46328</v>
      </c>
      <c r="L6" s="60" t="n">
        <f aca="false">CFG_Start+(L$5-1)*7</f>
        <v>46335</v>
      </c>
      <c r="M6" s="60" t="n">
        <f aca="false">CFG_Start+(M$5-1)*7</f>
        <v>46342</v>
      </c>
      <c r="N6" s="60" t="n">
        <f aca="false">CFG_Start+(N$5-1)*7</f>
        <v>46349</v>
      </c>
      <c r="O6" s="60" t="n">
        <f aca="false">CFG_Start+(O$5-1)*7</f>
        <v>46356</v>
      </c>
      <c r="P6" s="60" t="n">
        <f aca="false">CFG_Start+(P$5-1)*7</f>
        <v>46363</v>
      </c>
      <c r="Q6" s="60" t="n">
        <f aca="false">CFG_Start+(Q$5-1)*7</f>
        <v>46370</v>
      </c>
      <c r="R6" s="60" t="n">
        <f aca="false">CFG_Start+(R$5-1)*7</f>
        <v>46377</v>
      </c>
      <c r="S6" s="60" t="n">
        <f aca="false">CFG_Start+(S$5-1)*7</f>
        <v>46384</v>
      </c>
      <c r="T6" s="60" t="n">
        <f aca="false">CFG_Start+(T$5-1)*7</f>
        <v>46391</v>
      </c>
      <c r="U6" s="60" t="n">
        <f aca="false">CFG_Start+(U$5-1)*7</f>
        <v>46398</v>
      </c>
      <c r="V6" s="60" t="n">
        <f aca="false">CFG_Start+(V$5-1)*7</f>
        <v>46405</v>
      </c>
      <c r="W6" s="60" t="n">
        <f aca="false">CFG_Start+(W$5-1)*7</f>
        <v>46412</v>
      </c>
      <c r="X6" s="60" t="n">
        <f aca="false">CFG_Start+(X$5-1)*7</f>
        <v>46419</v>
      </c>
      <c r="Y6" s="60" t="n">
        <f aca="false">CFG_Start+(Y$5-1)*7</f>
        <v>46426</v>
      </c>
      <c r="Z6" s="60" t="n">
        <f aca="false">CFG_Start+(Z$5-1)*7</f>
        <v>46433</v>
      </c>
      <c r="AA6" s="60" t="n">
        <f aca="false">CFG_Start+(AA$5-1)*7</f>
        <v>46440</v>
      </c>
      <c r="AB6" s="60" t="n">
        <f aca="false">CFG_Start+(AB$5-1)*7</f>
        <v>46447</v>
      </c>
      <c r="AC6" s="60" t="n">
        <f aca="false">CFG_Start+(AC$5-1)*7</f>
        <v>46454</v>
      </c>
      <c r="AD6" s="60" t="n">
        <f aca="false">CFG_Start+(AD$5-1)*7</f>
        <v>46461</v>
      </c>
      <c r="AE6" s="60" t="n">
        <f aca="false">CFG_Start+(AE$5-1)*7</f>
        <v>46468</v>
      </c>
      <c r="AF6" s="60" t="n">
        <f aca="false">CFG_Start+(AF$5-1)*7</f>
        <v>46475</v>
      </c>
      <c r="AG6" s="60" t="n">
        <f aca="false">CFG_Start+(AG$5-1)*7</f>
        <v>46482</v>
      </c>
      <c r="AH6" s="60" t="n">
        <f aca="false">CFG_Start+(AH$5-1)*7</f>
        <v>46489</v>
      </c>
      <c r="AI6" s="60" t="n">
        <f aca="false">CFG_Start+(AI$5-1)*7</f>
        <v>46496</v>
      </c>
      <c r="AJ6" s="60" t="n">
        <f aca="false">CFG_Start+(AJ$5-1)*7</f>
        <v>46503</v>
      </c>
      <c r="AK6" s="60" t="n">
        <f aca="false">CFG_Start+(AK$5-1)*7</f>
        <v>46510</v>
      </c>
      <c r="AL6" s="60" t="n">
        <f aca="false">CFG_Start+(AL$5-1)*7</f>
        <v>46517</v>
      </c>
      <c r="AM6" s="60" t="n">
        <f aca="false">CFG_Start+(AM$5-1)*7</f>
        <v>46524</v>
      </c>
      <c r="AN6" s="60" t="n">
        <f aca="false">CFG_Start+(AN$5-1)*7</f>
        <v>46531</v>
      </c>
      <c r="AO6" s="60" t="n">
        <f aca="false">CFG_Start+(AO$5-1)*7</f>
        <v>46538</v>
      </c>
    </row>
    <row r="7" customFormat="false" ht="91.5" hidden="false" customHeight="true" outlineLevel="0" collapsed="false">
      <c r="B7" s="61" t="s">
        <v>381</v>
      </c>
      <c r="H7" s="62" t="str">
        <f aca="false">IFERROR("◆ "&amp;INDEX(MS_Names,MATCH(H$5,MS_Weeks,0)),"")</f>
        <v/>
      </c>
      <c r="I7" s="62" t="str">
        <f aca="false">IFERROR("◆ "&amp;INDEX(MS_Names,MATCH(I$5,MS_Weeks,0)),"")</f>
        <v/>
      </c>
      <c r="J7" s="62" t="str">
        <f aca="false">IFERROR("◆ "&amp;INDEX(MS_Names,MATCH(J$5,MS_Weeks,0)),"")</f>
        <v/>
      </c>
      <c r="K7" s="62" t="str">
        <f aca="false">IFERROR("◆ "&amp;INDEX(MS_Names,MATCH(K$5,MS_Weeks,0)),"")</f>
        <v/>
      </c>
      <c r="L7" s="62" t="str">
        <f aca="false">IFERROR("◆ "&amp;INDEX(MS_Names,MATCH(L$5,MS_Weeks,0)),"")</f>
        <v/>
      </c>
      <c r="M7" s="62" t="str">
        <f aca="false">IFERROR("◆ "&amp;INDEX(MS_Names,MATCH(M$5,MS_Weeks,0)),"")</f>
        <v/>
      </c>
      <c r="N7" s="62" t="str">
        <f aca="false">IFERROR("◆ "&amp;INDEX(MS_Names,MATCH(N$5,MS_Weeks,0)),"")</f>
        <v/>
      </c>
      <c r="O7" s="62" t="str">
        <f aca="false">IFERROR("◆ "&amp;INDEX(MS_Names,MATCH(O$5,MS_Weeks,0)),"")</f>
        <v/>
      </c>
      <c r="P7" s="62" t="str">
        <f aca="false">IFERROR("◆ "&amp;INDEX(MS_Names,MATCH(P$5,MS_Weeks,0)),"")</f>
        <v/>
      </c>
      <c r="Q7" s="62" t="str">
        <f aca="false">IFERROR("◆ "&amp;INDEX(MS_Names,MATCH(Q$5,MS_Weeks,0)),"")</f>
        <v/>
      </c>
      <c r="R7" s="62" t="str">
        <f aca="false">IFERROR("◆ "&amp;INDEX(MS_Names,MATCH(R$5,MS_Weeks,0)),"")</f>
        <v/>
      </c>
      <c r="S7" s="62" t="str">
        <f aca="false">IFERROR("◆ "&amp;INDEX(MS_Names,MATCH(S$5,MS_Weeks,0)),"")</f>
        <v/>
      </c>
      <c r="T7" s="62" t="str">
        <f aca="false">IFERROR("◆ "&amp;INDEX(MS_Names,MATCH(T$5,MS_Weeks,0)),"")</f>
        <v/>
      </c>
      <c r="U7" s="62" t="str">
        <f aca="false">IFERROR("◆ "&amp;INDEX(MS_Names,MATCH(U$5,MS_Weeks,0)),"")</f>
        <v/>
      </c>
      <c r="V7" s="62" t="str">
        <f aca="false">IFERROR("◆ "&amp;INDEX(MS_Names,MATCH(V$5,MS_Weeks,0)),"")</f>
        <v/>
      </c>
      <c r="W7" s="62" t="str">
        <f aca="false">IFERROR("◆ "&amp;INDEX(MS_Names,MATCH(W$5,MS_Weeks,0)),"")</f>
        <v/>
      </c>
      <c r="X7" s="62" t="str">
        <f aca="false">IFERROR("◆ "&amp;INDEX(MS_Names,MATCH(X$5,MS_Weeks,0)),"")</f>
        <v/>
      </c>
      <c r="Y7" s="62" t="str">
        <f aca="false">IFERROR("◆ "&amp;INDEX(MS_Names,MATCH(Y$5,MS_Weeks,0)),"")</f>
        <v/>
      </c>
      <c r="Z7" s="62" t="str">
        <f aca="false">IFERROR("◆ "&amp;INDEX(MS_Names,MATCH(Z$5,MS_Weeks,0)),"")</f>
        <v/>
      </c>
      <c r="AA7" s="62" t="str">
        <f aca="false">IFERROR("◆ "&amp;INDEX(MS_Names,MATCH(AA$5,MS_Weeks,0)),"")</f>
        <v/>
      </c>
      <c r="AB7" s="62" t="str">
        <f aca="false">IFERROR("◆ "&amp;INDEX(MS_Names,MATCH(AB$5,MS_Weeks,0)),"")</f>
        <v>◆ Release Alpha</v>
      </c>
      <c r="AC7" s="62" t="str">
        <f aca="false">IFERROR("◆ "&amp;INDEX(MS_Names,MATCH(AC$5,MS_Weeks,0)),"")</f>
        <v/>
      </c>
      <c r="AD7" s="62" t="str">
        <f aca="false">IFERROR("◆ "&amp;INDEX(MS_Names,MATCH(AD$5,MS_Weeks,0)),"")</f>
        <v/>
      </c>
      <c r="AE7" s="62" t="str">
        <f aca="false">IFERROR("◆ "&amp;INDEX(MS_Names,MATCH(AE$5,MS_Weeks,0)),"")</f>
        <v/>
      </c>
      <c r="AF7" s="62" t="str">
        <f aca="false">IFERROR("◆ "&amp;INDEX(MS_Names,MATCH(AF$5,MS_Weeks,0)),"")</f>
        <v/>
      </c>
      <c r="AG7" s="62" t="str">
        <f aca="false">IFERROR("◆ "&amp;INDEX(MS_Names,MATCH(AG$5,MS_Weeks,0)),"")</f>
        <v/>
      </c>
      <c r="AH7" s="62" t="str">
        <f aca="false">IFERROR("◆ "&amp;INDEX(MS_Names,MATCH(AH$5,MS_Weeks,0)),"")</f>
        <v>◆ Release Beta</v>
      </c>
      <c r="AI7" s="62" t="str">
        <f aca="false">IFERROR("◆ "&amp;INDEX(MS_Names,MATCH(AI$5,MS_Weeks,0)),"")</f>
        <v/>
      </c>
      <c r="AJ7" s="62" t="str">
        <f aca="false">IFERROR("◆ "&amp;INDEX(MS_Names,MATCH(AJ$5,MS_Weeks,0)),"")</f>
        <v/>
      </c>
      <c r="AK7" s="62" t="str">
        <f aca="false">IFERROR("◆ "&amp;INDEX(MS_Names,MATCH(AK$5,MS_Weeks,0)),"")</f>
        <v/>
      </c>
      <c r="AL7" s="62" t="str">
        <f aca="false">IFERROR("◆ "&amp;INDEX(MS_Names,MATCH(AL$5,MS_Weeks,0)),"")</f>
        <v/>
      </c>
      <c r="AM7" s="62" t="str">
        <f aca="false">IFERROR("◆ "&amp;INDEX(MS_Names,MATCH(AM$5,MS_Weeks,0)),"")</f>
        <v/>
      </c>
      <c r="AN7" s="62" t="str">
        <f aca="false">IFERROR("◆ "&amp;INDEX(MS_Names,MATCH(AN$5,MS_Weeks,0)),"")</f>
        <v/>
      </c>
      <c r="AO7" s="62" t="str">
        <f aca="false">IFERROR("◆ "&amp;INDEX(MS_Names,MATCH(AO$5,MS_Weeks,0)),"")</f>
        <v>◆ Release Production</v>
      </c>
    </row>
    <row r="8" customFormat="false" ht="15" hidden="false" customHeight="false" outlineLevel="0" collapsed="false">
      <c r="A8" s="63" t="str">
        <f aca="false">IF('01_WBS &amp; Master Plan'!A5="","",'01_WBS &amp; Master Plan'!A5)</f>
        <v>0.1</v>
      </c>
      <c r="B8" s="64" t="str">
        <f aca="false">IF('01_WBS &amp; Master Plan'!D5="","",'01_WBS &amp; Master Plan'!D5)</f>
        <v>Học: web hoạt động thế nào — client/server, DNS, HTTP request/response, status code</v>
      </c>
      <c r="C8" s="63" t="str">
        <f aca="false">IF('01_WBS &amp; Master Plan'!E5="","",'01_WBS &amp; Master Plan'!E5)</f>
        <v>Nhật</v>
      </c>
      <c r="D8" s="63" t="n">
        <f aca="false">IF('01_WBS &amp; Master Plan'!H5="","",'01_WBS &amp; Master Plan'!H5)</f>
        <v>1</v>
      </c>
      <c r="E8" s="63" t="n">
        <f aca="false">IF('01_WBS &amp; Master Plan'!I5="","",'01_WBS &amp; Master Plan'!I5)</f>
        <v>1</v>
      </c>
      <c r="F8" s="65" t="n">
        <f aca="false">IF(B8="","",IF('01_WBS &amp; Master Plan'!K5="Done",1,IF('01_WBS &amp; Master Plan'!L5="",0,'01_WBS &amp; Master Plan'!L5)))</f>
        <v>0.3</v>
      </c>
      <c r="G8" s="63" t="str">
        <f aca="false">IF('01_WBS &amp; Master Plan'!K5="","",'01_WBS &amp; Master Plan'!K5)</f>
        <v>In Progress</v>
      </c>
      <c r="H8" s="66" t="n">
        <f aca="false">IF(OR($D8="",$E8=""),"",IF(AND(H$5&gt;=$D8,H$5&lt;=$E8),IF(H$5-$D8+1&lt;=ROUND(($E8-$D8+1)*$F8,0),2,IF(H$5&lt;CFG_CurWeek,3,1)),""))</f>
        <v>1</v>
      </c>
      <c r="I8" s="66" t="str">
        <f aca="false">IF(OR($D8="",$E8=""),"",IF(AND(I$5&gt;=$D8,I$5&lt;=$E8),IF(I$5-$D8+1&lt;=ROUND(($E8-$D8+1)*$F8,0),2,IF(I$5&lt;CFG_CurWeek,3,1)),""))</f>
        <v/>
      </c>
      <c r="J8" s="66" t="str">
        <f aca="false">IF(OR($D8="",$E8=""),"",IF(AND(J$5&gt;=$D8,J$5&lt;=$E8),IF(J$5-$D8+1&lt;=ROUND(($E8-$D8+1)*$F8,0),2,IF(J$5&lt;CFG_CurWeek,3,1)),""))</f>
        <v/>
      </c>
      <c r="K8" s="66" t="str">
        <f aca="false">IF(OR($D8="",$E8=""),"",IF(AND(K$5&gt;=$D8,K$5&lt;=$E8),IF(K$5-$D8+1&lt;=ROUND(($E8-$D8+1)*$F8,0),2,IF(K$5&lt;CFG_CurWeek,3,1)),""))</f>
        <v/>
      </c>
      <c r="L8" s="66" t="str">
        <f aca="false">IF(OR($D8="",$E8=""),"",IF(AND(L$5&gt;=$D8,L$5&lt;=$E8),IF(L$5-$D8+1&lt;=ROUND(($E8-$D8+1)*$F8,0),2,IF(L$5&lt;CFG_CurWeek,3,1)),""))</f>
        <v/>
      </c>
      <c r="M8" s="66" t="str">
        <f aca="false">IF(OR($D8="",$E8=""),"",IF(AND(M$5&gt;=$D8,M$5&lt;=$E8),IF(M$5-$D8+1&lt;=ROUND(($E8-$D8+1)*$F8,0),2,IF(M$5&lt;CFG_CurWeek,3,1)),""))</f>
        <v/>
      </c>
      <c r="N8" s="66" t="str">
        <f aca="false">IF(OR($D8="",$E8=""),"",IF(AND(N$5&gt;=$D8,N$5&lt;=$E8),IF(N$5-$D8+1&lt;=ROUND(($E8-$D8+1)*$F8,0),2,IF(N$5&lt;CFG_CurWeek,3,1)),""))</f>
        <v/>
      </c>
      <c r="O8" s="66" t="str">
        <f aca="false">IF(OR($D8="",$E8=""),"",IF(AND(O$5&gt;=$D8,O$5&lt;=$E8),IF(O$5-$D8+1&lt;=ROUND(($E8-$D8+1)*$F8,0),2,IF(O$5&lt;CFG_CurWeek,3,1)),""))</f>
        <v/>
      </c>
      <c r="P8" s="66" t="str">
        <f aca="false">IF(OR($D8="",$E8=""),"",IF(AND(P$5&gt;=$D8,P$5&lt;=$E8),IF(P$5-$D8+1&lt;=ROUND(($E8-$D8+1)*$F8,0),2,IF(P$5&lt;CFG_CurWeek,3,1)),""))</f>
        <v/>
      </c>
      <c r="Q8" s="66" t="str">
        <f aca="false">IF(OR($D8="",$E8=""),"",IF(AND(Q$5&gt;=$D8,Q$5&lt;=$E8),IF(Q$5-$D8+1&lt;=ROUND(($E8-$D8+1)*$F8,0),2,IF(Q$5&lt;CFG_CurWeek,3,1)),""))</f>
        <v/>
      </c>
      <c r="R8" s="66" t="str">
        <f aca="false">IF(OR($D8="",$E8=""),"",IF(AND(R$5&gt;=$D8,R$5&lt;=$E8),IF(R$5-$D8+1&lt;=ROUND(($E8-$D8+1)*$F8,0),2,IF(R$5&lt;CFG_CurWeek,3,1)),""))</f>
        <v/>
      </c>
      <c r="S8" s="66" t="str">
        <f aca="false">IF(OR($D8="",$E8=""),"",IF(AND(S$5&gt;=$D8,S$5&lt;=$E8),IF(S$5-$D8+1&lt;=ROUND(($E8-$D8+1)*$F8,0),2,IF(S$5&lt;CFG_CurWeek,3,1)),""))</f>
        <v/>
      </c>
      <c r="T8" s="66" t="str">
        <f aca="false">IF(OR($D8="",$E8=""),"",IF(AND(T$5&gt;=$D8,T$5&lt;=$E8),IF(T$5-$D8+1&lt;=ROUND(($E8-$D8+1)*$F8,0),2,IF(T$5&lt;CFG_CurWeek,3,1)),""))</f>
        <v/>
      </c>
      <c r="U8" s="66" t="str">
        <f aca="false">IF(OR($D8="",$E8=""),"",IF(AND(U$5&gt;=$D8,U$5&lt;=$E8),IF(U$5-$D8+1&lt;=ROUND(($E8-$D8+1)*$F8,0),2,IF(U$5&lt;CFG_CurWeek,3,1)),""))</f>
        <v/>
      </c>
      <c r="V8" s="66" t="str">
        <f aca="false">IF(OR($D8="",$E8=""),"",IF(AND(V$5&gt;=$D8,V$5&lt;=$E8),IF(V$5-$D8+1&lt;=ROUND(($E8-$D8+1)*$F8,0),2,IF(V$5&lt;CFG_CurWeek,3,1)),""))</f>
        <v/>
      </c>
      <c r="W8" s="66" t="str">
        <f aca="false">IF(OR($D8="",$E8=""),"",IF(AND(W$5&gt;=$D8,W$5&lt;=$E8),IF(W$5-$D8+1&lt;=ROUND(($E8-$D8+1)*$F8,0),2,IF(W$5&lt;CFG_CurWeek,3,1)),""))</f>
        <v/>
      </c>
      <c r="X8" s="66" t="str">
        <f aca="false">IF(OR($D8="",$E8=""),"",IF(AND(X$5&gt;=$D8,X$5&lt;=$E8),IF(X$5-$D8+1&lt;=ROUND(($E8-$D8+1)*$F8,0),2,IF(X$5&lt;CFG_CurWeek,3,1)),""))</f>
        <v/>
      </c>
      <c r="Y8" s="66" t="str">
        <f aca="false">IF(OR($D8="",$E8=""),"",IF(AND(Y$5&gt;=$D8,Y$5&lt;=$E8),IF(Y$5-$D8+1&lt;=ROUND(($E8-$D8+1)*$F8,0),2,IF(Y$5&lt;CFG_CurWeek,3,1)),""))</f>
        <v/>
      </c>
      <c r="Z8" s="66" t="str">
        <f aca="false">IF(OR($D8="",$E8=""),"",IF(AND(Z$5&gt;=$D8,Z$5&lt;=$E8),IF(Z$5-$D8+1&lt;=ROUND(($E8-$D8+1)*$F8,0),2,IF(Z$5&lt;CFG_CurWeek,3,1)),""))</f>
        <v/>
      </c>
      <c r="AA8" s="66" t="str">
        <f aca="false">IF(OR($D8="",$E8=""),"",IF(AND(AA$5&gt;=$D8,AA$5&lt;=$E8),IF(AA$5-$D8+1&lt;=ROUND(($E8-$D8+1)*$F8,0),2,IF(AA$5&lt;CFG_CurWeek,3,1)),""))</f>
        <v/>
      </c>
      <c r="AB8" s="66" t="str">
        <f aca="false">IF(OR($D8="",$E8=""),"",IF(AND(AB$5&gt;=$D8,AB$5&lt;=$E8),IF(AB$5-$D8+1&lt;=ROUND(($E8-$D8+1)*$F8,0),2,IF(AB$5&lt;CFG_CurWeek,3,1)),""))</f>
        <v/>
      </c>
      <c r="AC8" s="66" t="str">
        <f aca="false">IF(OR($D8="",$E8=""),"",IF(AND(AC$5&gt;=$D8,AC$5&lt;=$E8),IF(AC$5-$D8+1&lt;=ROUND(($E8-$D8+1)*$F8,0),2,IF(AC$5&lt;CFG_CurWeek,3,1)),""))</f>
        <v/>
      </c>
      <c r="AD8" s="66" t="str">
        <f aca="false">IF(OR($D8="",$E8=""),"",IF(AND(AD$5&gt;=$D8,AD$5&lt;=$E8),IF(AD$5-$D8+1&lt;=ROUND(($E8-$D8+1)*$F8,0),2,IF(AD$5&lt;CFG_CurWeek,3,1)),""))</f>
        <v/>
      </c>
      <c r="AE8" s="66" t="str">
        <f aca="false">IF(OR($D8="",$E8=""),"",IF(AND(AE$5&gt;=$D8,AE$5&lt;=$E8),IF(AE$5-$D8+1&lt;=ROUND(($E8-$D8+1)*$F8,0),2,IF(AE$5&lt;CFG_CurWeek,3,1)),""))</f>
        <v/>
      </c>
      <c r="AF8" s="66" t="str">
        <f aca="false">IF(OR($D8="",$E8=""),"",IF(AND(AF$5&gt;=$D8,AF$5&lt;=$E8),IF(AF$5-$D8+1&lt;=ROUND(($E8-$D8+1)*$F8,0),2,IF(AF$5&lt;CFG_CurWeek,3,1)),""))</f>
        <v/>
      </c>
      <c r="AG8" s="66" t="str">
        <f aca="false">IF(OR($D8="",$E8=""),"",IF(AND(AG$5&gt;=$D8,AG$5&lt;=$E8),IF(AG$5-$D8+1&lt;=ROUND(($E8-$D8+1)*$F8,0),2,IF(AG$5&lt;CFG_CurWeek,3,1)),""))</f>
        <v/>
      </c>
      <c r="AH8" s="66" t="str">
        <f aca="false">IF(OR($D8="",$E8=""),"",IF(AND(AH$5&gt;=$D8,AH$5&lt;=$E8),IF(AH$5-$D8+1&lt;=ROUND(($E8-$D8+1)*$F8,0),2,IF(AH$5&lt;CFG_CurWeek,3,1)),""))</f>
        <v/>
      </c>
      <c r="AI8" s="66" t="str">
        <f aca="false">IF(OR($D8="",$E8=""),"",IF(AND(AI$5&gt;=$D8,AI$5&lt;=$E8),IF(AI$5-$D8+1&lt;=ROUND(($E8-$D8+1)*$F8,0),2,IF(AI$5&lt;CFG_CurWeek,3,1)),""))</f>
        <v/>
      </c>
      <c r="AJ8" s="66" t="str">
        <f aca="false">IF(OR($D8="",$E8=""),"",IF(AND(AJ$5&gt;=$D8,AJ$5&lt;=$E8),IF(AJ$5-$D8+1&lt;=ROUND(($E8-$D8+1)*$F8,0),2,IF(AJ$5&lt;CFG_CurWeek,3,1)),""))</f>
        <v/>
      </c>
      <c r="AK8" s="66" t="str">
        <f aca="false">IF(OR($D8="",$E8=""),"",IF(AND(AK$5&gt;=$D8,AK$5&lt;=$E8),IF(AK$5-$D8+1&lt;=ROUND(($E8-$D8+1)*$F8,0),2,IF(AK$5&lt;CFG_CurWeek,3,1)),""))</f>
        <v/>
      </c>
      <c r="AL8" s="66" t="str">
        <f aca="false">IF(OR($D8="",$E8=""),"",IF(AND(AL$5&gt;=$D8,AL$5&lt;=$E8),IF(AL$5-$D8+1&lt;=ROUND(($E8-$D8+1)*$F8,0),2,IF(AL$5&lt;CFG_CurWeek,3,1)),""))</f>
        <v/>
      </c>
      <c r="AM8" s="66" t="str">
        <f aca="false">IF(OR($D8="",$E8=""),"",IF(AND(AM$5&gt;=$D8,AM$5&lt;=$E8),IF(AM$5-$D8+1&lt;=ROUND(($E8-$D8+1)*$F8,0),2,IF(AM$5&lt;CFG_CurWeek,3,1)),""))</f>
        <v/>
      </c>
      <c r="AN8" s="66" t="str">
        <f aca="false">IF(OR($D8="",$E8=""),"",IF(AND(AN$5&gt;=$D8,AN$5&lt;=$E8),IF(AN$5-$D8+1&lt;=ROUND(($E8-$D8+1)*$F8,0),2,IF(AN$5&lt;CFG_CurWeek,3,1)),""))</f>
        <v/>
      </c>
      <c r="AO8" s="66" t="str">
        <f aca="false">IF(OR($D8="",$E8=""),"",IF(AND(AO$5&gt;=$D8,AO$5&lt;=$E8),IF(AO$5-$D8+1&lt;=ROUND(($E8-$D8+1)*$F8,0),2,IF(AO$5&lt;CFG_CurWeek,3,1)),""))</f>
        <v/>
      </c>
    </row>
    <row r="9" customFormat="false" ht="15" hidden="false" customHeight="false" outlineLevel="0" collapsed="false">
      <c r="A9" s="63" t="str">
        <f aca="false">IF('01_WBS &amp; Master Plan'!A6="","",'01_WBS &amp; Master Plan'!A6)</f>
        <v>0.2</v>
      </c>
      <c r="B9" s="64" t="str">
        <f aca="false">IF('01_WBS &amp; Master Plan'!D6="","",'01_WBS &amp; Master Plan'!D6)</f>
        <v>Cài môi trường: VS Code (Prettier, ESLint), Node.js LTS, Git, Postman, Chrome DevTools</v>
      </c>
      <c r="C9" s="63" t="str">
        <f aca="false">IF('01_WBS &amp; Master Plan'!E6="","",'01_WBS &amp; Master Plan'!E6)</f>
        <v>Nhật</v>
      </c>
      <c r="D9" s="63" t="n">
        <f aca="false">IF('01_WBS &amp; Master Plan'!H6="","",'01_WBS &amp; Master Plan'!H6)</f>
        <v>1</v>
      </c>
      <c r="E9" s="63" t="n">
        <f aca="false">IF('01_WBS &amp; Master Plan'!I6="","",'01_WBS &amp; Master Plan'!I6)</f>
        <v>1</v>
      </c>
      <c r="F9" s="65" t="n">
        <f aca="false">IF(B9="","",IF('01_WBS &amp; Master Plan'!K6="Done",1,IF('01_WBS &amp; Master Plan'!L6="",0,'01_WBS &amp; Master Plan'!L6)))</f>
        <v>0</v>
      </c>
      <c r="G9" s="63" t="str">
        <f aca="false">IF('01_WBS &amp; Master Plan'!K6="","",'01_WBS &amp; Master Plan'!K6)</f>
        <v>To Do</v>
      </c>
      <c r="H9" s="66" t="n">
        <f aca="false">IF(OR($D9="",$E9=""),"",IF(AND(H$5&gt;=$D9,H$5&lt;=$E9),IF(H$5-$D9+1&lt;=ROUND(($E9-$D9+1)*$F9,0),2,IF(H$5&lt;CFG_CurWeek,3,1)),""))</f>
        <v>1</v>
      </c>
      <c r="I9" s="66" t="str">
        <f aca="false">IF(OR($D9="",$E9=""),"",IF(AND(I$5&gt;=$D9,I$5&lt;=$E9),IF(I$5-$D9+1&lt;=ROUND(($E9-$D9+1)*$F9,0),2,IF(I$5&lt;CFG_CurWeek,3,1)),""))</f>
        <v/>
      </c>
      <c r="J9" s="66" t="str">
        <f aca="false">IF(OR($D9="",$E9=""),"",IF(AND(J$5&gt;=$D9,J$5&lt;=$E9),IF(J$5-$D9+1&lt;=ROUND(($E9-$D9+1)*$F9,0),2,IF(J$5&lt;CFG_CurWeek,3,1)),""))</f>
        <v/>
      </c>
      <c r="K9" s="66" t="str">
        <f aca="false">IF(OR($D9="",$E9=""),"",IF(AND(K$5&gt;=$D9,K$5&lt;=$E9),IF(K$5-$D9+1&lt;=ROUND(($E9-$D9+1)*$F9,0),2,IF(K$5&lt;CFG_CurWeek,3,1)),""))</f>
        <v/>
      </c>
      <c r="L9" s="66" t="str">
        <f aca="false">IF(OR($D9="",$E9=""),"",IF(AND(L$5&gt;=$D9,L$5&lt;=$E9),IF(L$5-$D9+1&lt;=ROUND(($E9-$D9+1)*$F9,0),2,IF(L$5&lt;CFG_CurWeek,3,1)),""))</f>
        <v/>
      </c>
      <c r="M9" s="66" t="str">
        <f aca="false">IF(OR($D9="",$E9=""),"",IF(AND(M$5&gt;=$D9,M$5&lt;=$E9),IF(M$5-$D9+1&lt;=ROUND(($E9-$D9+1)*$F9,0),2,IF(M$5&lt;CFG_CurWeek,3,1)),""))</f>
        <v/>
      </c>
      <c r="N9" s="66" t="str">
        <f aca="false">IF(OR($D9="",$E9=""),"",IF(AND(N$5&gt;=$D9,N$5&lt;=$E9),IF(N$5-$D9+1&lt;=ROUND(($E9-$D9+1)*$F9,0),2,IF(N$5&lt;CFG_CurWeek,3,1)),""))</f>
        <v/>
      </c>
      <c r="O9" s="66" t="str">
        <f aca="false">IF(OR($D9="",$E9=""),"",IF(AND(O$5&gt;=$D9,O$5&lt;=$E9),IF(O$5-$D9+1&lt;=ROUND(($E9-$D9+1)*$F9,0),2,IF(O$5&lt;CFG_CurWeek,3,1)),""))</f>
        <v/>
      </c>
      <c r="P9" s="66" t="str">
        <f aca="false">IF(OR($D9="",$E9=""),"",IF(AND(P$5&gt;=$D9,P$5&lt;=$E9),IF(P$5-$D9+1&lt;=ROUND(($E9-$D9+1)*$F9,0),2,IF(P$5&lt;CFG_CurWeek,3,1)),""))</f>
        <v/>
      </c>
      <c r="Q9" s="66" t="str">
        <f aca="false">IF(OR($D9="",$E9=""),"",IF(AND(Q$5&gt;=$D9,Q$5&lt;=$E9),IF(Q$5-$D9+1&lt;=ROUND(($E9-$D9+1)*$F9,0),2,IF(Q$5&lt;CFG_CurWeek,3,1)),""))</f>
        <v/>
      </c>
      <c r="R9" s="66" t="str">
        <f aca="false">IF(OR($D9="",$E9=""),"",IF(AND(R$5&gt;=$D9,R$5&lt;=$E9),IF(R$5-$D9+1&lt;=ROUND(($E9-$D9+1)*$F9,0),2,IF(R$5&lt;CFG_CurWeek,3,1)),""))</f>
        <v/>
      </c>
      <c r="S9" s="66" t="str">
        <f aca="false">IF(OR($D9="",$E9=""),"",IF(AND(S$5&gt;=$D9,S$5&lt;=$E9),IF(S$5-$D9+1&lt;=ROUND(($E9-$D9+1)*$F9,0),2,IF(S$5&lt;CFG_CurWeek,3,1)),""))</f>
        <v/>
      </c>
      <c r="T9" s="66" t="str">
        <f aca="false">IF(OR($D9="",$E9=""),"",IF(AND(T$5&gt;=$D9,T$5&lt;=$E9),IF(T$5-$D9+1&lt;=ROUND(($E9-$D9+1)*$F9,0),2,IF(T$5&lt;CFG_CurWeek,3,1)),""))</f>
        <v/>
      </c>
      <c r="U9" s="66" t="str">
        <f aca="false">IF(OR($D9="",$E9=""),"",IF(AND(U$5&gt;=$D9,U$5&lt;=$E9),IF(U$5-$D9+1&lt;=ROUND(($E9-$D9+1)*$F9,0),2,IF(U$5&lt;CFG_CurWeek,3,1)),""))</f>
        <v/>
      </c>
      <c r="V9" s="66" t="str">
        <f aca="false">IF(OR($D9="",$E9=""),"",IF(AND(V$5&gt;=$D9,V$5&lt;=$E9),IF(V$5-$D9+1&lt;=ROUND(($E9-$D9+1)*$F9,0),2,IF(V$5&lt;CFG_CurWeek,3,1)),""))</f>
        <v/>
      </c>
      <c r="W9" s="66" t="str">
        <f aca="false">IF(OR($D9="",$E9=""),"",IF(AND(W$5&gt;=$D9,W$5&lt;=$E9),IF(W$5-$D9+1&lt;=ROUND(($E9-$D9+1)*$F9,0),2,IF(W$5&lt;CFG_CurWeek,3,1)),""))</f>
        <v/>
      </c>
      <c r="X9" s="66" t="str">
        <f aca="false">IF(OR($D9="",$E9=""),"",IF(AND(X$5&gt;=$D9,X$5&lt;=$E9),IF(X$5-$D9+1&lt;=ROUND(($E9-$D9+1)*$F9,0),2,IF(X$5&lt;CFG_CurWeek,3,1)),""))</f>
        <v/>
      </c>
      <c r="Y9" s="66" t="str">
        <f aca="false">IF(OR($D9="",$E9=""),"",IF(AND(Y$5&gt;=$D9,Y$5&lt;=$E9),IF(Y$5-$D9+1&lt;=ROUND(($E9-$D9+1)*$F9,0),2,IF(Y$5&lt;CFG_CurWeek,3,1)),""))</f>
        <v/>
      </c>
      <c r="Z9" s="66" t="str">
        <f aca="false">IF(OR($D9="",$E9=""),"",IF(AND(Z$5&gt;=$D9,Z$5&lt;=$E9),IF(Z$5-$D9+1&lt;=ROUND(($E9-$D9+1)*$F9,0),2,IF(Z$5&lt;CFG_CurWeek,3,1)),""))</f>
        <v/>
      </c>
      <c r="AA9" s="66" t="str">
        <f aca="false">IF(OR($D9="",$E9=""),"",IF(AND(AA$5&gt;=$D9,AA$5&lt;=$E9),IF(AA$5-$D9+1&lt;=ROUND(($E9-$D9+1)*$F9,0),2,IF(AA$5&lt;CFG_CurWeek,3,1)),""))</f>
        <v/>
      </c>
      <c r="AB9" s="66" t="str">
        <f aca="false">IF(OR($D9="",$E9=""),"",IF(AND(AB$5&gt;=$D9,AB$5&lt;=$E9),IF(AB$5-$D9+1&lt;=ROUND(($E9-$D9+1)*$F9,0),2,IF(AB$5&lt;CFG_CurWeek,3,1)),""))</f>
        <v/>
      </c>
      <c r="AC9" s="66" t="str">
        <f aca="false">IF(OR($D9="",$E9=""),"",IF(AND(AC$5&gt;=$D9,AC$5&lt;=$E9),IF(AC$5-$D9+1&lt;=ROUND(($E9-$D9+1)*$F9,0),2,IF(AC$5&lt;CFG_CurWeek,3,1)),""))</f>
        <v/>
      </c>
      <c r="AD9" s="66" t="str">
        <f aca="false">IF(OR($D9="",$E9=""),"",IF(AND(AD$5&gt;=$D9,AD$5&lt;=$E9),IF(AD$5-$D9+1&lt;=ROUND(($E9-$D9+1)*$F9,0),2,IF(AD$5&lt;CFG_CurWeek,3,1)),""))</f>
        <v/>
      </c>
      <c r="AE9" s="66" t="str">
        <f aca="false">IF(OR($D9="",$E9=""),"",IF(AND(AE$5&gt;=$D9,AE$5&lt;=$E9),IF(AE$5-$D9+1&lt;=ROUND(($E9-$D9+1)*$F9,0),2,IF(AE$5&lt;CFG_CurWeek,3,1)),""))</f>
        <v/>
      </c>
      <c r="AF9" s="66" t="str">
        <f aca="false">IF(OR($D9="",$E9=""),"",IF(AND(AF$5&gt;=$D9,AF$5&lt;=$E9),IF(AF$5-$D9+1&lt;=ROUND(($E9-$D9+1)*$F9,0),2,IF(AF$5&lt;CFG_CurWeek,3,1)),""))</f>
        <v/>
      </c>
      <c r="AG9" s="66" t="str">
        <f aca="false">IF(OR($D9="",$E9=""),"",IF(AND(AG$5&gt;=$D9,AG$5&lt;=$E9),IF(AG$5-$D9+1&lt;=ROUND(($E9-$D9+1)*$F9,0),2,IF(AG$5&lt;CFG_CurWeek,3,1)),""))</f>
        <v/>
      </c>
      <c r="AH9" s="66" t="str">
        <f aca="false">IF(OR($D9="",$E9=""),"",IF(AND(AH$5&gt;=$D9,AH$5&lt;=$E9),IF(AH$5-$D9+1&lt;=ROUND(($E9-$D9+1)*$F9,0),2,IF(AH$5&lt;CFG_CurWeek,3,1)),""))</f>
        <v/>
      </c>
      <c r="AI9" s="66" t="str">
        <f aca="false">IF(OR($D9="",$E9=""),"",IF(AND(AI$5&gt;=$D9,AI$5&lt;=$E9),IF(AI$5-$D9+1&lt;=ROUND(($E9-$D9+1)*$F9,0),2,IF(AI$5&lt;CFG_CurWeek,3,1)),""))</f>
        <v/>
      </c>
      <c r="AJ9" s="66" t="str">
        <f aca="false">IF(OR($D9="",$E9=""),"",IF(AND(AJ$5&gt;=$D9,AJ$5&lt;=$E9),IF(AJ$5-$D9+1&lt;=ROUND(($E9-$D9+1)*$F9,0),2,IF(AJ$5&lt;CFG_CurWeek,3,1)),""))</f>
        <v/>
      </c>
      <c r="AK9" s="66" t="str">
        <f aca="false">IF(OR($D9="",$E9=""),"",IF(AND(AK$5&gt;=$D9,AK$5&lt;=$E9),IF(AK$5-$D9+1&lt;=ROUND(($E9-$D9+1)*$F9,0),2,IF(AK$5&lt;CFG_CurWeek,3,1)),""))</f>
        <v/>
      </c>
      <c r="AL9" s="66" t="str">
        <f aca="false">IF(OR($D9="",$E9=""),"",IF(AND(AL$5&gt;=$D9,AL$5&lt;=$E9),IF(AL$5-$D9+1&lt;=ROUND(($E9-$D9+1)*$F9,0),2,IF(AL$5&lt;CFG_CurWeek,3,1)),""))</f>
        <v/>
      </c>
      <c r="AM9" s="66" t="str">
        <f aca="false">IF(OR($D9="",$E9=""),"",IF(AND(AM$5&gt;=$D9,AM$5&lt;=$E9),IF(AM$5-$D9+1&lt;=ROUND(($E9-$D9+1)*$F9,0),2,IF(AM$5&lt;CFG_CurWeek,3,1)),""))</f>
        <v/>
      </c>
      <c r="AN9" s="66" t="str">
        <f aca="false">IF(OR($D9="",$E9=""),"",IF(AND(AN$5&gt;=$D9,AN$5&lt;=$E9),IF(AN$5-$D9+1&lt;=ROUND(($E9-$D9+1)*$F9,0),2,IF(AN$5&lt;CFG_CurWeek,3,1)),""))</f>
        <v/>
      </c>
      <c r="AO9" s="66" t="str">
        <f aca="false">IF(OR($D9="",$E9=""),"",IF(AND(AO$5&gt;=$D9,AO$5&lt;=$E9),IF(AO$5-$D9+1&lt;=ROUND(($E9-$D9+1)*$F9,0),2,IF(AO$5&lt;CFG_CurWeek,3,1)),""))</f>
        <v/>
      </c>
    </row>
    <row r="10" customFormat="false" ht="15" hidden="false" customHeight="false" outlineLevel="0" collapsed="false">
      <c r="A10" s="63" t="str">
        <f aca="false">IF('01_WBS &amp; Master Plan'!A7="","",'01_WBS &amp; Master Plan'!A7)</f>
        <v>0.3</v>
      </c>
      <c r="B10" s="64" t="str">
        <f aca="false">IF('01_WBS &amp; Master Plan'!D7="","",'01_WBS &amp; Master Plan'!D7)</f>
        <v>Học Git cơ bản; tạo repo GitHub 4TMusic (client/ + server/), README, .gitignore</v>
      </c>
      <c r="C10" s="63" t="str">
        <f aca="false">IF('01_WBS &amp; Master Plan'!E7="","",'01_WBS &amp; Master Plan'!E7)</f>
        <v>Nhật</v>
      </c>
      <c r="D10" s="63" t="n">
        <f aca="false">IF('01_WBS &amp; Master Plan'!H7="","",'01_WBS &amp; Master Plan'!H7)</f>
        <v>1</v>
      </c>
      <c r="E10" s="63" t="n">
        <f aca="false">IF('01_WBS &amp; Master Plan'!I7="","",'01_WBS &amp; Master Plan'!I7)</f>
        <v>2</v>
      </c>
      <c r="F10" s="65" t="n">
        <f aca="false">IF(B10="","",IF('01_WBS &amp; Master Plan'!K7="Done",1,IF('01_WBS &amp; Master Plan'!L7="",0,'01_WBS &amp; Master Plan'!L7)))</f>
        <v>0</v>
      </c>
      <c r="G10" s="63" t="str">
        <f aca="false">IF('01_WBS &amp; Master Plan'!K7="","",'01_WBS &amp; Master Plan'!K7)</f>
        <v>To Do</v>
      </c>
      <c r="H10" s="66" t="n">
        <f aca="false">IF(OR($D10="",$E10=""),"",IF(AND(H$5&gt;=$D10,H$5&lt;=$E10),IF(H$5-$D10+1&lt;=ROUND(($E10-$D10+1)*$F10,0),2,IF(H$5&lt;CFG_CurWeek,3,1)),""))</f>
        <v>1</v>
      </c>
      <c r="I10" s="66" t="n">
        <f aca="false">IF(OR($D10="",$E10=""),"",IF(AND(I$5&gt;=$D10,I$5&lt;=$E10),IF(I$5-$D10+1&lt;=ROUND(($E10-$D10+1)*$F10,0),2,IF(I$5&lt;CFG_CurWeek,3,1)),""))</f>
        <v>1</v>
      </c>
      <c r="J10" s="66" t="str">
        <f aca="false">IF(OR($D10="",$E10=""),"",IF(AND(J$5&gt;=$D10,J$5&lt;=$E10),IF(J$5-$D10+1&lt;=ROUND(($E10-$D10+1)*$F10,0),2,IF(J$5&lt;CFG_CurWeek,3,1)),""))</f>
        <v/>
      </c>
      <c r="K10" s="66" t="str">
        <f aca="false">IF(OR($D10="",$E10=""),"",IF(AND(K$5&gt;=$D10,K$5&lt;=$E10),IF(K$5-$D10+1&lt;=ROUND(($E10-$D10+1)*$F10,0),2,IF(K$5&lt;CFG_CurWeek,3,1)),""))</f>
        <v/>
      </c>
      <c r="L10" s="66" t="str">
        <f aca="false">IF(OR($D10="",$E10=""),"",IF(AND(L$5&gt;=$D10,L$5&lt;=$E10),IF(L$5-$D10+1&lt;=ROUND(($E10-$D10+1)*$F10,0),2,IF(L$5&lt;CFG_CurWeek,3,1)),""))</f>
        <v/>
      </c>
      <c r="M10" s="66" t="str">
        <f aca="false">IF(OR($D10="",$E10=""),"",IF(AND(M$5&gt;=$D10,M$5&lt;=$E10),IF(M$5-$D10+1&lt;=ROUND(($E10-$D10+1)*$F10,0),2,IF(M$5&lt;CFG_CurWeek,3,1)),""))</f>
        <v/>
      </c>
      <c r="N10" s="66" t="str">
        <f aca="false">IF(OR($D10="",$E10=""),"",IF(AND(N$5&gt;=$D10,N$5&lt;=$E10),IF(N$5-$D10+1&lt;=ROUND(($E10-$D10+1)*$F10,0),2,IF(N$5&lt;CFG_CurWeek,3,1)),""))</f>
        <v/>
      </c>
      <c r="O10" s="66" t="str">
        <f aca="false">IF(OR($D10="",$E10=""),"",IF(AND(O$5&gt;=$D10,O$5&lt;=$E10),IF(O$5-$D10+1&lt;=ROUND(($E10-$D10+1)*$F10,0),2,IF(O$5&lt;CFG_CurWeek,3,1)),""))</f>
        <v/>
      </c>
      <c r="P10" s="66" t="str">
        <f aca="false">IF(OR($D10="",$E10=""),"",IF(AND(P$5&gt;=$D10,P$5&lt;=$E10),IF(P$5-$D10+1&lt;=ROUND(($E10-$D10+1)*$F10,0),2,IF(P$5&lt;CFG_CurWeek,3,1)),""))</f>
        <v/>
      </c>
      <c r="Q10" s="66" t="str">
        <f aca="false">IF(OR($D10="",$E10=""),"",IF(AND(Q$5&gt;=$D10,Q$5&lt;=$E10),IF(Q$5-$D10+1&lt;=ROUND(($E10-$D10+1)*$F10,0),2,IF(Q$5&lt;CFG_CurWeek,3,1)),""))</f>
        <v/>
      </c>
      <c r="R10" s="66" t="str">
        <f aca="false">IF(OR($D10="",$E10=""),"",IF(AND(R$5&gt;=$D10,R$5&lt;=$E10),IF(R$5-$D10+1&lt;=ROUND(($E10-$D10+1)*$F10,0),2,IF(R$5&lt;CFG_CurWeek,3,1)),""))</f>
        <v/>
      </c>
      <c r="S10" s="66" t="str">
        <f aca="false">IF(OR($D10="",$E10=""),"",IF(AND(S$5&gt;=$D10,S$5&lt;=$E10),IF(S$5-$D10+1&lt;=ROUND(($E10-$D10+1)*$F10,0),2,IF(S$5&lt;CFG_CurWeek,3,1)),""))</f>
        <v/>
      </c>
      <c r="T10" s="66" t="str">
        <f aca="false">IF(OR($D10="",$E10=""),"",IF(AND(T$5&gt;=$D10,T$5&lt;=$E10),IF(T$5-$D10+1&lt;=ROUND(($E10-$D10+1)*$F10,0),2,IF(T$5&lt;CFG_CurWeek,3,1)),""))</f>
        <v/>
      </c>
      <c r="U10" s="66" t="str">
        <f aca="false">IF(OR($D10="",$E10=""),"",IF(AND(U$5&gt;=$D10,U$5&lt;=$E10),IF(U$5-$D10+1&lt;=ROUND(($E10-$D10+1)*$F10,0),2,IF(U$5&lt;CFG_CurWeek,3,1)),""))</f>
        <v/>
      </c>
      <c r="V10" s="66" t="str">
        <f aca="false">IF(OR($D10="",$E10=""),"",IF(AND(V$5&gt;=$D10,V$5&lt;=$E10),IF(V$5-$D10+1&lt;=ROUND(($E10-$D10+1)*$F10,0),2,IF(V$5&lt;CFG_CurWeek,3,1)),""))</f>
        <v/>
      </c>
      <c r="W10" s="66" t="str">
        <f aca="false">IF(OR($D10="",$E10=""),"",IF(AND(W$5&gt;=$D10,W$5&lt;=$E10),IF(W$5-$D10+1&lt;=ROUND(($E10-$D10+1)*$F10,0),2,IF(W$5&lt;CFG_CurWeek,3,1)),""))</f>
        <v/>
      </c>
      <c r="X10" s="66" t="str">
        <f aca="false">IF(OR($D10="",$E10=""),"",IF(AND(X$5&gt;=$D10,X$5&lt;=$E10),IF(X$5-$D10+1&lt;=ROUND(($E10-$D10+1)*$F10,0),2,IF(X$5&lt;CFG_CurWeek,3,1)),""))</f>
        <v/>
      </c>
      <c r="Y10" s="66" t="str">
        <f aca="false">IF(OR($D10="",$E10=""),"",IF(AND(Y$5&gt;=$D10,Y$5&lt;=$E10),IF(Y$5-$D10+1&lt;=ROUND(($E10-$D10+1)*$F10,0),2,IF(Y$5&lt;CFG_CurWeek,3,1)),""))</f>
        <v/>
      </c>
      <c r="Z10" s="66" t="str">
        <f aca="false">IF(OR($D10="",$E10=""),"",IF(AND(Z$5&gt;=$D10,Z$5&lt;=$E10),IF(Z$5-$D10+1&lt;=ROUND(($E10-$D10+1)*$F10,0),2,IF(Z$5&lt;CFG_CurWeek,3,1)),""))</f>
        <v/>
      </c>
      <c r="AA10" s="66" t="str">
        <f aca="false">IF(OR($D10="",$E10=""),"",IF(AND(AA$5&gt;=$D10,AA$5&lt;=$E10),IF(AA$5-$D10+1&lt;=ROUND(($E10-$D10+1)*$F10,0),2,IF(AA$5&lt;CFG_CurWeek,3,1)),""))</f>
        <v/>
      </c>
      <c r="AB10" s="66" t="str">
        <f aca="false">IF(OR($D10="",$E10=""),"",IF(AND(AB$5&gt;=$D10,AB$5&lt;=$E10),IF(AB$5-$D10+1&lt;=ROUND(($E10-$D10+1)*$F10,0),2,IF(AB$5&lt;CFG_CurWeek,3,1)),""))</f>
        <v/>
      </c>
      <c r="AC10" s="66" t="str">
        <f aca="false">IF(OR($D10="",$E10=""),"",IF(AND(AC$5&gt;=$D10,AC$5&lt;=$E10),IF(AC$5-$D10+1&lt;=ROUND(($E10-$D10+1)*$F10,0),2,IF(AC$5&lt;CFG_CurWeek,3,1)),""))</f>
        <v/>
      </c>
      <c r="AD10" s="66" t="str">
        <f aca="false">IF(OR($D10="",$E10=""),"",IF(AND(AD$5&gt;=$D10,AD$5&lt;=$E10),IF(AD$5-$D10+1&lt;=ROUND(($E10-$D10+1)*$F10,0),2,IF(AD$5&lt;CFG_CurWeek,3,1)),""))</f>
        <v/>
      </c>
      <c r="AE10" s="66" t="str">
        <f aca="false">IF(OR($D10="",$E10=""),"",IF(AND(AE$5&gt;=$D10,AE$5&lt;=$E10),IF(AE$5-$D10+1&lt;=ROUND(($E10-$D10+1)*$F10,0),2,IF(AE$5&lt;CFG_CurWeek,3,1)),""))</f>
        <v/>
      </c>
      <c r="AF10" s="66" t="str">
        <f aca="false">IF(OR($D10="",$E10=""),"",IF(AND(AF$5&gt;=$D10,AF$5&lt;=$E10),IF(AF$5-$D10+1&lt;=ROUND(($E10-$D10+1)*$F10,0),2,IF(AF$5&lt;CFG_CurWeek,3,1)),""))</f>
        <v/>
      </c>
      <c r="AG10" s="66" t="str">
        <f aca="false">IF(OR($D10="",$E10=""),"",IF(AND(AG$5&gt;=$D10,AG$5&lt;=$E10),IF(AG$5-$D10+1&lt;=ROUND(($E10-$D10+1)*$F10,0),2,IF(AG$5&lt;CFG_CurWeek,3,1)),""))</f>
        <v/>
      </c>
      <c r="AH10" s="66" t="str">
        <f aca="false">IF(OR($D10="",$E10=""),"",IF(AND(AH$5&gt;=$D10,AH$5&lt;=$E10),IF(AH$5-$D10+1&lt;=ROUND(($E10-$D10+1)*$F10,0),2,IF(AH$5&lt;CFG_CurWeek,3,1)),""))</f>
        <v/>
      </c>
      <c r="AI10" s="66" t="str">
        <f aca="false">IF(OR($D10="",$E10=""),"",IF(AND(AI$5&gt;=$D10,AI$5&lt;=$E10),IF(AI$5-$D10+1&lt;=ROUND(($E10-$D10+1)*$F10,0),2,IF(AI$5&lt;CFG_CurWeek,3,1)),""))</f>
        <v/>
      </c>
      <c r="AJ10" s="66" t="str">
        <f aca="false">IF(OR($D10="",$E10=""),"",IF(AND(AJ$5&gt;=$D10,AJ$5&lt;=$E10),IF(AJ$5-$D10+1&lt;=ROUND(($E10-$D10+1)*$F10,0),2,IF(AJ$5&lt;CFG_CurWeek,3,1)),""))</f>
        <v/>
      </c>
      <c r="AK10" s="66" t="str">
        <f aca="false">IF(OR($D10="",$E10=""),"",IF(AND(AK$5&gt;=$D10,AK$5&lt;=$E10),IF(AK$5-$D10+1&lt;=ROUND(($E10-$D10+1)*$F10,0),2,IF(AK$5&lt;CFG_CurWeek,3,1)),""))</f>
        <v/>
      </c>
      <c r="AL10" s="66" t="str">
        <f aca="false">IF(OR($D10="",$E10=""),"",IF(AND(AL$5&gt;=$D10,AL$5&lt;=$E10),IF(AL$5-$D10+1&lt;=ROUND(($E10-$D10+1)*$F10,0),2,IF(AL$5&lt;CFG_CurWeek,3,1)),""))</f>
        <v/>
      </c>
      <c r="AM10" s="66" t="str">
        <f aca="false">IF(OR($D10="",$E10=""),"",IF(AND(AM$5&gt;=$D10,AM$5&lt;=$E10),IF(AM$5-$D10+1&lt;=ROUND(($E10-$D10+1)*$F10,0),2,IF(AM$5&lt;CFG_CurWeek,3,1)),""))</f>
        <v/>
      </c>
      <c r="AN10" s="66" t="str">
        <f aca="false">IF(OR($D10="",$E10=""),"",IF(AND(AN$5&gt;=$D10,AN$5&lt;=$E10),IF(AN$5-$D10+1&lt;=ROUND(($E10-$D10+1)*$F10,0),2,IF(AN$5&lt;CFG_CurWeek,3,1)),""))</f>
        <v/>
      </c>
      <c r="AO10" s="66" t="str">
        <f aca="false">IF(OR($D10="",$E10=""),"",IF(AND(AO$5&gt;=$D10,AO$5&lt;=$E10),IF(AO$5-$D10+1&lt;=ROUND(($E10-$D10+1)*$F10,0),2,IF(AO$5&lt;CFG_CurWeek,3,1)),""))</f>
        <v/>
      </c>
    </row>
    <row r="11" customFormat="false" ht="15" hidden="false" customHeight="false" outlineLevel="0" collapsed="false">
      <c r="A11" s="63" t="str">
        <f aca="false">IF('01_WBS &amp; Master Plan'!A8="","",'01_WBS &amp; Master Plan'!A8)</f>
        <v>0.4</v>
      </c>
      <c r="B11" s="64" t="str">
        <f aca="false">IF('01_WBS &amp; Master Plan'!D8="","",'01_WBS &amp; Master Plan'!D8)</f>
        <v>Viết tài liệu yêu cầu rút gọn: tính năng, vai trò (Khách, User, Artist, Admin), phạm vi P1/P2</v>
      </c>
      <c r="C11" s="63" t="str">
        <f aca="false">IF('01_WBS &amp; Master Plan'!E8="","",'01_WBS &amp; Master Plan'!E8)</f>
        <v>Nhật</v>
      </c>
      <c r="D11" s="63" t="n">
        <f aca="false">IF('01_WBS &amp; Master Plan'!H8="","",'01_WBS &amp; Master Plan'!H8)</f>
        <v>2</v>
      </c>
      <c r="E11" s="63" t="n">
        <f aca="false">IF('01_WBS &amp; Master Plan'!I8="","",'01_WBS &amp; Master Plan'!I8)</f>
        <v>2</v>
      </c>
      <c r="F11" s="65" t="n">
        <f aca="false">IF(B11="","",IF('01_WBS &amp; Master Plan'!K8="Done",1,IF('01_WBS &amp; Master Plan'!L8="",0,'01_WBS &amp; Master Plan'!L8)))</f>
        <v>0</v>
      </c>
      <c r="G11" s="63" t="str">
        <f aca="false">IF('01_WBS &amp; Master Plan'!K8="","",'01_WBS &amp; Master Plan'!K8)</f>
        <v>To Do</v>
      </c>
      <c r="H11" s="66" t="str">
        <f aca="false">IF(OR($D11="",$E11=""),"",IF(AND(H$5&gt;=$D11,H$5&lt;=$E11),IF(H$5-$D11+1&lt;=ROUND(($E11-$D11+1)*$F11,0),2,IF(H$5&lt;CFG_CurWeek,3,1)),""))</f>
        <v/>
      </c>
      <c r="I11" s="66" t="n">
        <f aca="false">IF(OR($D11="",$E11=""),"",IF(AND(I$5&gt;=$D11,I$5&lt;=$E11),IF(I$5-$D11+1&lt;=ROUND(($E11-$D11+1)*$F11,0),2,IF(I$5&lt;CFG_CurWeek,3,1)),""))</f>
        <v>1</v>
      </c>
      <c r="J11" s="66" t="str">
        <f aca="false">IF(OR($D11="",$E11=""),"",IF(AND(J$5&gt;=$D11,J$5&lt;=$E11),IF(J$5-$D11+1&lt;=ROUND(($E11-$D11+1)*$F11,0),2,IF(J$5&lt;CFG_CurWeek,3,1)),""))</f>
        <v/>
      </c>
      <c r="K11" s="66" t="str">
        <f aca="false">IF(OR($D11="",$E11=""),"",IF(AND(K$5&gt;=$D11,K$5&lt;=$E11),IF(K$5-$D11+1&lt;=ROUND(($E11-$D11+1)*$F11,0),2,IF(K$5&lt;CFG_CurWeek,3,1)),""))</f>
        <v/>
      </c>
      <c r="L11" s="66" t="str">
        <f aca="false">IF(OR($D11="",$E11=""),"",IF(AND(L$5&gt;=$D11,L$5&lt;=$E11),IF(L$5-$D11+1&lt;=ROUND(($E11-$D11+1)*$F11,0),2,IF(L$5&lt;CFG_CurWeek,3,1)),""))</f>
        <v/>
      </c>
      <c r="M11" s="66" t="str">
        <f aca="false">IF(OR($D11="",$E11=""),"",IF(AND(M$5&gt;=$D11,M$5&lt;=$E11),IF(M$5-$D11+1&lt;=ROUND(($E11-$D11+1)*$F11,0),2,IF(M$5&lt;CFG_CurWeek,3,1)),""))</f>
        <v/>
      </c>
      <c r="N11" s="66" t="str">
        <f aca="false">IF(OR($D11="",$E11=""),"",IF(AND(N$5&gt;=$D11,N$5&lt;=$E11),IF(N$5-$D11+1&lt;=ROUND(($E11-$D11+1)*$F11,0),2,IF(N$5&lt;CFG_CurWeek,3,1)),""))</f>
        <v/>
      </c>
      <c r="O11" s="66" t="str">
        <f aca="false">IF(OR($D11="",$E11=""),"",IF(AND(O$5&gt;=$D11,O$5&lt;=$E11),IF(O$5-$D11+1&lt;=ROUND(($E11-$D11+1)*$F11,0),2,IF(O$5&lt;CFG_CurWeek,3,1)),""))</f>
        <v/>
      </c>
      <c r="P11" s="66" t="str">
        <f aca="false">IF(OR($D11="",$E11=""),"",IF(AND(P$5&gt;=$D11,P$5&lt;=$E11),IF(P$5-$D11+1&lt;=ROUND(($E11-$D11+1)*$F11,0),2,IF(P$5&lt;CFG_CurWeek,3,1)),""))</f>
        <v/>
      </c>
      <c r="Q11" s="66" t="str">
        <f aca="false">IF(OR($D11="",$E11=""),"",IF(AND(Q$5&gt;=$D11,Q$5&lt;=$E11),IF(Q$5-$D11+1&lt;=ROUND(($E11-$D11+1)*$F11,0),2,IF(Q$5&lt;CFG_CurWeek,3,1)),""))</f>
        <v/>
      </c>
      <c r="R11" s="66" t="str">
        <f aca="false">IF(OR($D11="",$E11=""),"",IF(AND(R$5&gt;=$D11,R$5&lt;=$E11),IF(R$5-$D11+1&lt;=ROUND(($E11-$D11+1)*$F11,0),2,IF(R$5&lt;CFG_CurWeek,3,1)),""))</f>
        <v/>
      </c>
      <c r="S11" s="66" t="str">
        <f aca="false">IF(OR($D11="",$E11=""),"",IF(AND(S$5&gt;=$D11,S$5&lt;=$E11),IF(S$5-$D11+1&lt;=ROUND(($E11-$D11+1)*$F11,0),2,IF(S$5&lt;CFG_CurWeek,3,1)),""))</f>
        <v/>
      </c>
      <c r="T11" s="66" t="str">
        <f aca="false">IF(OR($D11="",$E11=""),"",IF(AND(T$5&gt;=$D11,T$5&lt;=$E11),IF(T$5-$D11+1&lt;=ROUND(($E11-$D11+1)*$F11,0),2,IF(T$5&lt;CFG_CurWeek,3,1)),""))</f>
        <v/>
      </c>
      <c r="U11" s="66" t="str">
        <f aca="false">IF(OR($D11="",$E11=""),"",IF(AND(U$5&gt;=$D11,U$5&lt;=$E11),IF(U$5-$D11+1&lt;=ROUND(($E11-$D11+1)*$F11,0),2,IF(U$5&lt;CFG_CurWeek,3,1)),""))</f>
        <v/>
      </c>
      <c r="V11" s="66" t="str">
        <f aca="false">IF(OR($D11="",$E11=""),"",IF(AND(V$5&gt;=$D11,V$5&lt;=$E11),IF(V$5-$D11+1&lt;=ROUND(($E11-$D11+1)*$F11,0),2,IF(V$5&lt;CFG_CurWeek,3,1)),""))</f>
        <v/>
      </c>
      <c r="W11" s="66" t="str">
        <f aca="false">IF(OR($D11="",$E11=""),"",IF(AND(W$5&gt;=$D11,W$5&lt;=$E11),IF(W$5-$D11+1&lt;=ROUND(($E11-$D11+1)*$F11,0),2,IF(W$5&lt;CFG_CurWeek,3,1)),""))</f>
        <v/>
      </c>
      <c r="X11" s="66" t="str">
        <f aca="false">IF(OR($D11="",$E11=""),"",IF(AND(X$5&gt;=$D11,X$5&lt;=$E11),IF(X$5-$D11+1&lt;=ROUND(($E11-$D11+1)*$F11,0),2,IF(X$5&lt;CFG_CurWeek,3,1)),""))</f>
        <v/>
      </c>
      <c r="Y11" s="66" t="str">
        <f aca="false">IF(OR($D11="",$E11=""),"",IF(AND(Y$5&gt;=$D11,Y$5&lt;=$E11),IF(Y$5-$D11+1&lt;=ROUND(($E11-$D11+1)*$F11,0),2,IF(Y$5&lt;CFG_CurWeek,3,1)),""))</f>
        <v/>
      </c>
      <c r="Z11" s="66" t="str">
        <f aca="false">IF(OR($D11="",$E11=""),"",IF(AND(Z$5&gt;=$D11,Z$5&lt;=$E11),IF(Z$5-$D11+1&lt;=ROUND(($E11-$D11+1)*$F11,0),2,IF(Z$5&lt;CFG_CurWeek,3,1)),""))</f>
        <v/>
      </c>
      <c r="AA11" s="66" t="str">
        <f aca="false">IF(OR($D11="",$E11=""),"",IF(AND(AA$5&gt;=$D11,AA$5&lt;=$E11),IF(AA$5-$D11+1&lt;=ROUND(($E11-$D11+1)*$F11,0),2,IF(AA$5&lt;CFG_CurWeek,3,1)),""))</f>
        <v/>
      </c>
      <c r="AB11" s="66" t="str">
        <f aca="false">IF(OR($D11="",$E11=""),"",IF(AND(AB$5&gt;=$D11,AB$5&lt;=$E11),IF(AB$5-$D11+1&lt;=ROUND(($E11-$D11+1)*$F11,0),2,IF(AB$5&lt;CFG_CurWeek,3,1)),""))</f>
        <v/>
      </c>
      <c r="AC11" s="66" t="str">
        <f aca="false">IF(OR($D11="",$E11=""),"",IF(AND(AC$5&gt;=$D11,AC$5&lt;=$E11),IF(AC$5-$D11+1&lt;=ROUND(($E11-$D11+1)*$F11,0),2,IF(AC$5&lt;CFG_CurWeek,3,1)),""))</f>
        <v/>
      </c>
      <c r="AD11" s="66" t="str">
        <f aca="false">IF(OR($D11="",$E11=""),"",IF(AND(AD$5&gt;=$D11,AD$5&lt;=$E11),IF(AD$5-$D11+1&lt;=ROUND(($E11-$D11+1)*$F11,0),2,IF(AD$5&lt;CFG_CurWeek,3,1)),""))</f>
        <v/>
      </c>
      <c r="AE11" s="66" t="str">
        <f aca="false">IF(OR($D11="",$E11=""),"",IF(AND(AE$5&gt;=$D11,AE$5&lt;=$E11),IF(AE$5-$D11+1&lt;=ROUND(($E11-$D11+1)*$F11,0),2,IF(AE$5&lt;CFG_CurWeek,3,1)),""))</f>
        <v/>
      </c>
      <c r="AF11" s="66" t="str">
        <f aca="false">IF(OR($D11="",$E11=""),"",IF(AND(AF$5&gt;=$D11,AF$5&lt;=$E11),IF(AF$5-$D11+1&lt;=ROUND(($E11-$D11+1)*$F11,0),2,IF(AF$5&lt;CFG_CurWeek,3,1)),""))</f>
        <v/>
      </c>
      <c r="AG11" s="66" t="str">
        <f aca="false">IF(OR($D11="",$E11=""),"",IF(AND(AG$5&gt;=$D11,AG$5&lt;=$E11),IF(AG$5-$D11+1&lt;=ROUND(($E11-$D11+1)*$F11,0),2,IF(AG$5&lt;CFG_CurWeek,3,1)),""))</f>
        <v/>
      </c>
      <c r="AH11" s="66" t="str">
        <f aca="false">IF(OR($D11="",$E11=""),"",IF(AND(AH$5&gt;=$D11,AH$5&lt;=$E11),IF(AH$5-$D11+1&lt;=ROUND(($E11-$D11+1)*$F11,0),2,IF(AH$5&lt;CFG_CurWeek,3,1)),""))</f>
        <v/>
      </c>
      <c r="AI11" s="66" t="str">
        <f aca="false">IF(OR($D11="",$E11=""),"",IF(AND(AI$5&gt;=$D11,AI$5&lt;=$E11),IF(AI$5-$D11+1&lt;=ROUND(($E11-$D11+1)*$F11,0),2,IF(AI$5&lt;CFG_CurWeek,3,1)),""))</f>
        <v/>
      </c>
      <c r="AJ11" s="66" t="str">
        <f aca="false">IF(OR($D11="",$E11=""),"",IF(AND(AJ$5&gt;=$D11,AJ$5&lt;=$E11),IF(AJ$5-$D11+1&lt;=ROUND(($E11-$D11+1)*$F11,0),2,IF(AJ$5&lt;CFG_CurWeek,3,1)),""))</f>
        <v/>
      </c>
      <c r="AK11" s="66" t="str">
        <f aca="false">IF(OR($D11="",$E11=""),"",IF(AND(AK$5&gt;=$D11,AK$5&lt;=$E11),IF(AK$5-$D11+1&lt;=ROUND(($E11-$D11+1)*$F11,0),2,IF(AK$5&lt;CFG_CurWeek,3,1)),""))</f>
        <v/>
      </c>
      <c r="AL11" s="66" t="str">
        <f aca="false">IF(OR($D11="",$E11=""),"",IF(AND(AL$5&gt;=$D11,AL$5&lt;=$E11),IF(AL$5-$D11+1&lt;=ROUND(($E11-$D11+1)*$F11,0),2,IF(AL$5&lt;CFG_CurWeek,3,1)),""))</f>
        <v/>
      </c>
      <c r="AM11" s="66" t="str">
        <f aca="false">IF(OR($D11="",$E11=""),"",IF(AND(AM$5&gt;=$D11,AM$5&lt;=$E11),IF(AM$5-$D11+1&lt;=ROUND(($E11-$D11+1)*$F11,0),2,IF(AM$5&lt;CFG_CurWeek,3,1)),""))</f>
        <v/>
      </c>
      <c r="AN11" s="66" t="str">
        <f aca="false">IF(OR($D11="",$E11=""),"",IF(AND(AN$5&gt;=$D11,AN$5&lt;=$E11),IF(AN$5-$D11+1&lt;=ROUND(($E11-$D11+1)*$F11,0),2,IF(AN$5&lt;CFG_CurWeek,3,1)),""))</f>
        <v/>
      </c>
      <c r="AO11" s="66" t="str">
        <f aca="false">IF(OR($D11="",$E11=""),"",IF(AND(AO$5&gt;=$D11,AO$5&lt;=$E11),IF(AO$5-$D11+1&lt;=ROUND(($E11-$D11+1)*$F11,0),2,IF(AO$5&lt;CFG_CurWeek,3,1)),""))</f>
        <v/>
      </c>
    </row>
    <row r="12" customFormat="false" ht="15" hidden="false" customHeight="false" outlineLevel="0" collapsed="false">
      <c r="A12" s="63" t="str">
        <f aca="false">IF('01_WBS &amp; Master Plan'!A9="","",'01_WBS &amp; Master Plan'!A9)</f>
        <v>0.5</v>
      </c>
      <c r="B12" s="64" t="str">
        <f aca="false">IF('01_WBS &amp; Master Plan'!D9="","",'01_WBS &amp; Master Plan'!D9)</f>
        <v>Phác wireframe: Trang chủ, Tìm kiếm, Album, Nghệ sĩ, Playlist, Thư viện, Player bar, Now Playing</v>
      </c>
      <c r="C12" s="63" t="str">
        <f aca="false">IF('01_WBS &amp; Master Plan'!E9="","",'01_WBS &amp; Master Plan'!E9)</f>
        <v>Nhật</v>
      </c>
      <c r="D12" s="63" t="n">
        <f aca="false">IF('01_WBS &amp; Master Plan'!H9="","",'01_WBS &amp; Master Plan'!H9)</f>
        <v>2</v>
      </c>
      <c r="E12" s="63" t="n">
        <f aca="false">IF('01_WBS &amp; Master Plan'!I9="","",'01_WBS &amp; Master Plan'!I9)</f>
        <v>2</v>
      </c>
      <c r="F12" s="65" t="n">
        <f aca="false">IF(B12="","",IF('01_WBS &amp; Master Plan'!K9="Done",1,IF('01_WBS &amp; Master Plan'!L9="",0,'01_WBS &amp; Master Plan'!L9)))</f>
        <v>0</v>
      </c>
      <c r="G12" s="63" t="str">
        <f aca="false">IF('01_WBS &amp; Master Plan'!K9="","",'01_WBS &amp; Master Plan'!K9)</f>
        <v>To Do</v>
      </c>
      <c r="H12" s="66" t="str">
        <f aca="false">IF(OR($D12="",$E12=""),"",IF(AND(H$5&gt;=$D12,H$5&lt;=$E12),IF(H$5-$D12+1&lt;=ROUND(($E12-$D12+1)*$F12,0),2,IF(H$5&lt;CFG_CurWeek,3,1)),""))</f>
        <v/>
      </c>
      <c r="I12" s="66" t="n">
        <f aca="false">IF(OR($D12="",$E12=""),"",IF(AND(I$5&gt;=$D12,I$5&lt;=$E12),IF(I$5-$D12+1&lt;=ROUND(($E12-$D12+1)*$F12,0),2,IF(I$5&lt;CFG_CurWeek,3,1)),""))</f>
        <v>1</v>
      </c>
      <c r="J12" s="66" t="str">
        <f aca="false">IF(OR($D12="",$E12=""),"",IF(AND(J$5&gt;=$D12,J$5&lt;=$E12),IF(J$5-$D12+1&lt;=ROUND(($E12-$D12+1)*$F12,0),2,IF(J$5&lt;CFG_CurWeek,3,1)),""))</f>
        <v/>
      </c>
      <c r="K12" s="66" t="str">
        <f aca="false">IF(OR($D12="",$E12=""),"",IF(AND(K$5&gt;=$D12,K$5&lt;=$E12),IF(K$5-$D12+1&lt;=ROUND(($E12-$D12+1)*$F12,0),2,IF(K$5&lt;CFG_CurWeek,3,1)),""))</f>
        <v/>
      </c>
      <c r="L12" s="66" t="str">
        <f aca="false">IF(OR($D12="",$E12=""),"",IF(AND(L$5&gt;=$D12,L$5&lt;=$E12),IF(L$5-$D12+1&lt;=ROUND(($E12-$D12+1)*$F12,0),2,IF(L$5&lt;CFG_CurWeek,3,1)),""))</f>
        <v/>
      </c>
      <c r="M12" s="66" t="str">
        <f aca="false">IF(OR($D12="",$E12=""),"",IF(AND(M$5&gt;=$D12,M$5&lt;=$E12),IF(M$5-$D12+1&lt;=ROUND(($E12-$D12+1)*$F12,0),2,IF(M$5&lt;CFG_CurWeek,3,1)),""))</f>
        <v/>
      </c>
      <c r="N12" s="66" t="str">
        <f aca="false">IF(OR($D12="",$E12=""),"",IF(AND(N$5&gt;=$D12,N$5&lt;=$E12),IF(N$5-$D12+1&lt;=ROUND(($E12-$D12+1)*$F12,0),2,IF(N$5&lt;CFG_CurWeek,3,1)),""))</f>
        <v/>
      </c>
      <c r="O12" s="66" t="str">
        <f aca="false">IF(OR($D12="",$E12=""),"",IF(AND(O$5&gt;=$D12,O$5&lt;=$E12),IF(O$5-$D12+1&lt;=ROUND(($E12-$D12+1)*$F12,0),2,IF(O$5&lt;CFG_CurWeek,3,1)),""))</f>
        <v/>
      </c>
      <c r="P12" s="66" t="str">
        <f aca="false">IF(OR($D12="",$E12=""),"",IF(AND(P$5&gt;=$D12,P$5&lt;=$E12),IF(P$5-$D12+1&lt;=ROUND(($E12-$D12+1)*$F12,0),2,IF(P$5&lt;CFG_CurWeek,3,1)),""))</f>
        <v/>
      </c>
      <c r="Q12" s="66" t="str">
        <f aca="false">IF(OR($D12="",$E12=""),"",IF(AND(Q$5&gt;=$D12,Q$5&lt;=$E12),IF(Q$5-$D12+1&lt;=ROUND(($E12-$D12+1)*$F12,0),2,IF(Q$5&lt;CFG_CurWeek,3,1)),""))</f>
        <v/>
      </c>
      <c r="R12" s="66" t="str">
        <f aca="false">IF(OR($D12="",$E12=""),"",IF(AND(R$5&gt;=$D12,R$5&lt;=$E12),IF(R$5-$D12+1&lt;=ROUND(($E12-$D12+1)*$F12,0),2,IF(R$5&lt;CFG_CurWeek,3,1)),""))</f>
        <v/>
      </c>
      <c r="S12" s="66" t="str">
        <f aca="false">IF(OR($D12="",$E12=""),"",IF(AND(S$5&gt;=$D12,S$5&lt;=$E12),IF(S$5-$D12+1&lt;=ROUND(($E12-$D12+1)*$F12,0),2,IF(S$5&lt;CFG_CurWeek,3,1)),""))</f>
        <v/>
      </c>
      <c r="T12" s="66" t="str">
        <f aca="false">IF(OR($D12="",$E12=""),"",IF(AND(T$5&gt;=$D12,T$5&lt;=$E12),IF(T$5-$D12+1&lt;=ROUND(($E12-$D12+1)*$F12,0),2,IF(T$5&lt;CFG_CurWeek,3,1)),""))</f>
        <v/>
      </c>
      <c r="U12" s="66" t="str">
        <f aca="false">IF(OR($D12="",$E12=""),"",IF(AND(U$5&gt;=$D12,U$5&lt;=$E12),IF(U$5-$D12+1&lt;=ROUND(($E12-$D12+1)*$F12,0),2,IF(U$5&lt;CFG_CurWeek,3,1)),""))</f>
        <v/>
      </c>
      <c r="V12" s="66" t="str">
        <f aca="false">IF(OR($D12="",$E12=""),"",IF(AND(V$5&gt;=$D12,V$5&lt;=$E12),IF(V$5-$D12+1&lt;=ROUND(($E12-$D12+1)*$F12,0),2,IF(V$5&lt;CFG_CurWeek,3,1)),""))</f>
        <v/>
      </c>
      <c r="W12" s="66" t="str">
        <f aca="false">IF(OR($D12="",$E12=""),"",IF(AND(W$5&gt;=$D12,W$5&lt;=$E12),IF(W$5-$D12+1&lt;=ROUND(($E12-$D12+1)*$F12,0),2,IF(W$5&lt;CFG_CurWeek,3,1)),""))</f>
        <v/>
      </c>
      <c r="X12" s="66" t="str">
        <f aca="false">IF(OR($D12="",$E12=""),"",IF(AND(X$5&gt;=$D12,X$5&lt;=$E12),IF(X$5-$D12+1&lt;=ROUND(($E12-$D12+1)*$F12,0),2,IF(X$5&lt;CFG_CurWeek,3,1)),""))</f>
        <v/>
      </c>
      <c r="Y12" s="66" t="str">
        <f aca="false">IF(OR($D12="",$E12=""),"",IF(AND(Y$5&gt;=$D12,Y$5&lt;=$E12),IF(Y$5-$D12+1&lt;=ROUND(($E12-$D12+1)*$F12,0),2,IF(Y$5&lt;CFG_CurWeek,3,1)),""))</f>
        <v/>
      </c>
      <c r="Z12" s="66" t="str">
        <f aca="false">IF(OR($D12="",$E12=""),"",IF(AND(Z$5&gt;=$D12,Z$5&lt;=$E12),IF(Z$5-$D12+1&lt;=ROUND(($E12-$D12+1)*$F12,0),2,IF(Z$5&lt;CFG_CurWeek,3,1)),""))</f>
        <v/>
      </c>
      <c r="AA12" s="66" t="str">
        <f aca="false">IF(OR($D12="",$E12=""),"",IF(AND(AA$5&gt;=$D12,AA$5&lt;=$E12),IF(AA$5-$D12+1&lt;=ROUND(($E12-$D12+1)*$F12,0),2,IF(AA$5&lt;CFG_CurWeek,3,1)),""))</f>
        <v/>
      </c>
      <c r="AB12" s="66" t="str">
        <f aca="false">IF(OR($D12="",$E12=""),"",IF(AND(AB$5&gt;=$D12,AB$5&lt;=$E12),IF(AB$5-$D12+1&lt;=ROUND(($E12-$D12+1)*$F12,0),2,IF(AB$5&lt;CFG_CurWeek,3,1)),""))</f>
        <v/>
      </c>
      <c r="AC12" s="66" t="str">
        <f aca="false">IF(OR($D12="",$E12=""),"",IF(AND(AC$5&gt;=$D12,AC$5&lt;=$E12),IF(AC$5-$D12+1&lt;=ROUND(($E12-$D12+1)*$F12,0),2,IF(AC$5&lt;CFG_CurWeek,3,1)),""))</f>
        <v/>
      </c>
      <c r="AD12" s="66" t="str">
        <f aca="false">IF(OR($D12="",$E12=""),"",IF(AND(AD$5&gt;=$D12,AD$5&lt;=$E12),IF(AD$5-$D12+1&lt;=ROUND(($E12-$D12+1)*$F12,0),2,IF(AD$5&lt;CFG_CurWeek,3,1)),""))</f>
        <v/>
      </c>
      <c r="AE12" s="66" t="str">
        <f aca="false">IF(OR($D12="",$E12=""),"",IF(AND(AE$5&gt;=$D12,AE$5&lt;=$E12),IF(AE$5-$D12+1&lt;=ROUND(($E12-$D12+1)*$F12,0),2,IF(AE$5&lt;CFG_CurWeek,3,1)),""))</f>
        <v/>
      </c>
      <c r="AF12" s="66" t="str">
        <f aca="false">IF(OR($D12="",$E12=""),"",IF(AND(AF$5&gt;=$D12,AF$5&lt;=$E12),IF(AF$5-$D12+1&lt;=ROUND(($E12-$D12+1)*$F12,0),2,IF(AF$5&lt;CFG_CurWeek,3,1)),""))</f>
        <v/>
      </c>
      <c r="AG12" s="66" t="str">
        <f aca="false">IF(OR($D12="",$E12=""),"",IF(AND(AG$5&gt;=$D12,AG$5&lt;=$E12),IF(AG$5-$D12+1&lt;=ROUND(($E12-$D12+1)*$F12,0),2,IF(AG$5&lt;CFG_CurWeek,3,1)),""))</f>
        <v/>
      </c>
      <c r="AH12" s="66" t="str">
        <f aca="false">IF(OR($D12="",$E12=""),"",IF(AND(AH$5&gt;=$D12,AH$5&lt;=$E12),IF(AH$5-$D12+1&lt;=ROUND(($E12-$D12+1)*$F12,0),2,IF(AH$5&lt;CFG_CurWeek,3,1)),""))</f>
        <v/>
      </c>
      <c r="AI12" s="66" t="str">
        <f aca="false">IF(OR($D12="",$E12=""),"",IF(AND(AI$5&gt;=$D12,AI$5&lt;=$E12),IF(AI$5-$D12+1&lt;=ROUND(($E12-$D12+1)*$F12,0),2,IF(AI$5&lt;CFG_CurWeek,3,1)),""))</f>
        <v/>
      </c>
      <c r="AJ12" s="66" t="str">
        <f aca="false">IF(OR($D12="",$E12=""),"",IF(AND(AJ$5&gt;=$D12,AJ$5&lt;=$E12),IF(AJ$5-$D12+1&lt;=ROUND(($E12-$D12+1)*$F12,0),2,IF(AJ$5&lt;CFG_CurWeek,3,1)),""))</f>
        <v/>
      </c>
      <c r="AK12" s="66" t="str">
        <f aca="false">IF(OR($D12="",$E12=""),"",IF(AND(AK$5&gt;=$D12,AK$5&lt;=$E12),IF(AK$5-$D12+1&lt;=ROUND(($E12-$D12+1)*$F12,0),2,IF(AK$5&lt;CFG_CurWeek,3,1)),""))</f>
        <v/>
      </c>
      <c r="AL12" s="66" t="str">
        <f aca="false">IF(OR($D12="",$E12=""),"",IF(AND(AL$5&gt;=$D12,AL$5&lt;=$E12),IF(AL$5-$D12+1&lt;=ROUND(($E12-$D12+1)*$F12,0),2,IF(AL$5&lt;CFG_CurWeek,3,1)),""))</f>
        <v/>
      </c>
      <c r="AM12" s="66" t="str">
        <f aca="false">IF(OR($D12="",$E12=""),"",IF(AND(AM$5&gt;=$D12,AM$5&lt;=$E12),IF(AM$5-$D12+1&lt;=ROUND(($E12-$D12+1)*$F12,0),2,IF(AM$5&lt;CFG_CurWeek,3,1)),""))</f>
        <v/>
      </c>
      <c r="AN12" s="66" t="str">
        <f aca="false">IF(OR($D12="",$E12=""),"",IF(AND(AN$5&gt;=$D12,AN$5&lt;=$E12),IF(AN$5-$D12+1&lt;=ROUND(($E12-$D12+1)*$F12,0),2,IF(AN$5&lt;CFG_CurWeek,3,1)),""))</f>
        <v/>
      </c>
      <c r="AO12" s="66" t="str">
        <f aca="false">IF(OR($D12="",$E12=""),"",IF(AND(AO$5&gt;=$D12,AO$5&lt;=$E12),IF(AO$5-$D12+1&lt;=ROUND(($E12-$D12+1)*$F12,0),2,IF(AO$5&lt;CFG_CurWeek,3,1)),""))</f>
        <v/>
      </c>
    </row>
    <row r="13" customFormat="false" ht="15" hidden="false" customHeight="false" outlineLevel="0" collapsed="false">
      <c r="A13" s="63" t="str">
        <f aca="false">IF('01_WBS &amp; Master Plan'!A10="","",'01_WBS &amp; Master Plan'!A10)</f>
        <v>0.6</v>
      </c>
      <c r="B13" s="64" t="str">
        <f aca="false">IF('01_WBS &amp; Master Plan'!D10="","",'01_WBS &amp; Master Plan'!D10)</f>
        <v>Chốt nguồn nhạc hợp pháp: đăng ký Jamendo API, tải 20–30 bài Creative Commons, lập bảng giấy phép</v>
      </c>
      <c r="C13" s="63" t="str">
        <f aca="false">IF('01_WBS &amp; Master Plan'!E10="","",'01_WBS &amp; Master Plan'!E10)</f>
        <v>Nhật</v>
      </c>
      <c r="D13" s="63" t="n">
        <f aca="false">IF('01_WBS &amp; Master Plan'!H10="","",'01_WBS &amp; Master Plan'!H10)</f>
        <v>2</v>
      </c>
      <c r="E13" s="63" t="n">
        <f aca="false">IF('01_WBS &amp; Master Plan'!I10="","",'01_WBS &amp; Master Plan'!I10)</f>
        <v>2</v>
      </c>
      <c r="F13" s="65" t="n">
        <f aca="false">IF(B13="","",IF('01_WBS &amp; Master Plan'!K10="Done",1,IF('01_WBS &amp; Master Plan'!L10="",0,'01_WBS &amp; Master Plan'!L10)))</f>
        <v>0</v>
      </c>
      <c r="G13" s="63" t="str">
        <f aca="false">IF('01_WBS &amp; Master Plan'!K10="","",'01_WBS &amp; Master Plan'!K10)</f>
        <v>To Do</v>
      </c>
      <c r="H13" s="66" t="str">
        <f aca="false">IF(OR($D13="",$E13=""),"",IF(AND(H$5&gt;=$D13,H$5&lt;=$E13),IF(H$5-$D13+1&lt;=ROUND(($E13-$D13+1)*$F13,0),2,IF(H$5&lt;CFG_CurWeek,3,1)),""))</f>
        <v/>
      </c>
      <c r="I13" s="66" t="n">
        <f aca="false">IF(OR($D13="",$E13=""),"",IF(AND(I$5&gt;=$D13,I$5&lt;=$E13),IF(I$5-$D13+1&lt;=ROUND(($E13-$D13+1)*$F13,0),2,IF(I$5&lt;CFG_CurWeek,3,1)),""))</f>
        <v>1</v>
      </c>
      <c r="J13" s="66" t="str">
        <f aca="false">IF(OR($D13="",$E13=""),"",IF(AND(J$5&gt;=$D13,J$5&lt;=$E13),IF(J$5-$D13+1&lt;=ROUND(($E13-$D13+1)*$F13,0),2,IF(J$5&lt;CFG_CurWeek,3,1)),""))</f>
        <v/>
      </c>
      <c r="K13" s="66" t="str">
        <f aca="false">IF(OR($D13="",$E13=""),"",IF(AND(K$5&gt;=$D13,K$5&lt;=$E13),IF(K$5-$D13+1&lt;=ROUND(($E13-$D13+1)*$F13,0),2,IF(K$5&lt;CFG_CurWeek,3,1)),""))</f>
        <v/>
      </c>
      <c r="L13" s="66" t="str">
        <f aca="false">IF(OR($D13="",$E13=""),"",IF(AND(L$5&gt;=$D13,L$5&lt;=$E13),IF(L$5-$D13+1&lt;=ROUND(($E13-$D13+1)*$F13,0),2,IF(L$5&lt;CFG_CurWeek,3,1)),""))</f>
        <v/>
      </c>
      <c r="M13" s="66" t="str">
        <f aca="false">IF(OR($D13="",$E13=""),"",IF(AND(M$5&gt;=$D13,M$5&lt;=$E13),IF(M$5-$D13+1&lt;=ROUND(($E13-$D13+1)*$F13,0),2,IF(M$5&lt;CFG_CurWeek,3,1)),""))</f>
        <v/>
      </c>
      <c r="N13" s="66" t="str">
        <f aca="false">IF(OR($D13="",$E13=""),"",IF(AND(N$5&gt;=$D13,N$5&lt;=$E13),IF(N$5-$D13+1&lt;=ROUND(($E13-$D13+1)*$F13,0),2,IF(N$5&lt;CFG_CurWeek,3,1)),""))</f>
        <v/>
      </c>
      <c r="O13" s="66" t="str">
        <f aca="false">IF(OR($D13="",$E13=""),"",IF(AND(O$5&gt;=$D13,O$5&lt;=$E13),IF(O$5-$D13+1&lt;=ROUND(($E13-$D13+1)*$F13,0),2,IF(O$5&lt;CFG_CurWeek,3,1)),""))</f>
        <v/>
      </c>
      <c r="P13" s="66" t="str">
        <f aca="false">IF(OR($D13="",$E13=""),"",IF(AND(P$5&gt;=$D13,P$5&lt;=$E13),IF(P$5-$D13+1&lt;=ROUND(($E13-$D13+1)*$F13,0),2,IF(P$5&lt;CFG_CurWeek,3,1)),""))</f>
        <v/>
      </c>
      <c r="Q13" s="66" t="str">
        <f aca="false">IF(OR($D13="",$E13=""),"",IF(AND(Q$5&gt;=$D13,Q$5&lt;=$E13),IF(Q$5-$D13+1&lt;=ROUND(($E13-$D13+1)*$F13,0),2,IF(Q$5&lt;CFG_CurWeek,3,1)),""))</f>
        <v/>
      </c>
      <c r="R13" s="66" t="str">
        <f aca="false">IF(OR($D13="",$E13=""),"",IF(AND(R$5&gt;=$D13,R$5&lt;=$E13),IF(R$5-$D13+1&lt;=ROUND(($E13-$D13+1)*$F13,0),2,IF(R$5&lt;CFG_CurWeek,3,1)),""))</f>
        <v/>
      </c>
      <c r="S13" s="66" t="str">
        <f aca="false">IF(OR($D13="",$E13=""),"",IF(AND(S$5&gt;=$D13,S$5&lt;=$E13),IF(S$5-$D13+1&lt;=ROUND(($E13-$D13+1)*$F13,0),2,IF(S$5&lt;CFG_CurWeek,3,1)),""))</f>
        <v/>
      </c>
      <c r="T13" s="66" t="str">
        <f aca="false">IF(OR($D13="",$E13=""),"",IF(AND(T$5&gt;=$D13,T$5&lt;=$E13),IF(T$5-$D13+1&lt;=ROUND(($E13-$D13+1)*$F13,0),2,IF(T$5&lt;CFG_CurWeek,3,1)),""))</f>
        <v/>
      </c>
      <c r="U13" s="66" t="str">
        <f aca="false">IF(OR($D13="",$E13=""),"",IF(AND(U$5&gt;=$D13,U$5&lt;=$E13),IF(U$5-$D13+1&lt;=ROUND(($E13-$D13+1)*$F13,0),2,IF(U$5&lt;CFG_CurWeek,3,1)),""))</f>
        <v/>
      </c>
      <c r="V13" s="66" t="str">
        <f aca="false">IF(OR($D13="",$E13=""),"",IF(AND(V$5&gt;=$D13,V$5&lt;=$E13),IF(V$5-$D13+1&lt;=ROUND(($E13-$D13+1)*$F13,0),2,IF(V$5&lt;CFG_CurWeek,3,1)),""))</f>
        <v/>
      </c>
      <c r="W13" s="66" t="str">
        <f aca="false">IF(OR($D13="",$E13=""),"",IF(AND(W$5&gt;=$D13,W$5&lt;=$E13),IF(W$5-$D13+1&lt;=ROUND(($E13-$D13+1)*$F13,0),2,IF(W$5&lt;CFG_CurWeek,3,1)),""))</f>
        <v/>
      </c>
      <c r="X13" s="66" t="str">
        <f aca="false">IF(OR($D13="",$E13=""),"",IF(AND(X$5&gt;=$D13,X$5&lt;=$E13),IF(X$5-$D13+1&lt;=ROUND(($E13-$D13+1)*$F13,0),2,IF(X$5&lt;CFG_CurWeek,3,1)),""))</f>
        <v/>
      </c>
      <c r="Y13" s="66" t="str">
        <f aca="false">IF(OR($D13="",$E13=""),"",IF(AND(Y$5&gt;=$D13,Y$5&lt;=$E13),IF(Y$5-$D13+1&lt;=ROUND(($E13-$D13+1)*$F13,0),2,IF(Y$5&lt;CFG_CurWeek,3,1)),""))</f>
        <v/>
      </c>
      <c r="Z13" s="66" t="str">
        <f aca="false">IF(OR($D13="",$E13=""),"",IF(AND(Z$5&gt;=$D13,Z$5&lt;=$E13),IF(Z$5-$D13+1&lt;=ROUND(($E13-$D13+1)*$F13,0),2,IF(Z$5&lt;CFG_CurWeek,3,1)),""))</f>
        <v/>
      </c>
      <c r="AA13" s="66" t="str">
        <f aca="false">IF(OR($D13="",$E13=""),"",IF(AND(AA$5&gt;=$D13,AA$5&lt;=$E13),IF(AA$5-$D13+1&lt;=ROUND(($E13-$D13+1)*$F13,0),2,IF(AA$5&lt;CFG_CurWeek,3,1)),""))</f>
        <v/>
      </c>
      <c r="AB13" s="66" t="str">
        <f aca="false">IF(OR($D13="",$E13=""),"",IF(AND(AB$5&gt;=$D13,AB$5&lt;=$E13),IF(AB$5-$D13+1&lt;=ROUND(($E13-$D13+1)*$F13,0),2,IF(AB$5&lt;CFG_CurWeek,3,1)),""))</f>
        <v/>
      </c>
      <c r="AC13" s="66" t="str">
        <f aca="false">IF(OR($D13="",$E13=""),"",IF(AND(AC$5&gt;=$D13,AC$5&lt;=$E13),IF(AC$5-$D13+1&lt;=ROUND(($E13-$D13+1)*$F13,0),2,IF(AC$5&lt;CFG_CurWeek,3,1)),""))</f>
        <v/>
      </c>
      <c r="AD13" s="66" t="str">
        <f aca="false">IF(OR($D13="",$E13=""),"",IF(AND(AD$5&gt;=$D13,AD$5&lt;=$E13),IF(AD$5-$D13+1&lt;=ROUND(($E13-$D13+1)*$F13,0),2,IF(AD$5&lt;CFG_CurWeek,3,1)),""))</f>
        <v/>
      </c>
      <c r="AE13" s="66" t="str">
        <f aca="false">IF(OR($D13="",$E13=""),"",IF(AND(AE$5&gt;=$D13,AE$5&lt;=$E13),IF(AE$5-$D13+1&lt;=ROUND(($E13-$D13+1)*$F13,0),2,IF(AE$5&lt;CFG_CurWeek,3,1)),""))</f>
        <v/>
      </c>
      <c r="AF13" s="66" t="str">
        <f aca="false">IF(OR($D13="",$E13=""),"",IF(AND(AF$5&gt;=$D13,AF$5&lt;=$E13),IF(AF$5-$D13+1&lt;=ROUND(($E13-$D13+1)*$F13,0),2,IF(AF$5&lt;CFG_CurWeek,3,1)),""))</f>
        <v/>
      </c>
      <c r="AG13" s="66" t="str">
        <f aca="false">IF(OR($D13="",$E13=""),"",IF(AND(AG$5&gt;=$D13,AG$5&lt;=$E13),IF(AG$5-$D13+1&lt;=ROUND(($E13-$D13+1)*$F13,0),2,IF(AG$5&lt;CFG_CurWeek,3,1)),""))</f>
        <v/>
      </c>
      <c r="AH13" s="66" t="str">
        <f aca="false">IF(OR($D13="",$E13=""),"",IF(AND(AH$5&gt;=$D13,AH$5&lt;=$E13),IF(AH$5-$D13+1&lt;=ROUND(($E13-$D13+1)*$F13,0),2,IF(AH$5&lt;CFG_CurWeek,3,1)),""))</f>
        <v/>
      </c>
      <c r="AI13" s="66" t="str">
        <f aca="false">IF(OR($D13="",$E13=""),"",IF(AND(AI$5&gt;=$D13,AI$5&lt;=$E13),IF(AI$5-$D13+1&lt;=ROUND(($E13-$D13+1)*$F13,0),2,IF(AI$5&lt;CFG_CurWeek,3,1)),""))</f>
        <v/>
      </c>
      <c r="AJ13" s="66" t="str">
        <f aca="false">IF(OR($D13="",$E13=""),"",IF(AND(AJ$5&gt;=$D13,AJ$5&lt;=$E13),IF(AJ$5-$D13+1&lt;=ROUND(($E13-$D13+1)*$F13,0),2,IF(AJ$5&lt;CFG_CurWeek,3,1)),""))</f>
        <v/>
      </c>
      <c r="AK13" s="66" t="str">
        <f aca="false">IF(OR($D13="",$E13=""),"",IF(AND(AK$5&gt;=$D13,AK$5&lt;=$E13),IF(AK$5-$D13+1&lt;=ROUND(($E13-$D13+1)*$F13,0),2,IF(AK$5&lt;CFG_CurWeek,3,1)),""))</f>
        <v/>
      </c>
      <c r="AL13" s="66" t="str">
        <f aca="false">IF(OR($D13="",$E13=""),"",IF(AND(AL$5&gt;=$D13,AL$5&lt;=$E13),IF(AL$5-$D13+1&lt;=ROUND(($E13-$D13+1)*$F13,0),2,IF(AL$5&lt;CFG_CurWeek,3,1)),""))</f>
        <v/>
      </c>
      <c r="AM13" s="66" t="str">
        <f aca="false">IF(OR($D13="",$E13=""),"",IF(AND(AM$5&gt;=$D13,AM$5&lt;=$E13),IF(AM$5-$D13+1&lt;=ROUND(($E13-$D13+1)*$F13,0),2,IF(AM$5&lt;CFG_CurWeek,3,1)),""))</f>
        <v/>
      </c>
      <c r="AN13" s="66" t="str">
        <f aca="false">IF(OR($D13="",$E13=""),"",IF(AND(AN$5&gt;=$D13,AN$5&lt;=$E13),IF(AN$5-$D13+1&lt;=ROUND(($E13-$D13+1)*$F13,0),2,IF(AN$5&lt;CFG_CurWeek,3,1)),""))</f>
        <v/>
      </c>
      <c r="AO13" s="66" t="str">
        <f aca="false">IF(OR($D13="",$E13=""),"",IF(AND(AO$5&gt;=$D13,AO$5&lt;=$E13),IF(AO$5-$D13+1&lt;=ROUND(($E13-$D13+1)*$F13,0),2,IF(AO$5&lt;CFG_CurWeek,3,1)),""))</f>
        <v/>
      </c>
    </row>
    <row r="14" customFormat="false" ht="15" hidden="false" customHeight="false" outlineLevel="0" collapsed="false">
      <c r="A14" s="63" t="str">
        <f aca="false">IF('01_WBS &amp; Master Plan'!A11="","",'01_WBS &amp; Master Plan'!A11)</f>
        <v>1.1</v>
      </c>
      <c r="B14" s="64" t="str">
        <f aca="false">IF('01_WBS &amp; Master Plan'!D11="","",'01_WBS &amp; Master Plan'!D11)</f>
        <v>Học HTML ngữ nghĩa &amp; CSS cơ bản (selector, box model, đơn vị)</v>
      </c>
      <c r="C14" s="63" t="str">
        <f aca="false">IF('01_WBS &amp; Master Plan'!E11="","",'01_WBS &amp; Master Plan'!E11)</f>
        <v>Nhật</v>
      </c>
      <c r="D14" s="63" t="n">
        <f aca="false">IF('01_WBS &amp; Master Plan'!H11="","",'01_WBS &amp; Master Plan'!H11)</f>
        <v>3</v>
      </c>
      <c r="E14" s="63" t="n">
        <f aca="false">IF('01_WBS &amp; Master Plan'!I11="","",'01_WBS &amp; Master Plan'!I11)</f>
        <v>3</v>
      </c>
      <c r="F14" s="65" t="n">
        <f aca="false">IF(B14="","",IF('01_WBS &amp; Master Plan'!K11="Done",1,IF('01_WBS &amp; Master Plan'!L11="",0,'01_WBS &amp; Master Plan'!L11)))</f>
        <v>0</v>
      </c>
      <c r="G14" s="63" t="str">
        <f aca="false">IF('01_WBS &amp; Master Plan'!K11="","",'01_WBS &amp; Master Plan'!K11)</f>
        <v>To Do</v>
      </c>
      <c r="H14" s="66" t="str">
        <f aca="false">IF(OR($D14="",$E14=""),"",IF(AND(H$5&gt;=$D14,H$5&lt;=$E14),IF(H$5-$D14+1&lt;=ROUND(($E14-$D14+1)*$F14,0),2,IF(H$5&lt;CFG_CurWeek,3,1)),""))</f>
        <v/>
      </c>
      <c r="I14" s="66" t="str">
        <f aca="false">IF(OR($D14="",$E14=""),"",IF(AND(I$5&gt;=$D14,I$5&lt;=$E14),IF(I$5-$D14+1&lt;=ROUND(($E14-$D14+1)*$F14,0),2,IF(I$5&lt;CFG_CurWeek,3,1)),""))</f>
        <v/>
      </c>
      <c r="J14" s="66" t="n">
        <f aca="false">IF(OR($D14="",$E14=""),"",IF(AND(J$5&gt;=$D14,J$5&lt;=$E14),IF(J$5-$D14+1&lt;=ROUND(($E14-$D14+1)*$F14,0),2,IF(J$5&lt;CFG_CurWeek,3,1)),""))</f>
        <v>1</v>
      </c>
      <c r="K14" s="66" t="str">
        <f aca="false">IF(OR($D14="",$E14=""),"",IF(AND(K$5&gt;=$D14,K$5&lt;=$E14),IF(K$5-$D14+1&lt;=ROUND(($E14-$D14+1)*$F14,0),2,IF(K$5&lt;CFG_CurWeek,3,1)),""))</f>
        <v/>
      </c>
      <c r="L14" s="66" t="str">
        <f aca="false">IF(OR($D14="",$E14=""),"",IF(AND(L$5&gt;=$D14,L$5&lt;=$E14),IF(L$5-$D14+1&lt;=ROUND(($E14-$D14+1)*$F14,0),2,IF(L$5&lt;CFG_CurWeek,3,1)),""))</f>
        <v/>
      </c>
      <c r="M14" s="66" t="str">
        <f aca="false">IF(OR($D14="",$E14=""),"",IF(AND(M$5&gt;=$D14,M$5&lt;=$E14),IF(M$5-$D14+1&lt;=ROUND(($E14-$D14+1)*$F14,0),2,IF(M$5&lt;CFG_CurWeek,3,1)),""))</f>
        <v/>
      </c>
      <c r="N14" s="66" t="str">
        <f aca="false">IF(OR($D14="",$E14=""),"",IF(AND(N$5&gt;=$D14,N$5&lt;=$E14),IF(N$5-$D14+1&lt;=ROUND(($E14-$D14+1)*$F14,0),2,IF(N$5&lt;CFG_CurWeek,3,1)),""))</f>
        <v/>
      </c>
      <c r="O14" s="66" t="str">
        <f aca="false">IF(OR($D14="",$E14=""),"",IF(AND(O$5&gt;=$D14,O$5&lt;=$E14),IF(O$5-$D14+1&lt;=ROUND(($E14-$D14+1)*$F14,0),2,IF(O$5&lt;CFG_CurWeek,3,1)),""))</f>
        <v/>
      </c>
      <c r="P14" s="66" t="str">
        <f aca="false">IF(OR($D14="",$E14=""),"",IF(AND(P$5&gt;=$D14,P$5&lt;=$E14),IF(P$5-$D14+1&lt;=ROUND(($E14-$D14+1)*$F14,0),2,IF(P$5&lt;CFG_CurWeek,3,1)),""))</f>
        <v/>
      </c>
      <c r="Q14" s="66" t="str">
        <f aca="false">IF(OR($D14="",$E14=""),"",IF(AND(Q$5&gt;=$D14,Q$5&lt;=$E14),IF(Q$5-$D14+1&lt;=ROUND(($E14-$D14+1)*$F14,0),2,IF(Q$5&lt;CFG_CurWeek,3,1)),""))</f>
        <v/>
      </c>
      <c r="R14" s="66" t="str">
        <f aca="false">IF(OR($D14="",$E14=""),"",IF(AND(R$5&gt;=$D14,R$5&lt;=$E14),IF(R$5-$D14+1&lt;=ROUND(($E14-$D14+1)*$F14,0),2,IF(R$5&lt;CFG_CurWeek,3,1)),""))</f>
        <v/>
      </c>
      <c r="S14" s="66" t="str">
        <f aca="false">IF(OR($D14="",$E14=""),"",IF(AND(S$5&gt;=$D14,S$5&lt;=$E14),IF(S$5-$D14+1&lt;=ROUND(($E14-$D14+1)*$F14,0),2,IF(S$5&lt;CFG_CurWeek,3,1)),""))</f>
        <v/>
      </c>
      <c r="T14" s="66" t="str">
        <f aca="false">IF(OR($D14="",$E14=""),"",IF(AND(T$5&gt;=$D14,T$5&lt;=$E14),IF(T$5-$D14+1&lt;=ROUND(($E14-$D14+1)*$F14,0),2,IF(T$5&lt;CFG_CurWeek,3,1)),""))</f>
        <v/>
      </c>
      <c r="U14" s="66" t="str">
        <f aca="false">IF(OR($D14="",$E14=""),"",IF(AND(U$5&gt;=$D14,U$5&lt;=$E14),IF(U$5-$D14+1&lt;=ROUND(($E14-$D14+1)*$F14,0),2,IF(U$5&lt;CFG_CurWeek,3,1)),""))</f>
        <v/>
      </c>
      <c r="V14" s="66" t="str">
        <f aca="false">IF(OR($D14="",$E14=""),"",IF(AND(V$5&gt;=$D14,V$5&lt;=$E14),IF(V$5-$D14+1&lt;=ROUND(($E14-$D14+1)*$F14,0),2,IF(V$5&lt;CFG_CurWeek,3,1)),""))</f>
        <v/>
      </c>
      <c r="W14" s="66" t="str">
        <f aca="false">IF(OR($D14="",$E14=""),"",IF(AND(W$5&gt;=$D14,W$5&lt;=$E14),IF(W$5-$D14+1&lt;=ROUND(($E14-$D14+1)*$F14,0),2,IF(W$5&lt;CFG_CurWeek,3,1)),""))</f>
        <v/>
      </c>
      <c r="X14" s="66" t="str">
        <f aca="false">IF(OR($D14="",$E14=""),"",IF(AND(X$5&gt;=$D14,X$5&lt;=$E14),IF(X$5-$D14+1&lt;=ROUND(($E14-$D14+1)*$F14,0),2,IF(X$5&lt;CFG_CurWeek,3,1)),""))</f>
        <v/>
      </c>
      <c r="Y14" s="66" t="str">
        <f aca="false">IF(OR($D14="",$E14=""),"",IF(AND(Y$5&gt;=$D14,Y$5&lt;=$E14),IF(Y$5-$D14+1&lt;=ROUND(($E14-$D14+1)*$F14,0),2,IF(Y$5&lt;CFG_CurWeek,3,1)),""))</f>
        <v/>
      </c>
      <c r="Z14" s="66" t="str">
        <f aca="false">IF(OR($D14="",$E14=""),"",IF(AND(Z$5&gt;=$D14,Z$5&lt;=$E14),IF(Z$5-$D14+1&lt;=ROUND(($E14-$D14+1)*$F14,0),2,IF(Z$5&lt;CFG_CurWeek,3,1)),""))</f>
        <v/>
      </c>
      <c r="AA14" s="66" t="str">
        <f aca="false">IF(OR($D14="",$E14=""),"",IF(AND(AA$5&gt;=$D14,AA$5&lt;=$E14),IF(AA$5-$D14+1&lt;=ROUND(($E14-$D14+1)*$F14,0),2,IF(AA$5&lt;CFG_CurWeek,3,1)),""))</f>
        <v/>
      </c>
      <c r="AB14" s="66" t="str">
        <f aca="false">IF(OR($D14="",$E14=""),"",IF(AND(AB$5&gt;=$D14,AB$5&lt;=$E14),IF(AB$5-$D14+1&lt;=ROUND(($E14-$D14+1)*$F14,0),2,IF(AB$5&lt;CFG_CurWeek,3,1)),""))</f>
        <v/>
      </c>
      <c r="AC14" s="66" t="str">
        <f aca="false">IF(OR($D14="",$E14=""),"",IF(AND(AC$5&gt;=$D14,AC$5&lt;=$E14),IF(AC$5-$D14+1&lt;=ROUND(($E14-$D14+1)*$F14,0),2,IF(AC$5&lt;CFG_CurWeek,3,1)),""))</f>
        <v/>
      </c>
      <c r="AD14" s="66" t="str">
        <f aca="false">IF(OR($D14="",$E14=""),"",IF(AND(AD$5&gt;=$D14,AD$5&lt;=$E14),IF(AD$5-$D14+1&lt;=ROUND(($E14-$D14+1)*$F14,0),2,IF(AD$5&lt;CFG_CurWeek,3,1)),""))</f>
        <v/>
      </c>
      <c r="AE14" s="66" t="str">
        <f aca="false">IF(OR($D14="",$E14=""),"",IF(AND(AE$5&gt;=$D14,AE$5&lt;=$E14),IF(AE$5-$D14+1&lt;=ROUND(($E14-$D14+1)*$F14,0),2,IF(AE$5&lt;CFG_CurWeek,3,1)),""))</f>
        <v/>
      </c>
      <c r="AF14" s="66" t="str">
        <f aca="false">IF(OR($D14="",$E14=""),"",IF(AND(AF$5&gt;=$D14,AF$5&lt;=$E14),IF(AF$5-$D14+1&lt;=ROUND(($E14-$D14+1)*$F14,0),2,IF(AF$5&lt;CFG_CurWeek,3,1)),""))</f>
        <v/>
      </c>
      <c r="AG14" s="66" t="str">
        <f aca="false">IF(OR($D14="",$E14=""),"",IF(AND(AG$5&gt;=$D14,AG$5&lt;=$E14),IF(AG$5-$D14+1&lt;=ROUND(($E14-$D14+1)*$F14,0),2,IF(AG$5&lt;CFG_CurWeek,3,1)),""))</f>
        <v/>
      </c>
      <c r="AH14" s="66" t="str">
        <f aca="false">IF(OR($D14="",$E14=""),"",IF(AND(AH$5&gt;=$D14,AH$5&lt;=$E14),IF(AH$5-$D14+1&lt;=ROUND(($E14-$D14+1)*$F14,0),2,IF(AH$5&lt;CFG_CurWeek,3,1)),""))</f>
        <v/>
      </c>
      <c r="AI14" s="66" t="str">
        <f aca="false">IF(OR($D14="",$E14=""),"",IF(AND(AI$5&gt;=$D14,AI$5&lt;=$E14),IF(AI$5-$D14+1&lt;=ROUND(($E14-$D14+1)*$F14,0),2,IF(AI$5&lt;CFG_CurWeek,3,1)),""))</f>
        <v/>
      </c>
      <c r="AJ14" s="66" t="str">
        <f aca="false">IF(OR($D14="",$E14=""),"",IF(AND(AJ$5&gt;=$D14,AJ$5&lt;=$E14),IF(AJ$5-$D14+1&lt;=ROUND(($E14-$D14+1)*$F14,0),2,IF(AJ$5&lt;CFG_CurWeek,3,1)),""))</f>
        <v/>
      </c>
      <c r="AK14" s="66" t="str">
        <f aca="false">IF(OR($D14="",$E14=""),"",IF(AND(AK$5&gt;=$D14,AK$5&lt;=$E14),IF(AK$5-$D14+1&lt;=ROUND(($E14-$D14+1)*$F14,0),2,IF(AK$5&lt;CFG_CurWeek,3,1)),""))</f>
        <v/>
      </c>
      <c r="AL14" s="66" t="str">
        <f aca="false">IF(OR($D14="",$E14=""),"",IF(AND(AL$5&gt;=$D14,AL$5&lt;=$E14),IF(AL$5-$D14+1&lt;=ROUND(($E14-$D14+1)*$F14,0),2,IF(AL$5&lt;CFG_CurWeek,3,1)),""))</f>
        <v/>
      </c>
      <c r="AM14" s="66" t="str">
        <f aca="false">IF(OR($D14="",$E14=""),"",IF(AND(AM$5&gt;=$D14,AM$5&lt;=$E14),IF(AM$5-$D14+1&lt;=ROUND(($E14-$D14+1)*$F14,0),2,IF(AM$5&lt;CFG_CurWeek,3,1)),""))</f>
        <v/>
      </c>
      <c r="AN14" s="66" t="str">
        <f aca="false">IF(OR($D14="",$E14=""),"",IF(AND(AN$5&gt;=$D14,AN$5&lt;=$E14),IF(AN$5-$D14+1&lt;=ROUND(($E14-$D14+1)*$F14,0),2,IF(AN$5&lt;CFG_CurWeek,3,1)),""))</f>
        <v/>
      </c>
      <c r="AO14" s="66" t="str">
        <f aca="false">IF(OR($D14="",$E14=""),"",IF(AND(AO$5&gt;=$D14,AO$5&lt;=$E14),IF(AO$5-$D14+1&lt;=ROUND(($E14-$D14+1)*$F14,0),2,IF(AO$5&lt;CFG_CurWeek,3,1)),""))</f>
        <v/>
      </c>
    </row>
    <row r="15" customFormat="false" ht="15" hidden="false" customHeight="false" outlineLevel="0" collapsed="false">
      <c r="A15" s="63" t="str">
        <f aca="false">IF('01_WBS &amp; Master Plan'!A12="","",'01_WBS &amp; Master Plan'!A12)</f>
        <v>1.2</v>
      </c>
      <c r="B15" s="64" t="str">
        <f aca="false">IF('01_WBS &amp; Master Plan'!D12="","",'01_WBS &amp; Master Plan'!D12)</f>
        <v>Học Flexbox, Grid, responsive (media query, mobile-first)</v>
      </c>
      <c r="C15" s="63" t="str">
        <f aca="false">IF('01_WBS &amp; Master Plan'!E12="","",'01_WBS &amp; Master Plan'!E12)</f>
        <v>Nhật</v>
      </c>
      <c r="D15" s="63" t="n">
        <f aca="false">IF('01_WBS &amp; Master Plan'!H12="","",'01_WBS &amp; Master Plan'!H12)</f>
        <v>3</v>
      </c>
      <c r="E15" s="63" t="n">
        <f aca="false">IF('01_WBS &amp; Master Plan'!I12="","",'01_WBS &amp; Master Plan'!I12)</f>
        <v>4</v>
      </c>
      <c r="F15" s="65" t="n">
        <f aca="false">IF(B15="","",IF('01_WBS &amp; Master Plan'!K12="Done",1,IF('01_WBS &amp; Master Plan'!L12="",0,'01_WBS &amp; Master Plan'!L12)))</f>
        <v>0</v>
      </c>
      <c r="G15" s="63" t="str">
        <f aca="false">IF('01_WBS &amp; Master Plan'!K12="","",'01_WBS &amp; Master Plan'!K12)</f>
        <v>To Do</v>
      </c>
      <c r="H15" s="66" t="str">
        <f aca="false">IF(OR($D15="",$E15=""),"",IF(AND(H$5&gt;=$D15,H$5&lt;=$E15),IF(H$5-$D15+1&lt;=ROUND(($E15-$D15+1)*$F15,0),2,IF(H$5&lt;CFG_CurWeek,3,1)),""))</f>
        <v/>
      </c>
      <c r="I15" s="66" t="str">
        <f aca="false">IF(OR($D15="",$E15=""),"",IF(AND(I$5&gt;=$D15,I$5&lt;=$E15),IF(I$5-$D15+1&lt;=ROUND(($E15-$D15+1)*$F15,0),2,IF(I$5&lt;CFG_CurWeek,3,1)),""))</f>
        <v/>
      </c>
      <c r="J15" s="66" t="n">
        <f aca="false">IF(OR($D15="",$E15=""),"",IF(AND(J$5&gt;=$D15,J$5&lt;=$E15),IF(J$5-$D15+1&lt;=ROUND(($E15-$D15+1)*$F15,0),2,IF(J$5&lt;CFG_CurWeek,3,1)),""))</f>
        <v>1</v>
      </c>
      <c r="K15" s="66" t="n">
        <f aca="false">IF(OR($D15="",$E15=""),"",IF(AND(K$5&gt;=$D15,K$5&lt;=$E15),IF(K$5-$D15+1&lt;=ROUND(($E15-$D15+1)*$F15,0),2,IF(K$5&lt;CFG_CurWeek,3,1)),""))</f>
        <v>1</v>
      </c>
      <c r="L15" s="66" t="str">
        <f aca="false">IF(OR($D15="",$E15=""),"",IF(AND(L$5&gt;=$D15,L$5&lt;=$E15),IF(L$5-$D15+1&lt;=ROUND(($E15-$D15+1)*$F15,0),2,IF(L$5&lt;CFG_CurWeek,3,1)),""))</f>
        <v/>
      </c>
      <c r="M15" s="66" t="str">
        <f aca="false">IF(OR($D15="",$E15=""),"",IF(AND(M$5&gt;=$D15,M$5&lt;=$E15),IF(M$5-$D15+1&lt;=ROUND(($E15-$D15+1)*$F15,0),2,IF(M$5&lt;CFG_CurWeek,3,1)),""))</f>
        <v/>
      </c>
      <c r="N15" s="66" t="str">
        <f aca="false">IF(OR($D15="",$E15=""),"",IF(AND(N$5&gt;=$D15,N$5&lt;=$E15),IF(N$5-$D15+1&lt;=ROUND(($E15-$D15+1)*$F15,0),2,IF(N$5&lt;CFG_CurWeek,3,1)),""))</f>
        <v/>
      </c>
      <c r="O15" s="66" t="str">
        <f aca="false">IF(OR($D15="",$E15=""),"",IF(AND(O$5&gt;=$D15,O$5&lt;=$E15),IF(O$5-$D15+1&lt;=ROUND(($E15-$D15+1)*$F15,0),2,IF(O$5&lt;CFG_CurWeek,3,1)),""))</f>
        <v/>
      </c>
      <c r="P15" s="66" t="str">
        <f aca="false">IF(OR($D15="",$E15=""),"",IF(AND(P$5&gt;=$D15,P$5&lt;=$E15),IF(P$5-$D15+1&lt;=ROUND(($E15-$D15+1)*$F15,0),2,IF(P$5&lt;CFG_CurWeek,3,1)),""))</f>
        <v/>
      </c>
      <c r="Q15" s="66" t="str">
        <f aca="false">IF(OR($D15="",$E15=""),"",IF(AND(Q$5&gt;=$D15,Q$5&lt;=$E15),IF(Q$5-$D15+1&lt;=ROUND(($E15-$D15+1)*$F15,0),2,IF(Q$5&lt;CFG_CurWeek,3,1)),""))</f>
        <v/>
      </c>
      <c r="R15" s="66" t="str">
        <f aca="false">IF(OR($D15="",$E15=""),"",IF(AND(R$5&gt;=$D15,R$5&lt;=$E15),IF(R$5-$D15+1&lt;=ROUND(($E15-$D15+1)*$F15,0),2,IF(R$5&lt;CFG_CurWeek,3,1)),""))</f>
        <v/>
      </c>
      <c r="S15" s="66" t="str">
        <f aca="false">IF(OR($D15="",$E15=""),"",IF(AND(S$5&gt;=$D15,S$5&lt;=$E15),IF(S$5-$D15+1&lt;=ROUND(($E15-$D15+1)*$F15,0),2,IF(S$5&lt;CFG_CurWeek,3,1)),""))</f>
        <v/>
      </c>
      <c r="T15" s="66" t="str">
        <f aca="false">IF(OR($D15="",$E15=""),"",IF(AND(T$5&gt;=$D15,T$5&lt;=$E15),IF(T$5-$D15+1&lt;=ROUND(($E15-$D15+1)*$F15,0),2,IF(T$5&lt;CFG_CurWeek,3,1)),""))</f>
        <v/>
      </c>
      <c r="U15" s="66" t="str">
        <f aca="false">IF(OR($D15="",$E15=""),"",IF(AND(U$5&gt;=$D15,U$5&lt;=$E15),IF(U$5-$D15+1&lt;=ROUND(($E15-$D15+1)*$F15,0),2,IF(U$5&lt;CFG_CurWeek,3,1)),""))</f>
        <v/>
      </c>
      <c r="V15" s="66" t="str">
        <f aca="false">IF(OR($D15="",$E15=""),"",IF(AND(V$5&gt;=$D15,V$5&lt;=$E15),IF(V$5-$D15+1&lt;=ROUND(($E15-$D15+1)*$F15,0),2,IF(V$5&lt;CFG_CurWeek,3,1)),""))</f>
        <v/>
      </c>
      <c r="W15" s="66" t="str">
        <f aca="false">IF(OR($D15="",$E15=""),"",IF(AND(W$5&gt;=$D15,W$5&lt;=$E15),IF(W$5-$D15+1&lt;=ROUND(($E15-$D15+1)*$F15,0),2,IF(W$5&lt;CFG_CurWeek,3,1)),""))</f>
        <v/>
      </c>
      <c r="X15" s="66" t="str">
        <f aca="false">IF(OR($D15="",$E15=""),"",IF(AND(X$5&gt;=$D15,X$5&lt;=$E15),IF(X$5-$D15+1&lt;=ROUND(($E15-$D15+1)*$F15,0),2,IF(X$5&lt;CFG_CurWeek,3,1)),""))</f>
        <v/>
      </c>
      <c r="Y15" s="66" t="str">
        <f aca="false">IF(OR($D15="",$E15=""),"",IF(AND(Y$5&gt;=$D15,Y$5&lt;=$E15),IF(Y$5-$D15+1&lt;=ROUND(($E15-$D15+1)*$F15,0),2,IF(Y$5&lt;CFG_CurWeek,3,1)),""))</f>
        <v/>
      </c>
      <c r="Z15" s="66" t="str">
        <f aca="false">IF(OR($D15="",$E15=""),"",IF(AND(Z$5&gt;=$D15,Z$5&lt;=$E15),IF(Z$5-$D15+1&lt;=ROUND(($E15-$D15+1)*$F15,0),2,IF(Z$5&lt;CFG_CurWeek,3,1)),""))</f>
        <v/>
      </c>
      <c r="AA15" s="66" t="str">
        <f aca="false">IF(OR($D15="",$E15=""),"",IF(AND(AA$5&gt;=$D15,AA$5&lt;=$E15),IF(AA$5-$D15+1&lt;=ROUND(($E15-$D15+1)*$F15,0),2,IF(AA$5&lt;CFG_CurWeek,3,1)),""))</f>
        <v/>
      </c>
      <c r="AB15" s="66" t="str">
        <f aca="false">IF(OR($D15="",$E15=""),"",IF(AND(AB$5&gt;=$D15,AB$5&lt;=$E15),IF(AB$5-$D15+1&lt;=ROUND(($E15-$D15+1)*$F15,0),2,IF(AB$5&lt;CFG_CurWeek,3,1)),""))</f>
        <v/>
      </c>
      <c r="AC15" s="66" t="str">
        <f aca="false">IF(OR($D15="",$E15=""),"",IF(AND(AC$5&gt;=$D15,AC$5&lt;=$E15),IF(AC$5-$D15+1&lt;=ROUND(($E15-$D15+1)*$F15,0),2,IF(AC$5&lt;CFG_CurWeek,3,1)),""))</f>
        <v/>
      </c>
      <c r="AD15" s="66" t="str">
        <f aca="false">IF(OR($D15="",$E15=""),"",IF(AND(AD$5&gt;=$D15,AD$5&lt;=$E15),IF(AD$5-$D15+1&lt;=ROUND(($E15-$D15+1)*$F15,0),2,IF(AD$5&lt;CFG_CurWeek,3,1)),""))</f>
        <v/>
      </c>
      <c r="AE15" s="66" t="str">
        <f aca="false">IF(OR($D15="",$E15=""),"",IF(AND(AE$5&gt;=$D15,AE$5&lt;=$E15),IF(AE$5-$D15+1&lt;=ROUND(($E15-$D15+1)*$F15,0),2,IF(AE$5&lt;CFG_CurWeek,3,1)),""))</f>
        <v/>
      </c>
      <c r="AF15" s="66" t="str">
        <f aca="false">IF(OR($D15="",$E15=""),"",IF(AND(AF$5&gt;=$D15,AF$5&lt;=$E15),IF(AF$5-$D15+1&lt;=ROUND(($E15-$D15+1)*$F15,0),2,IF(AF$5&lt;CFG_CurWeek,3,1)),""))</f>
        <v/>
      </c>
      <c r="AG15" s="66" t="str">
        <f aca="false">IF(OR($D15="",$E15=""),"",IF(AND(AG$5&gt;=$D15,AG$5&lt;=$E15),IF(AG$5-$D15+1&lt;=ROUND(($E15-$D15+1)*$F15,0),2,IF(AG$5&lt;CFG_CurWeek,3,1)),""))</f>
        <v/>
      </c>
      <c r="AH15" s="66" t="str">
        <f aca="false">IF(OR($D15="",$E15=""),"",IF(AND(AH$5&gt;=$D15,AH$5&lt;=$E15),IF(AH$5-$D15+1&lt;=ROUND(($E15-$D15+1)*$F15,0),2,IF(AH$5&lt;CFG_CurWeek,3,1)),""))</f>
        <v/>
      </c>
      <c r="AI15" s="66" t="str">
        <f aca="false">IF(OR($D15="",$E15=""),"",IF(AND(AI$5&gt;=$D15,AI$5&lt;=$E15),IF(AI$5-$D15+1&lt;=ROUND(($E15-$D15+1)*$F15,0),2,IF(AI$5&lt;CFG_CurWeek,3,1)),""))</f>
        <v/>
      </c>
      <c r="AJ15" s="66" t="str">
        <f aca="false">IF(OR($D15="",$E15=""),"",IF(AND(AJ$5&gt;=$D15,AJ$5&lt;=$E15),IF(AJ$5-$D15+1&lt;=ROUND(($E15-$D15+1)*$F15,0),2,IF(AJ$5&lt;CFG_CurWeek,3,1)),""))</f>
        <v/>
      </c>
      <c r="AK15" s="66" t="str">
        <f aca="false">IF(OR($D15="",$E15=""),"",IF(AND(AK$5&gt;=$D15,AK$5&lt;=$E15),IF(AK$5-$D15+1&lt;=ROUND(($E15-$D15+1)*$F15,0),2,IF(AK$5&lt;CFG_CurWeek,3,1)),""))</f>
        <v/>
      </c>
      <c r="AL15" s="66" t="str">
        <f aca="false">IF(OR($D15="",$E15=""),"",IF(AND(AL$5&gt;=$D15,AL$5&lt;=$E15),IF(AL$5-$D15+1&lt;=ROUND(($E15-$D15+1)*$F15,0),2,IF(AL$5&lt;CFG_CurWeek,3,1)),""))</f>
        <v/>
      </c>
      <c r="AM15" s="66" t="str">
        <f aca="false">IF(OR($D15="",$E15=""),"",IF(AND(AM$5&gt;=$D15,AM$5&lt;=$E15),IF(AM$5-$D15+1&lt;=ROUND(($E15-$D15+1)*$F15,0),2,IF(AM$5&lt;CFG_CurWeek,3,1)),""))</f>
        <v/>
      </c>
      <c r="AN15" s="66" t="str">
        <f aca="false">IF(OR($D15="",$E15=""),"",IF(AND(AN$5&gt;=$D15,AN$5&lt;=$E15),IF(AN$5-$D15+1&lt;=ROUND(($E15-$D15+1)*$F15,0),2,IF(AN$5&lt;CFG_CurWeek,3,1)),""))</f>
        <v/>
      </c>
      <c r="AO15" s="66" t="str">
        <f aca="false">IF(OR($D15="",$E15=""),"",IF(AND(AO$5&gt;=$D15,AO$5&lt;=$E15),IF(AO$5-$D15+1&lt;=ROUND(($E15-$D15+1)*$F15,0),2,IF(AO$5&lt;CFG_CurWeek,3,1)),""))</f>
        <v/>
      </c>
    </row>
    <row r="16" customFormat="false" ht="15" hidden="false" customHeight="false" outlineLevel="0" collapsed="false">
      <c r="A16" s="63" t="str">
        <f aca="false">IF('01_WBS &amp; Master Plan'!A13="","",'01_WBS &amp; Master Plan'!A13)</f>
        <v>1.3</v>
      </c>
      <c r="B16" s="64" t="str">
        <f aca="false">IF('01_WBS &amp; Master Plan'!D13="","",'01_WBS &amp; Master Plan'!D13)</f>
        <v>Dựng layout tĩnh: sidebar menu, header + ô tìm kiếm, vùng nội dung</v>
      </c>
      <c r="C16" s="63" t="str">
        <f aca="false">IF('01_WBS &amp; Master Plan'!E13="","",'01_WBS &amp; Master Plan'!E13)</f>
        <v>Nhật</v>
      </c>
      <c r="D16" s="63" t="n">
        <f aca="false">IF('01_WBS &amp; Master Plan'!H13="","",'01_WBS &amp; Master Plan'!H13)</f>
        <v>4</v>
      </c>
      <c r="E16" s="63" t="n">
        <f aca="false">IF('01_WBS &amp; Master Plan'!I13="","",'01_WBS &amp; Master Plan'!I13)</f>
        <v>4</v>
      </c>
      <c r="F16" s="65" t="n">
        <f aca="false">IF(B16="","",IF('01_WBS &amp; Master Plan'!K13="Done",1,IF('01_WBS &amp; Master Plan'!L13="",0,'01_WBS &amp; Master Plan'!L13)))</f>
        <v>0</v>
      </c>
      <c r="G16" s="63" t="str">
        <f aca="false">IF('01_WBS &amp; Master Plan'!K13="","",'01_WBS &amp; Master Plan'!K13)</f>
        <v>To Do</v>
      </c>
      <c r="H16" s="66" t="str">
        <f aca="false">IF(OR($D16="",$E16=""),"",IF(AND(H$5&gt;=$D16,H$5&lt;=$E16),IF(H$5-$D16+1&lt;=ROUND(($E16-$D16+1)*$F16,0),2,IF(H$5&lt;CFG_CurWeek,3,1)),""))</f>
        <v/>
      </c>
      <c r="I16" s="66" t="str">
        <f aca="false">IF(OR($D16="",$E16=""),"",IF(AND(I$5&gt;=$D16,I$5&lt;=$E16),IF(I$5-$D16+1&lt;=ROUND(($E16-$D16+1)*$F16,0),2,IF(I$5&lt;CFG_CurWeek,3,1)),""))</f>
        <v/>
      </c>
      <c r="J16" s="66" t="str">
        <f aca="false">IF(OR($D16="",$E16=""),"",IF(AND(J$5&gt;=$D16,J$5&lt;=$E16),IF(J$5-$D16+1&lt;=ROUND(($E16-$D16+1)*$F16,0),2,IF(J$5&lt;CFG_CurWeek,3,1)),""))</f>
        <v/>
      </c>
      <c r="K16" s="66" t="n">
        <f aca="false">IF(OR($D16="",$E16=""),"",IF(AND(K$5&gt;=$D16,K$5&lt;=$E16),IF(K$5-$D16+1&lt;=ROUND(($E16-$D16+1)*$F16,0),2,IF(K$5&lt;CFG_CurWeek,3,1)),""))</f>
        <v>1</v>
      </c>
      <c r="L16" s="66" t="str">
        <f aca="false">IF(OR($D16="",$E16=""),"",IF(AND(L$5&gt;=$D16,L$5&lt;=$E16),IF(L$5-$D16+1&lt;=ROUND(($E16-$D16+1)*$F16,0),2,IF(L$5&lt;CFG_CurWeek,3,1)),""))</f>
        <v/>
      </c>
      <c r="M16" s="66" t="str">
        <f aca="false">IF(OR($D16="",$E16=""),"",IF(AND(M$5&gt;=$D16,M$5&lt;=$E16),IF(M$5-$D16+1&lt;=ROUND(($E16-$D16+1)*$F16,0),2,IF(M$5&lt;CFG_CurWeek,3,1)),""))</f>
        <v/>
      </c>
      <c r="N16" s="66" t="str">
        <f aca="false">IF(OR($D16="",$E16=""),"",IF(AND(N$5&gt;=$D16,N$5&lt;=$E16),IF(N$5-$D16+1&lt;=ROUND(($E16-$D16+1)*$F16,0),2,IF(N$5&lt;CFG_CurWeek,3,1)),""))</f>
        <v/>
      </c>
      <c r="O16" s="66" t="str">
        <f aca="false">IF(OR($D16="",$E16=""),"",IF(AND(O$5&gt;=$D16,O$5&lt;=$E16),IF(O$5-$D16+1&lt;=ROUND(($E16-$D16+1)*$F16,0),2,IF(O$5&lt;CFG_CurWeek,3,1)),""))</f>
        <v/>
      </c>
      <c r="P16" s="66" t="str">
        <f aca="false">IF(OR($D16="",$E16=""),"",IF(AND(P$5&gt;=$D16,P$5&lt;=$E16),IF(P$5-$D16+1&lt;=ROUND(($E16-$D16+1)*$F16,0),2,IF(P$5&lt;CFG_CurWeek,3,1)),""))</f>
        <v/>
      </c>
      <c r="Q16" s="66" t="str">
        <f aca="false">IF(OR($D16="",$E16=""),"",IF(AND(Q$5&gt;=$D16,Q$5&lt;=$E16),IF(Q$5-$D16+1&lt;=ROUND(($E16-$D16+1)*$F16,0),2,IF(Q$5&lt;CFG_CurWeek,3,1)),""))</f>
        <v/>
      </c>
      <c r="R16" s="66" t="str">
        <f aca="false">IF(OR($D16="",$E16=""),"",IF(AND(R$5&gt;=$D16,R$5&lt;=$E16),IF(R$5-$D16+1&lt;=ROUND(($E16-$D16+1)*$F16,0),2,IF(R$5&lt;CFG_CurWeek,3,1)),""))</f>
        <v/>
      </c>
      <c r="S16" s="66" t="str">
        <f aca="false">IF(OR($D16="",$E16=""),"",IF(AND(S$5&gt;=$D16,S$5&lt;=$E16),IF(S$5-$D16+1&lt;=ROUND(($E16-$D16+1)*$F16,0),2,IF(S$5&lt;CFG_CurWeek,3,1)),""))</f>
        <v/>
      </c>
      <c r="T16" s="66" t="str">
        <f aca="false">IF(OR($D16="",$E16=""),"",IF(AND(T$5&gt;=$D16,T$5&lt;=$E16),IF(T$5-$D16+1&lt;=ROUND(($E16-$D16+1)*$F16,0),2,IF(T$5&lt;CFG_CurWeek,3,1)),""))</f>
        <v/>
      </c>
      <c r="U16" s="66" t="str">
        <f aca="false">IF(OR($D16="",$E16=""),"",IF(AND(U$5&gt;=$D16,U$5&lt;=$E16),IF(U$5-$D16+1&lt;=ROUND(($E16-$D16+1)*$F16,0),2,IF(U$5&lt;CFG_CurWeek,3,1)),""))</f>
        <v/>
      </c>
      <c r="V16" s="66" t="str">
        <f aca="false">IF(OR($D16="",$E16=""),"",IF(AND(V$5&gt;=$D16,V$5&lt;=$E16),IF(V$5-$D16+1&lt;=ROUND(($E16-$D16+1)*$F16,0),2,IF(V$5&lt;CFG_CurWeek,3,1)),""))</f>
        <v/>
      </c>
      <c r="W16" s="66" t="str">
        <f aca="false">IF(OR($D16="",$E16=""),"",IF(AND(W$5&gt;=$D16,W$5&lt;=$E16),IF(W$5-$D16+1&lt;=ROUND(($E16-$D16+1)*$F16,0),2,IF(W$5&lt;CFG_CurWeek,3,1)),""))</f>
        <v/>
      </c>
      <c r="X16" s="66" t="str">
        <f aca="false">IF(OR($D16="",$E16=""),"",IF(AND(X$5&gt;=$D16,X$5&lt;=$E16),IF(X$5-$D16+1&lt;=ROUND(($E16-$D16+1)*$F16,0),2,IF(X$5&lt;CFG_CurWeek,3,1)),""))</f>
        <v/>
      </c>
      <c r="Y16" s="66" t="str">
        <f aca="false">IF(OR($D16="",$E16=""),"",IF(AND(Y$5&gt;=$D16,Y$5&lt;=$E16),IF(Y$5-$D16+1&lt;=ROUND(($E16-$D16+1)*$F16,0),2,IF(Y$5&lt;CFG_CurWeek,3,1)),""))</f>
        <v/>
      </c>
      <c r="Z16" s="66" t="str">
        <f aca="false">IF(OR($D16="",$E16=""),"",IF(AND(Z$5&gt;=$D16,Z$5&lt;=$E16),IF(Z$5-$D16+1&lt;=ROUND(($E16-$D16+1)*$F16,0),2,IF(Z$5&lt;CFG_CurWeek,3,1)),""))</f>
        <v/>
      </c>
      <c r="AA16" s="66" t="str">
        <f aca="false">IF(OR($D16="",$E16=""),"",IF(AND(AA$5&gt;=$D16,AA$5&lt;=$E16),IF(AA$5-$D16+1&lt;=ROUND(($E16-$D16+1)*$F16,0),2,IF(AA$5&lt;CFG_CurWeek,3,1)),""))</f>
        <v/>
      </c>
      <c r="AB16" s="66" t="str">
        <f aca="false">IF(OR($D16="",$E16=""),"",IF(AND(AB$5&gt;=$D16,AB$5&lt;=$E16),IF(AB$5-$D16+1&lt;=ROUND(($E16-$D16+1)*$F16,0),2,IF(AB$5&lt;CFG_CurWeek,3,1)),""))</f>
        <v/>
      </c>
      <c r="AC16" s="66" t="str">
        <f aca="false">IF(OR($D16="",$E16=""),"",IF(AND(AC$5&gt;=$D16,AC$5&lt;=$E16),IF(AC$5-$D16+1&lt;=ROUND(($E16-$D16+1)*$F16,0),2,IF(AC$5&lt;CFG_CurWeek,3,1)),""))</f>
        <v/>
      </c>
      <c r="AD16" s="66" t="str">
        <f aca="false">IF(OR($D16="",$E16=""),"",IF(AND(AD$5&gt;=$D16,AD$5&lt;=$E16),IF(AD$5-$D16+1&lt;=ROUND(($E16-$D16+1)*$F16,0),2,IF(AD$5&lt;CFG_CurWeek,3,1)),""))</f>
        <v/>
      </c>
      <c r="AE16" s="66" t="str">
        <f aca="false">IF(OR($D16="",$E16=""),"",IF(AND(AE$5&gt;=$D16,AE$5&lt;=$E16),IF(AE$5-$D16+1&lt;=ROUND(($E16-$D16+1)*$F16,0),2,IF(AE$5&lt;CFG_CurWeek,3,1)),""))</f>
        <v/>
      </c>
      <c r="AF16" s="66" t="str">
        <f aca="false">IF(OR($D16="",$E16=""),"",IF(AND(AF$5&gt;=$D16,AF$5&lt;=$E16),IF(AF$5-$D16+1&lt;=ROUND(($E16-$D16+1)*$F16,0),2,IF(AF$5&lt;CFG_CurWeek,3,1)),""))</f>
        <v/>
      </c>
      <c r="AG16" s="66" t="str">
        <f aca="false">IF(OR($D16="",$E16=""),"",IF(AND(AG$5&gt;=$D16,AG$5&lt;=$E16),IF(AG$5-$D16+1&lt;=ROUND(($E16-$D16+1)*$F16,0),2,IF(AG$5&lt;CFG_CurWeek,3,1)),""))</f>
        <v/>
      </c>
      <c r="AH16" s="66" t="str">
        <f aca="false">IF(OR($D16="",$E16=""),"",IF(AND(AH$5&gt;=$D16,AH$5&lt;=$E16),IF(AH$5-$D16+1&lt;=ROUND(($E16-$D16+1)*$F16,0),2,IF(AH$5&lt;CFG_CurWeek,3,1)),""))</f>
        <v/>
      </c>
      <c r="AI16" s="66" t="str">
        <f aca="false">IF(OR($D16="",$E16=""),"",IF(AND(AI$5&gt;=$D16,AI$5&lt;=$E16),IF(AI$5-$D16+1&lt;=ROUND(($E16-$D16+1)*$F16,0),2,IF(AI$5&lt;CFG_CurWeek,3,1)),""))</f>
        <v/>
      </c>
      <c r="AJ16" s="66" t="str">
        <f aca="false">IF(OR($D16="",$E16=""),"",IF(AND(AJ$5&gt;=$D16,AJ$5&lt;=$E16),IF(AJ$5-$D16+1&lt;=ROUND(($E16-$D16+1)*$F16,0),2,IF(AJ$5&lt;CFG_CurWeek,3,1)),""))</f>
        <v/>
      </c>
      <c r="AK16" s="66" t="str">
        <f aca="false">IF(OR($D16="",$E16=""),"",IF(AND(AK$5&gt;=$D16,AK$5&lt;=$E16),IF(AK$5-$D16+1&lt;=ROUND(($E16-$D16+1)*$F16,0),2,IF(AK$5&lt;CFG_CurWeek,3,1)),""))</f>
        <v/>
      </c>
      <c r="AL16" s="66" t="str">
        <f aca="false">IF(OR($D16="",$E16=""),"",IF(AND(AL$5&gt;=$D16,AL$5&lt;=$E16),IF(AL$5-$D16+1&lt;=ROUND(($E16-$D16+1)*$F16,0),2,IF(AL$5&lt;CFG_CurWeek,3,1)),""))</f>
        <v/>
      </c>
      <c r="AM16" s="66" t="str">
        <f aca="false">IF(OR($D16="",$E16=""),"",IF(AND(AM$5&gt;=$D16,AM$5&lt;=$E16),IF(AM$5-$D16+1&lt;=ROUND(($E16-$D16+1)*$F16,0),2,IF(AM$5&lt;CFG_CurWeek,3,1)),""))</f>
        <v/>
      </c>
      <c r="AN16" s="66" t="str">
        <f aca="false">IF(OR($D16="",$E16=""),"",IF(AND(AN$5&gt;=$D16,AN$5&lt;=$E16),IF(AN$5-$D16+1&lt;=ROUND(($E16-$D16+1)*$F16,0),2,IF(AN$5&lt;CFG_CurWeek,3,1)),""))</f>
        <v/>
      </c>
      <c r="AO16" s="66" t="str">
        <f aca="false">IF(OR($D16="",$E16=""),"",IF(AND(AO$5&gt;=$D16,AO$5&lt;=$E16),IF(AO$5-$D16+1&lt;=ROUND(($E16-$D16+1)*$F16,0),2,IF(AO$5&lt;CFG_CurWeek,3,1)),""))</f>
        <v/>
      </c>
    </row>
    <row r="17" customFormat="false" ht="15" hidden="false" customHeight="false" outlineLevel="0" collapsed="false">
      <c r="A17" s="63" t="str">
        <f aca="false">IF('01_WBS &amp; Master Plan'!A14="","",'01_WBS &amp; Master Plan'!A14)</f>
        <v>1.4</v>
      </c>
      <c r="B17" s="64" t="str">
        <f aca="false">IF('01_WBS &amp; Master Plan'!D14="","",'01_WBS &amp; Master Plan'!D14)</f>
        <v>Dựng trang chủ tĩnh: lưới album, danh sách bài nổi bật, thể loại</v>
      </c>
      <c r="C17" s="63" t="str">
        <f aca="false">IF('01_WBS &amp; Master Plan'!E14="","",'01_WBS &amp; Master Plan'!E14)</f>
        <v>Nhật</v>
      </c>
      <c r="D17" s="63" t="n">
        <f aca="false">IF('01_WBS &amp; Master Plan'!H14="","",'01_WBS &amp; Master Plan'!H14)</f>
        <v>4</v>
      </c>
      <c r="E17" s="63" t="n">
        <f aca="false">IF('01_WBS &amp; Master Plan'!I14="","",'01_WBS &amp; Master Plan'!I14)</f>
        <v>5</v>
      </c>
      <c r="F17" s="65" t="n">
        <f aca="false">IF(B17="","",IF('01_WBS &amp; Master Plan'!K14="Done",1,IF('01_WBS &amp; Master Plan'!L14="",0,'01_WBS &amp; Master Plan'!L14)))</f>
        <v>0</v>
      </c>
      <c r="G17" s="63" t="str">
        <f aca="false">IF('01_WBS &amp; Master Plan'!K14="","",'01_WBS &amp; Master Plan'!K14)</f>
        <v>To Do</v>
      </c>
      <c r="H17" s="66" t="str">
        <f aca="false">IF(OR($D17="",$E17=""),"",IF(AND(H$5&gt;=$D17,H$5&lt;=$E17),IF(H$5-$D17+1&lt;=ROUND(($E17-$D17+1)*$F17,0),2,IF(H$5&lt;CFG_CurWeek,3,1)),""))</f>
        <v/>
      </c>
      <c r="I17" s="66" t="str">
        <f aca="false">IF(OR($D17="",$E17=""),"",IF(AND(I$5&gt;=$D17,I$5&lt;=$E17),IF(I$5-$D17+1&lt;=ROUND(($E17-$D17+1)*$F17,0),2,IF(I$5&lt;CFG_CurWeek,3,1)),""))</f>
        <v/>
      </c>
      <c r="J17" s="66" t="str">
        <f aca="false">IF(OR($D17="",$E17=""),"",IF(AND(J$5&gt;=$D17,J$5&lt;=$E17),IF(J$5-$D17+1&lt;=ROUND(($E17-$D17+1)*$F17,0),2,IF(J$5&lt;CFG_CurWeek,3,1)),""))</f>
        <v/>
      </c>
      <c r="K17" s="66" t="n">
        <f aca="false">IF(OR($D17="",$E17=""),"",IF(AND(K$5&gt;=$D17,K$5&lt;=$E17),IF(K$5-$D17+1&lt;=ROUND(($E17-$D17+1)*$F17,0),2,IF(K$5&lt;CFG_CurWeek,3,1)),""))</f>
        <v>1</v>
      </c>
      <c r="L17" s="66" t="n">
        <f aca="false">IF(OR($D17="",$E17=""),"",IF(AND(L$5&gt;=$D17,L$5&lt;=$E17),IF(L$5-$D17+1&lt;=ROUND(($E17-$D17+1)*$F17,0),2,IF(L$5&lt;CFG_CurWeek,3,1)),""))</f>
        <v>1</v>
      </c>
      <c r="M17" s="66" t="str">
        <f aca="false">IF(OR($D17="",$E17=""),"",IF(AND(M$5&gt;=$D17,M$5&lt;=$E17),IF(M$5-$D17+1&lt;=ROUND(($E17-$D17+1)*$F17,0),2,IF(M$5&lt;CFG_CurWeek,3,1)),""))</f>
        <v/>
      </c>
      <c r="N17" s="66" t="str">
        <f aca="false">IF(OR($D17="",$E17=""),"",IF(AND(N$5&gt;=$D17,N$5&lt;=$E17),IF(N$5-$D17+1&lt;=ROUND(($E17-$D17+1)*$F17,0),2,IF(N$5&lt;CFG_CurWeek,3,1)),""))</f>
        <v/>
      </c>
      <c r="O17" s="66" t="str">
        <f aca="false">IF(OR($D17="",$E17=""),"",IF(AND(O$5&gt;=$D17,O$5&lt;=$E17),IF(O$5-$D17+1&lt;=ROUND(($E17-$D17+1)*$F17,0),2,IF(O$5&lt;CFG_CurWeek,3,1)),""))</f>
        <v/>
      </c>
      <c r="P17" s="66" t="str">
        <f aca="false">IF(OR($D17="",$E17=""),"",IF(AND(P$5&gt;=$D17,P$5&lt;=$E17),IF(P$5-$D17+1&lt;=ROUND(($E17-$D17+1)*$F17,0),2,IF(P$5&lt;CFG_CurWeek,3,1)),""))</f>
        <v/>
      </c>
      <c r="Q17" s="66" t="str">
        <f aca="false">IF(OR($D17="",$E17=""),"",IF(AND(Q$5&gt;=$D17,Q$5&lt;=$E17),IF(Q$5-$D17+1&lt;=ROUND(($E17-$D17+1)*$F17,0),2,IF(Q$5&lt;CFG_CurWeek,3,1)),""))</f>
        <v/>
      </c>
      <c r="R17" s="66" t="str">
        <f aca="false">IF(OR($D17="",$E17=""),"",IF(AND(R$5&gt;=$D17,R$5&lt;=$E17),IF(R$5-$D17+1&lt;=ROUND(($E17-$D17+1)*$F17,0),2,IF(R$5&lt;CFG_CurWeek,3,1)),""))</f>
        <v/>
      </c>
      <c r="S17" s="66" t="str">
        <f aca="false">IF(OR($D17="",$E17=""),"",IF(AND(S$5&gt;=$D17,S$5&lt;=$E17),IF(S$5-$D17+1&lt;=ROUND(($E17-$D17+1)*$F17,0),2,IF(S$5&lt;CFG_CurWeek,3,1)),""))</f>
        <v/>
      </c>
      <c r="T17" s="66" t="str">
        <f aca="false">IF(OR($D17="",$E17=""),"",IF(AND(T$5&gt;=$D17,T$5&lt;=$E17),IF(T$5-$D17+1&lt;=ROUND(($E17-$D17+1)*$F17,0),2,IF(T$5&lt;CFG_CurWeek,3,1)),""))</f>
        <v/>
      </c>
      <c r="U17" s="66" t="str">
        <f aca="false">IF(OR($D17="",$E17=""),"",IF(AND(U$5&gt;=$D17,U$5&lt;=$E17),IF(U$5-$D17+1&lt;=ROUND(($E17-$D17+1)*$F17,0),2,IF(U$5&lt;CFG_CurWeek,3,1)),""))</f>
        <v/>
      </c>
      <c r="V17" s="66" t="str">
        <f aca="false">IF(OR($D17="",$E17=""),"",IF(AND(V$5&gt;=$D17,V$5&lt;=$E17),IF(V$5-$D17+1&lt;=ROUND(($E17-$D17+1)*$F17,0),2,IF(V$5&lt;CFG_CurWeek,3,1)),""))</f>
        <v/>
      </c>
      <c r="W17" s="66" t="str">
        <f aca="false">IF(OR($D17="",$E17=""),"",IF(AND(W$5&gt;=$D17,W$5&lt;=$E17),IF(W$5-$D17+1&lt;=ROUND(($E17-$D17+1)*$F17,0),2,IF(W$5&lt;CFG_CurWeek,3,1)),""))</f>
        <v/>
      </c>
      <c r="X17" s="66" t="str">
        <f aca="false">IF(OR($D17="",$E17=""),"",IF(AND(X$5&gt;=$D17,X$5&lt;=$E17),IF(X$5-$D17+1&lt;=ROUND(($E17-$D17+1)*$F17,0),2,IF(X$5&lt;CFG_CurWeek,3,1)),""))</f>
        <v/>
      </c>
      <c r="Y17" s="66" t="str">
        <f aca="false">IF(OR($D17="",$E17=""),"",IF(AND(Y$5&gt;=$D17,Y$5&lt;=$E17),IF(Y$5-$D17+1&lt;=ROUND(($E17-$D17+1)*$F17,0),2,IF(Y$5&lt;CFG_CurWeek,3,1)),""))</f>
        <v/>
      </c>
      <c r="Z17" s="66" t="str">
        <f aca="false">IF(OR($D17="",$E17=""),"",IF(AND(Z$5&gt;=$D17,Z$5&lt;=$E17),IF(Z$5-$D17+1&lt;=ROUND(($E17-$D17+1)*$F17,0),2,IF(Z$5&lt;CFG_CurWeek,3,1)),""))</f>
        <v/>
      </c>
      <c r="AA17" s="66" t="str">
        <f aca="false">IF(OR($D17="",$E17=""),"",IF(AND(AA$5&gt;=$D17,AA$5&lt;=$E17),IF(AA$5-$D17+1&lt;=ROUND(($E17-$D17+1)*$F17,0),2,IF(AA$5&lt;CFG_CurWeek,3,1)),""))</f>
        <v/>
      </c>
      <c r="AB17" s="66" t="str">
        <f aca="false">IF(OR($D17="",$E17=""),"",IF(AND(AB$5&gt;=$D17,AB$5&lt;=$E17),IF(AB$5-$D17+1&lt;=ROUND(($E17-$D17+1)*$F17,0),2,IF(AB$5&lt;CFG_CurWeek,3,1)),""))</f>
        <v/>
      </c>
      <c r="AC17" s="66" t="str">
        <f aca="false">IF(OR($D17="",$E17=""),"",IF(AND(AC$5&gt;=$D17,AC$5&lt;=$E17),IF(AC$5-$D17+1&lt;=ROUND(($E17-$D17+1)*$F17,0),2,IF(AC$5&lt;CFG_CurWeek,3,1)),""))</f>
        <v/>
      </c>
      <c r="AD17" s="66" t="str">
        <f aca="false">IF(OR($D17="",$E17=""),"",IF(AND(AD$5&gt;=$D17,AD$5&lt;=$E17),IF(AD$5-$D17+1&lt;=ROUND(($E17-$D17+1)*$F17,0),2,IF(AD$5&lt;CFG_CurWeek,3,1)),""))</f>
        <v/>
      </c>
      <c r="AE17" s="66" t="str">
        <f aca="false">IF(OR($D17="",$E17=""),"",IF(AND(AE$5&gt;=$D17,AE$5&lt;=$E17),IF(AE$5-$D17+1&lt;=ROUND(($E17-$D17+1)*$F17,0),2,IF(AE$5&lt;CFG_CurWeek,3,1)),""))</f>
        <v/>
      </c>
      <c r="AF17" s="66" t="str">
        <f aca="false">IF(OR($D17="",$E17=""),"",IF(AND(AF$5&gt;=$D17,AF$5&lt;=$E17),IF(AF$5-$D17+1&lt;=ROUND(($E17-$D17+1)*$F17,0),2,IF(AF$5&lt;CFG_CurWeek,3,1)),""))</f>
        <v/>
      </c>
      <c r="AG17" s="66" t="str">
        <f aca="false">IF(OR($D17="",$E17=""),"",IF(AND(AG$5&gt;=$D17,AG$5&lt;=$E17),IF(AG$5-$D17+1&lt;=ROUND(($E17-$D17+1)*$F17,0),2,IF(AG$5&lt;CFG_CurWeek,3,1)),""))</f>
        <v/>
      </c>
      <c r="AH17" s="66" t="str">
        <f aca="false">IF(OR($D17="",$E17=""),"",IF(AND(AH$5&gt;=$D17,AH$5&lt;=$E17),IF(AH$5-$D17+1&lt;=ROUND(($E17-$D17+1)*$F17,0),2,IF(AH$5&lt;CFG_CurWeek,3,1)),""))</f>
        <v/>
      </c>
      <c r="AI17" s="66" t="str">
        <f aca="false">IF(OR($D17="",$E17=""),"",IF(AND(AI$5&gt;=$D17,AI$5&lt;=$E17),IF(AI$5-$D17+1&lt;=ROUND(($E17-$D17+1)*$F17,0),2,IF(AI$5&lt;CFG_CurWeek,3,1)),""))</f>
        <v/>
      </c>
      <c r="AJ17" s="66" t="str">
        <f aca="false">IF(OR($D17="",$E17=""),"",IF(AND(AJ$5&gt;=$D17,AJ$5&lt;=$E17),IF(AJ$5-$D17+1&lt;=ROUND(($E17-$D17+1)*$F17,0),2,IF(AJ$5&lt;CFG_CurWeek,3,1)),""))</f>
        <v/>
      </c>
      <c r="AK17" s="66" t="str">
        <f aca="false">IF(OR($D17="",$E17=""),"",IF(AND(AK$5&gt;=$D17,AK$5&lt;=$E17),IF(AK$5-$D17+1&lt;=ROUND(($E17-$D17+1)*$F17,0),2,IF(AK$5&lt;CFG_CurWeek,3,1)),""))</f>
        <v/>
      </c>
      <c r="AL17" s="66" t="str">
        <f aca="false">IF(OR($D17="",$E17=""),"",IF(AND(AL$5&gt;=$D17,AL$5&lt;=$E17),IF(AL$5-$D17+1&lt;=ROUND(($E17-$D17+1)*$F17,0),2,IF(AL$5&lt;CFG_CurWeek,3,1)),""))</f>
        <v/>
      </c>
      <c r="AM17" s="66" t="str">
        <f aca="false">IF(OR($D17="",$E17=""),"",IF(AND(AM$5&gt;=$D17,AM$5&lt;=$E17),IF(AM$5-$D17+1&lt;=ROUND(($E17-$D17+1)*$F17,0),2,IF(AM$5&lt;CFG_CurWeek,3,1)),""))</f>
        <v/>
      </c>
      <c r="AN17" s="66" t="str">
        <f aca="false">IF(OR($D17="",$E17=""),"",IF(AND(AN$5&gt;=$D17,AN$5&lt;=$E17),IF(AN$5-$D17+1&lt;=ROUND(($E17-$D17+1)*$F17,0),2,IF(AN$5&lt;CFG_CurWeek,3,1)),""))</f>
        <v/>
      </c>
      <c r="AO17" s="66" t="str">
        <f aca="false">IF(OR($D17="",$E17=""),"",IF(AND(AO$5&gt;=$D17,AO$5&lt;=$E17),IF(AO$5-$D17+1&lt;=ROUND(($E17-$D17+1)*$F17,0),2,IF(AO$5&lt;CFG_CurWeek,3,1)),""))</f>
        <v/>
      </c>
    </row>
    <row r="18" customFormat="false" ht="15" hidden="false" customHeight="false" outlineLevel="0" collapsed="false">
      <c r="A18" s="63" t="str">
        <f aca="false">IF('01_WBS &amp; Master Plan'!A15="","",'01_WBS &amp; Master Plan'!A15)</f>
        <v>1.5</v>
      </c>
      <c r="B18" s="64" t="str">
        <f aca="false">IF('01_WBS &amp; Master Plan'!D15="","",'01_WBS &amp; Master Plan'!D15)</f>
        <v>Dựng thanh Player cố định dưới màn hình (ảnh bìa, tên bài, nút, thanh tiến trình)</v>
      </c>
      <c r="C18" s="63" t="str">
        <f aca="false">IF('01_WBS &amp; Master Plan'!E15="","",'01_WBS &amp; Master Plan'!E15)</f>
        <v>Nhật</v>
      </c>
      <c r="D18" s="63" t="n">
        <f aca="false">IF('01_WBS &amp; Master Plan'!H15="","",'01_WBS &amp; Master Plan'!H15)</f>
        <v>5</v>
      </c>
      <c r="E18" s="63" t="n">
        <f aca="false">IF('01_WBS &amp; Master Plan'!I15="","",'01_WBS &amp; Master Plan'!I15)</f>
        <v>5</v>
      </c>
      <c r="F18" s="65" t="n">
        <f aca="false">IF(B18="","",IF('01_WBS &amp; Master Plan'!K15="Done",1,IF('01_WBS &amp; Master Plan'!L15="",0,'01_WBS &amp; Master Plan'!L15)))</f>
        <v>0</v>
      </c>
      <c r="G18" s="63" t="str">
        <f aca="false">IF('01_WBS &amp; Master Plan'!K15="","",'01_WBS &amp; Master Plan'!K15)</f>
        <v>To Do</v>
      </c>
      <c r="H18" s="66" t="str">
        <f aca="false">IF(OR($D18="",$E18=""),"",IF(AND(H$5&gt;=$D18,H$5&lt;=$E18),IF(H$5-$D18+1&lt;=ROUND(($E18-$D18+1)*$F18,0),2,IF(H$5&lt;CFG_CurWeek,3,1)),""))</f>
        <v/>
      </c>
      <c r="I18" s="66" t="str">
        <f aca="false">IF(OR($D18="",$E18=""),"",IF(AND(I$5&gt;=$D18,I$5&lt;=$E18),IF(I$5-$D18+1&lt;=ROUND(($E18-$D18+1)*$F18,0),2,IF(I$5&lt;CFG_CurWeek,3,1)),""))</f>
        <v/>
      </c>
      <c r="J18" s="66" t="str">
        <f aca="false">IF(OR($D18="",$E18=""),"",IF(AND(J$5&gt;=$D18,J$5&lt;=$E18),IF(J$5-$D18+1&lt;=ROUND(($E18-$D18+1)*$F18,0),2,IF(J$5&lt;CFG_CurWeek,3,1)),""))</f>
        <v/>
      </c>
      <c r="K18" s="66" t="str">
        <f aca="false">IF(OR($D18="",$E18=""),"",IF(AND(K$5&gt;=$D18,K$5&lt;=$E18),IF(K$5-$D18+1&lt;=ROUND(($E18-$D18+1)*$F18,0),2,IF(K$5&lt;CFG_CurWeek,3,1)),""))</f>
        <v/>
      </c>
      <c r="L18" s="66" t="n">
        <f aca="false">IF(OR($D18="",$E18=""),"",IF(AND(L$5&gt;=$D18,L$5&lt;=$E18),IF(L$5-$D18+1&lt;=ROUND(($E18-$D18+1)*$F18,0),2,IF(L$5&lt;CFG_CurWeek,3,1)),""))</f>
        <v>1</v>
      </c>
      <c r="M18" s="66" t="str">
        <f aca="false">IF(OR($D18="",$E18=""),"",IF(AND(M$5&gt;=$D18,M$5&lt;=$E18),IF(M$5-$D18+1&lt;=ROUND(($E18-$D18+1)*$F18,0),2,IF(M$5&lt;CFG_CurWeek,3,1)),""))</f>
        <v/>
      </c>
      <c r="N18" s="66" t="str">
        <f aca="false">IF(OR($D18="",$E18=""),"",IF(AND(N$5&gt;=$D18,N$5&lt;=$E18),IF(N$5-$D18+1&lt;=ROUND(($E18-$D18+1)*$F18,0),2,IF(N$5&lt;CFG_CurWeek,3,1)),""))</f>
        <v/>
      </c>
      <c r="O18" s="66" t="str">
        <f aca="false">IF(OR($D18="",$E18=""),"",IF(AND(O$5&gt;=$D18,O$5&lt;=$E18),IF(O$5-$D18+1&lt;=ROUND(($E18-$D18+1)*$F18,0),2,IF(O$5&lt;CFG_CurWeek,3,1)),""))</f>
        <v/>
      </c>
      <c r="P18" s="66" t="str">
        <f aca="false">IF(OR($D18="",$E18=""),"",IF(AND(P$5&gt;=$D18,P$5&lt;=$E18),IF(P$5-$D18+1&lt;=ROUND(($E18-$D18+1)*$F18,0),2,IF(P$5&lt;CFG_CurWeek,3,1)),""))</f>
        <v/>
      </c>
      <c r="Q18" s="66" t="str">
        <f aca="false">IF(OR($D18="",$E18=""),"",IF(AND(Q$5&gt;=$D18,Q$5&lt;=$E18),IF(Q$5-$D18+1&lt;=ROUND(($E18-$D18+1)*$F18,0),2,IF(Q$5&lt;CFG_CurWeek,3,1)),""))</f>
        <v/>
      </c>
      <c r="R18" s="66" t="str">
        <f aca="false">IF(OR($D18="",$E18=""),"",IF(AND(R$5&gt;=$D18,R$5&lt;=$E18),IF(R$5-$D18+1&lt;=ROUND(($E18-$D18+1)*$F18,0),2,IF(R$5&lt;CFG_CurWeek,3,1)),""))</f>
        <v/>
      </c>
      <c r="S18" s="66" t="str">
        <f aca="false">IF(OR($D18="",$E18=""),"",IF(AND(S$5&gt;=$D18,S$5&lt;=$E18),IF(S$5-$D18+1&lt;=ROUND(($E18-$D18+1)*$F18,0),2,IF(S$5&lt;CFG_CurWeek,3,1)),""))</f>
        <v/>
      </c>
      <c r="T18" s="66" t="str">
        <f aca="false">IF(OR($D18="",$E18=""),"",IF(AND(T$5&gt;=$D18,T$5&lt;=$E18),IF(T$5-$D18+1&lt;=ROUND(($E18-$D18+1)*$F18,0),2,IF(T$5&lt;CFG_CurWeek,3,1)),""))</f>
        <v/>
      </c>
      <c r="U18" s="66" t="str">
        <f aca="false">IF(OR($D18="",$E18=""),"",IF(AND(U$5&gt;=$D18,U$5&lt;=$E18),IF(U$5-$D18+1&lt;=ROUND(($E18-$D18+1)*$F18,0),2,IF(U$5&lt;CFG_CurWeek,3,1)),""))</f>
        <v/>
      </c>
      <c r="V18" s="66" t="str">
        <f aca="false">IF(OR($D18="",$E18=""),"",IF(AND(V$5&gt;=$D18,V$5&lt;=$E18),IF(V$5-$D18+1&lt;=ROUND(($E18-$D18+1)*$F18,0),2,IF(V$5&lt;CFG_CurWeek,3,1)),""))</f>
        <v/>
      </c>
      <c r="W18" s="66" t="str">
        <f aca="false">IF(OR($D18="",$E18=""),"",IF(AND(W$5&gt;=$D18,W$5&lt;=$E18),IF(W$5-$D18+1&lt;=ROUND(($E18-$D18+1)*$F18,0),2,IF(W$5&lt;CFG_CurWeek,3,1)),""))</f>
        <v/>
      </c>
      <c r="X18" s="66" t="str">
        <f aca="false">IF(OR($D18="",$E18=""),"",IF(AND(X$5&gt;=$D18,X$5&lt;=$E18),IF(X$5-$D18+1&lt;=ROUND(($E18-$D18+1)*$F18,0),2,IF(X$5&lt;CFG_CurWeek,3,1)),""))</f>
        <v/>
      </c>
      <c r="Y18" s="66" t="str">
        <f aca="false">IF(OR($D18="",$E18=""),"",IF(AND(Y$5&gt;=$D18,Y$5&lt;=$E18),IF(Y$5-$D18+1&lt;=ROUND(($E18-$D18+1)*$F18,0),2,IF(Y$5&lt;CFG_CurWeek,3,1)),""))</f>
        <v/>
      </c>
      <c r="Z18" s="66" t="str">
        <f aca="false">IF(OR($D18="",$E18=""),"",IF(AND(Z$5&gt;=$D18,Z$5&lt;=$E18),IF(Z$5-$D18+1&lt;=ROUND(($E18-$D18+1)*$F18,0),2,IF(Z$5&lt;CFG_CurWeek,3,1)),""))</f>
        <v/>
      </c>
      <c r="AA18" s="66" t="str">
        <f aca="false">IF(OR($D18="",$E18=""),"",IF(AND(AA$5&gt;=$D18,AA$5&lt;=$E18),IF(AA$5-$D18+1&lt;=ROUND(($E18-$D18+1)*$F18,0),2,IF(AA$5&lt;CFG_CurWeek,3,1)),""))</f>
        <v/>
      </c>
      <c r="AB18" s="66" t="str">
        <f aca="false">IF(OR($D18="",$E18=""),"",IF(AND(AB$5&gt;=$D18,AB$5&lt;=$E18),IF(AB$5-$D18+1&lt;=ROUND(($E18-$D18+1)*$F18,0),2,IF(AB$5&lt;CFG_CurWeek,3,1)),""))</f>
        <v/>
      </c>
      <c r="AC18" s="66" t="str">
        <f aca="false">IF(OR($D18="",$E18=""),"",IF(AND(AC$5&gt;=$D18,AC$5&lt;=$E18),IF(AC$5-$D18+1&lt;=ROUND(($E18-$D18+1)*$F18,0),2,IF(AC$5&lt;CFG_CurWeek,3,1)),""))</f>
        <v/>
      </c>
      <c r="AD18" s="66" t="str">
        <f aca="false">IF(OR($D18="",$E18=""),"",IF(AND(AD$5&gt;=$D18,AD$5&lt;=$E18),IF(AD$5-$D18+1&lt;=ROUND(($E18-$D18+1)*$F18,0),2,IF(AD$5&lt;CFG_CurWeek,3,1)),""))</f>
        <v/>
      </c>
      <c r="AE18" s="66" t="str">
        <f aca="false">IF(OR($D18="",$E18=""),"",IF(AND(AE$5&gt;=$D18,AE$5&lt;=$E18),IF(AE$5-$D18+1&lt;=ROUND(($E18-$D18+1)*$F18,0),2,IF(AE$5&lt;CFG_CurWeek,3,1)),""))</f>
        <v/>
      </c>
      <c r="AF18" s="66" t="str">
        <f aca="false">IF(OR($D18="",$E18=""),"",IF(AND(AF$5&gt;=$D18,AF$5&lt;=$E18),IF(AF$5-$D18+1&lt;=ROUND(($E18-$D18+1)*$F18,0),2,IF(AF$5&lt;CFG_CurWeek,3,1)),""))</f>
        <v/>
      </c>
      <c r="AG18" s="66" t="str">
        <f aca="false">IF(OR($D18="",$E18=""),"",IF(AND(AG$5&gt;=$D18,AG$5&lt;=$E18),IF(AG$5-$D18+1&lt;=ROUND(($E18-$D18+1)*$F18,0),2,IF(AG$5&lt;CFG_CurWeek,3,1)),""))</f>
        <v/>
      </c>
      <c r="AH18" s="66" t="str">
        <f aca="false">IF(OR($D18="",$E18=""),"",IF(AND(AH$5&gt;=$D18,AH$5&lt;=$E18),IF(AH$5-$D18+1&lt;=ROUND(($E18-$D18+1)*$F18,0),2,IF(AH$5&lt;CFG_CurWeek,3,1)),""))</f>
        <v/>
      </c>
      <c r="AI18" s="66" t="str">
        <f aca="false">IF(OR($D18="",$E18=""),"",IF(AND(AI$5&gt;=$D18,AI$5&lt;=$E18),IF(AI$5-$D18+1&lt;=ROUND(($E18-$D18+1)*$F18,0),2,IF(AI$5&lt;CFG_CurWeek,3,1)),""))</f>
        <v/>
      </c>
      <c r="AJ18" s="66" t="str">
        <f aca="false">IF(OR($D18="",$E18=""),"",IF(AND(AJ$5&gt;=$D18,AJ$5&lt;=$E18),IF(AJ$5-$D18+1&lt;=ROUND(($E18-$D18+1)*$F18,0),2,IF(AJ$5&lt;CFG_CurWeek,3,1)),""))</f>
        <v/>
      </c>
      <c r="AK18" s="66" t="str">
        <f aca="false">IF(OR($D18="",$E18=""),"",IF(AND(AK$5&gt;=$D18,AK$5&lt;=$E18),IF(AK$5-$D18+1&lt;=ROUND(($E18-$D18+1)*$F18,0),2,IF(AK$5&lt;CFG_CurWeek,3,1)),""))</f>
        <v/>
      </c>
      <c r="AL18" s="66" t="str">
        <f aca="false">IF(OR($D18="",$E18=""),"",IF(AND(AL$5&gt;=$D18,AL$5&lt;=$E18),IF(AL$5-$D18+1&lt;=ROUND(($E18-$D18+1)*$F18,0),2,IF(AL$5&lt;CFG_CurWeek,3,1)),""))</f>
        <v/>
      </c>
      <c r="AM18" s="66" t="str">
        <f aca="false">IF(OR($D18="",$E18=""),"",IF(AND(AM$5&gt;=$D18,AM$5&lt;=$E18),IF(AM$5-$D18+1&lt;=ROUND(($E18-$D18+1)*$F18,0),2,IF(AM$5&lt;CFG_CurWeek,3,1)),""))</f>
        <v/>
      </c>
      <c r="AN18" s="66" t="str">
        <f aca="false">IF(OR($D18="",$E18=""),"",IF(AND(AN$5&gt;=$D18,AN$5&lt;=$E18),IF(AN$5-$D18+1&lt;=ROUND(($E18-$D18+1)*$F18,0),2,IF(AN$5&lt;CFG_CurWeek,3,1)),""))</f>
        <v/>
      </c>
      <c r="AO18" s="66" t="str">
        <f aca="false">IF(OR($D18="",$E18=""),"",IF(AND(AO$5&gt;=$D18,AO$5&lt;=$E18),IF(AO$5-$D18+1&lt;=ROUND(($E18-$D18+1)*$F18,0),2,IF(AO$5&lt;CFG_CurWeek,3,1)),""))</f>
        <v/>
      </c>
    </row>
    <row r="19" customFormat="false" ht="15" hidden="false" customHeight="false" outlineLevel="0" collapsed="false">
      <c r="A19" s="63" t="str">
        <f aca="false">IF('01_WBS &amp; Master Plan'!A16="","",'01_WBS &amp; Master Plan'!A16)</f>
        <v>1.6</v>
      </c>
      <c r="B19" s="64" t="str">
        <f aca="false">IF('01_WBS &amp; Master Plan'!D16="","",'01_WBS &amp; Master Plan'!D16)</f>
        <v>Giao diện Sáng/Tối bằng CSS variables</v>
      </c>
      <c r="C19" s="63" t="str">
        <f aca="false">IF('01_WBS &amp; Master Plan'!E16="","",'01_WBS &amp; Master Plan'!E16)</f>
        <v>Nhật</v>
      </c>
      <c r="D19" s="63" t="n">
        <f aca="false">IF('01_WBS &amp; Master Plan'!H16="","",'01_WBS &amp; Master Plan'!H16)</f>
        <v>5</v>
      </c>
      <c r="E19" s="63" t="n">
        <f aca="false">IF('01_WBS &amp; Master Plan'!I16="","",'01_WBS &amp; Master Plan'!I16)</f>
        <v>5</v>
      </c>
      <c r="F19" s="65" t="n">
        <f aca="false">IF(B19="","",IF('01_WBS &amp; Master Plan'!K16="Done",1,IF('01_WBS &amp; Master Plan'!L16="",0,'01_WBS &amp; Master Plan'!L16)))</f>
        <v>0</v>
      </c>
      <c r="G19" s="63" t="str">
        <f aca="false">IF('01_WBS &amp; Master Plan'!K16="","",'01_WBS &amp; Master Plan'!K16)</f>
        <v>To Do</v>
      </c>
      <c r="H19" s="66" t="str">
        <f aca="false">IF(OR($D19="",$E19=""),"",IF(AND(H$5&gt;=$D19,H$5&lt;=$E19),IF(H$5-$D19+1&lt;=ROUND(($E19-$D19+1)*$F19,0),2,IF(H$5&lt;CFG_CurWeek,3,1)),""))</f>
        <v/>
      </c>
      <c r="I19" s="66" t="str">
        <f aca="false">IF(OR($D19="",$E19=""),"",IF(AND(I$5&gt;=$D19,I$5&lt;=$E19),IF(I$5-$D19+1&lt;=ROUND(($E19-$D19+1)*$F19,0),2,IF(I$5&lt;CFG_CurWeek,3,1)),""))</f>
        <v/>
      </c>
      <c r="J19" s="66" t="str">
        <f aca="false">IF(OR($D19="",$E19=""),"",IF(AND(J$5&gt;=$D19,J$5&lt;=$E19),IF(J$5-$D19+1&lt;=ROUND(($E19-$D19+1)*$F19,0),2,IF(J$5&lt;CFG_CurWeek,3,1)),""))</f>
        <v/>
      </c>
      <c r="K19" s="66" t="str">
        <f aca="false">IF(OR($D19="",$E19=""),"",IF(AND(K$5&gt;=$D19,K$5&lt;=$E19),IF(K$5-$D19+1&lt;=ROUND(($E19-$D19+1)*$F19,0),2,IF(K$5&lt;CFG_CurWeek,3,1)),""))</f>
        <v/>
      </c>
      <c r="L19" s="66" t="n">
        <f aca="false">IF(OR($D19="",$E19=""),"",IF(AND(L$5&gt;=$D19,L$5&lt;=$E19),IF(L$5-$D19+1&lt;=ROUND(($E19-$D19+1)*$F19,0),2,IF(L$5&lt;CFG_CurWeek,3,1)),""))</f>
        <v>1</v>
      </c>
      <c r="M19" s="66" t="str">
        <f aca="false">IF(OR($D19="",$E19=""),"",IF(AND(M$5&gt;=$D19,M$5&lt;=$E19),IF(M$5-$D19+1&lt;=ROUND(($E19-$D19+1)*$F19,0),2,IF(M$5&lt;CFG_CurWeek,3,1)),""))</f>
        <v/>
      </c>
      <c r="N19" s="66" t="str">
        <f aca="false">IF(OR($D19="",$E19=""),"",IF(AND(N$5&gt;=$D19,N$5&lt;=$E19),IF(N$5-$D19+1&lt;=ROUND(($E19-$D19+1)*$F19,0),2,IF(N$5&lt;CFG_CurWeek,3,1)),""))</f>
        <v/>
      </c>
      <c r="O19" s="66" t="str">
        <f aca="false">IF(OR($D19="",$E19=""),"",IF(AND(O$5&gt;=$D19,O$5&lt;=$E19),IF(O$5-$D19+1&lt;=ROUND(($E19-$D19+1)*$F19,0),2,IF(O$5&lt;CFG_CurWeek,3,1)),""))</f>
        <v/>
      </c>
      <c r="P19" s="66" t="str">
        <f aca="false">IF(OR($D19="",$E19=""),"",IF(AND(P$5&gt;=$D19,P$5&lt;=$E19),IF(P$5-$D19+1&lt;=ROUND(($E19-$D19+1)*$F19,0),2,IF(P$5&lt;CFG_CurWeek,3,1)),""))</f>
        <v/>
      </c>
      <c r="Q19" s="66" t="str">
        <f aca="false">IF(OR($D19="",$E19=""),"",IF(AND(Q$5&gt;=$D19,Q$5&lt;=$E19),IF(Q$5-$D19+1&lt;=ROUND(($E19-$D19+1)*$F19,0),2,IF(Q$5&lt;CFG_CurWeek,3,1)),""))</f>
        <v/>
      </c>
      <c r="R19" s="66" t="str">
        <f aca="false">IF(OR($D19="",$E19=""),"",IF(AND(R$5&gt;=$D19,R$5&lt;=$E19),IF(R$5-$D19+1&lt;=ROUND(($E19-$D19+1)*$F19,0),2,IF(R$5&lt;CFG_CurWeek,3,1)),""))</f>
        <v/>
      </c>
      <c r="S19" s="66" t="str">
        <f aca="false">IF(OR($D19="",$E19=""),"",IF(AND(S$5&gt;=$D19,S$5&lt;=$E19),IF(S$5-$D19+1&lt;=ROUND(($E19-$D19+1)*$F19,0),2,IF(S$5&lt;CFG_CurWeek,3,1)),""))</f>
        <v/>
      </c>
      <c r="T19" s="66" t="str">
        <f aca="false">IF(OR($D19="",$E19=""),"",IF(AND(T$5&gt;=$D19,T$5&lt;=$E19),IF(T$5-$D19+1&lt;=ROUND(($E19-$D19+1)*$F19,0),2,IF(T$5&lt;CFG_CurWeek,3,1)),""))</f>
        <v/>
      </c>
      <c r="U19" s="66" t="str">
        <f aca="false">IF(OR($D19="",$E19=""),"",IF(AND(U$5&gt;=$D19,U$5&lt;=$E19),IF(U$5-$D19+1&lt;=ROUND(($E19-$D19+1)*$F19,0),2,IF(U$5&lt;CFG_CurWeek,3,1)),""))</f>
        <v/>
      </c>
      <c r="V19" s="66" t="str">
        <f aca="false">IF(OR($D19="",$E19=""),"",IF(AND(V$5&gt;=$D19,V$5&lt;=$E19),IF(V$5-$D19+1&lt;=ROUND(($E19-$D19+1)*$F19,0),2,IF(V$5&lt;CFG_CurWeek,3,1)),""))</f>
        <v/>
      </c>
      <c r="W19" s="66" t="str">
        <f aca="false">IF(OR($D19="",$E19=""),"",IF(AND(W$5&gt;=$D19,W$5&lt;=$E19),IF(W$5-$D19+1&lt;=ROUND(($E19-$D19+1)*$F19,0),2,IF(W$5&lt;CFG_CurWeek,3,1)),""))</f>
        <v/>
      </c>
      <c r="X19" s="66" t="str">
        <f aca="false">IF(OR($D19="",$E19=""),"",IF(AND(X$5&gt;=$D19,X$5&lt;=$E19),IF(X$5-$D19+1&lt;=ROUND(($E19-$D19+1)*$F19,0),2,IF(X$5&lt;CFG_CurWeek,3,1)),""))</f>
        <v/>
      </c>
      <c r="Y19" s="66" t="str">
        <f aca="false">IF(OR($D19="",$E19=""),"",IF(AND(Y$5&gt;=$D19,Y$5&lt;=$E19),IF(Y$5-$D19+1&lt;=ROUND(($E19-$D19+1)*$F19,0),2,IF(Y$5&lt;CFG_CurWeek,3,1)),""))</f>
        <v/>
      </c>
      <c r="Z19" s="66" t="str">
        <f aca="false">IF(OR($D19="",$E19=""),"",IF(AND(Z$5&gt;=$D19,Z$5&lt;=$E19),IF(Z$5-$D19+1&lt;=ROUND(($E19-$D19+1)*$F19,0),2,IF(Z$5&lt;CFG_CurWeek,3,1)),""))</f>
        <v/>
      </c>
      <c r="AA19" s="66" t="str">
        <f aca="false">IF(OR($D19="",$E19=""),"",IF(AND(AA$5&gt;=$D19,AA$5&lt;=$E19),IF(AA$5-$D19+1&lt;=ROUND(($E19-$D19+1)*$F19,0),2,IF(AA$5&lt;CFG_CurWeek,3,1)),""))</f>
        <v/>
      </c>
      <c r="AB19" s="66" t="str">
        <f aca="false">IF(OR($D19="",$E19=""),"",IF(AND(AB$5&gt;=$D19,AB$5&lt;=$E19),IF(AB$5-$D19+1&lt;=ROUND(($E19-$D19+1)*$F19,0),2,IF(AB$5&lt;CFG_CurWeek,3,1)),""))</f>
        <v/>
      </c>
      <c r="AC19" s="66" t="str">
        <f aca="false">IF(OR($D19="",$E19=""),"",IF(AND(AC$5&gt;=$D19,AC$5&lt;=$E19),IF(AC$5-$D19+1&lt;=ROUND(($E19-$D19+1)*$F19,0),2,IF(AC$5&lt;CFG_CurWeek,3,1)),""))</f>
        <v/>
      </c>
      <c r="AD19" s="66" t="str">
        <f aca="false">IF(OR($D19="",$E19=""),"",IF(AND(AD$5&gt;=$D19,AD$5&lt;=$E19),IF(AD$5-$D19+1&lt;=ROUND(($E19-$D19+1)*$F19,0),2,IF(AD$5&lt;CFG_CurWeek,3,1)),""))</f>
        <v/>
      </c>
      <c r="AE19" s="66" t="str">
        <f aca="false">IF(OR($D19="",$E19=""),"",IF(AND(AE$5&gt;=$D19,AE$5&lt;=$E19),IF(AE$5-$D19+1&lt;=ROUND(($E19-$D19+1)*$F19,0),2,IF(AE$5&lt;CFG_CurWeek,3,1)),""))</f>
        <v/>
      </c>
      <c r="AF19" s="66" t="str">
        <f aca="false">IF(OR($D19="",$E19=""),"",IF(AND(AF$5&gt;=$D19,AF$5&lt;=$E19),IF(AF$5-$D19+1&lt;=ROUND(($E19-$D19+1)*$F19,0),2,IF(AF$5&lt;CFG_CurWeek,3,1)),""))</f>
        <v/>
      </c>
      <c r="AG19" s="66" t="str">
        <f aca="false">IF(OR($D19="",$E19=""),"",IF(AND(AG$5&gt;=$D19,AG$5&lt;=$E19),IF(AG$5-$D19+1&lt;=ROUND(($E19-$D19+1)*$F19,0),2,IF(AG$5&lt;CFG_CurWeek,3,1)),""))</f>
        <v/>
      </c>
      <c r="AH19" s="66" t="str">
        <f aca="false">IF(OR($D19="",$E19=""),"",IF(AND(AH$5&gt;=$D19,AH$5&lt;=$E19),IF(AH$5-$D19+1&lt;=ROUND(($E19-$D19+1)*$F19,0),2,IF(AH$5&lt;CFG_CurWeek,3,1)),""))</f>
        <v/>
      </c>
      <c r="AI19" s="66" t="str">
        <f aca="false">IF(OR($D19="",$E19=""),"",IF(AND(AI$5&gt;=$D19,AI$5&lt;=$E19),IF(AI$5-$D19+1&lt;=ROUND(($E19-$D19+1)*$F19,0),2,IF(AI$5&lt;CFG_CurWeek,3,1)),""))</f>
        <v/>
      </c>
      <c r="AJ19" s="66" t="str">
        <f aca="false">IF(OR($D19="",$E19=""),"",IF(AND(AJ$5&gt;=$D19,AJ$5&lt;=$E19),IF(AJ$5-$D19+1&lt;=ROUND(($E19-$D19+1)*$F19,0),2,IF(AJ$5&lt;CFG_CurWeek,3,1)),""))</f>
        <v/>
      </c>
      <c r="AK19" s="66" t="str">
        <f aca="false">IF(OR($D19="",$E19=""),"",IF(AND(AK$5&gt;=$D19,AK$5&lt;=$E19),IF(AK$5-$D19+1&lt;=ROUND(($E19-$D19+1)*$F19,0),2,IF(AK$5&lt;CFG_CurWeek,3,1)),""))</f>
        <v/>
      </c>
      <c r="AL19" s="66" t="str">
        <f aca="false">IF(OR($D19="",$E19=""),"",IF(AND(AL$5&gt;=$D19,AL$5&lt;=$E19),IF(AL$5-$D19+1&lt;=ROUND(($E19-$D19+1)*$F19,0),2,IF(AL$5&lt;CFG_CurWeek,3,1)),""))</f>
        <v/>
      </c>
      <c r="AM19" s="66" t="str">
        <f aca="false">IF(OR($D19="",$E19=""),"",IF(AND(AM$5&gt;=$D19,AM$5&lt;=$E19),IF(AM$5-$D19+1&lt;=ROUND(($E19-$D19+1)*$F19,0),2,IF(AM$5&lt;CFG_CurWeek,3,1)),""))</f>
        <v/>
      </c>
      <c r="AN19" s="66" t="str">
        <f aca="false">IF(OR($D19="",$E19=""),"",IF(AND(AN$5&gt;=$D19,AN$5&lt;=$E19),IF(AN$5-$D19+1&lt;=ROUND(($E19-$D19+1)*$F19,0),2,IF(AN$5&lt;CFG_CurWeek,3,1)),""))</f>
        <v/>
      </c>
      <c r="AO19" s="66" t="str">
        <f aca="false">IF(OR($D19="",$E19=""),"",IF(AND(AO$5&gt;=$D19,AO$5&lt;=$E19),IF(AO$5-$D19+1&lt;=ROUND(($E19-$D19+1)*$F19,0),2,IF(AO$5&lt;CFG_CurWeek,3,1)),""))</f>
        <v/>
      </c>
    </row>
    <row r="20" customFormat="false" ht="15" hidden="false" customHeight="false" outlineLevel="0" collapsed="false">
      <c r="A20" s="63" t="str">
        <f aca="false">IF('01_WBS &amp; Master Plan'!A17="","",'01_WBS &amp; Master Plan'!A17)</f>
        <v>1.7</v>
      </c>
      <c r="B20" s="64" t="str">
        <f aca="false">IF('01_WBS &amp; Master Plan'!D17="","",'01_WBS &amp; Master Plan'!D17)</f>
        <v>Kiểm tra responsive ở 3 kích thước (mobile/tablet/laptop)</v>
      </c>
      <c r="C20" s="63" t="str">
        <f aca="false">IF('01_WBS &amp; Master Plan'!E17="","",'01_WBS &amp; Master Plan'!E17)</f>
        <v>Nhật</v>
      </c>
      <c r="D20" s="63" t="n">
        <f aca="false">IF('01_WBS &amp; Master Plan'!H17="","",'01_WBS &amp; Master Plan'!H17)</f>
        <v>5</v>
      </c>
      <c r="E20" s="63" t="n">
        <f aca="false">IF('01_WBS &amp; Master Plan'!I17="","",'01_WBS &amp; Master Plan'!I17)</f>
        <v>5</v>
      </c>
      <c r="F20" s="65" t="n">
        <f aca="false">IF(B20="","",IF('01_WBS &amp; Master Plan'!K17="Done",1,IF('01_WBS &amp; Master Plan'!L17="",0,'01_WBS &amp; Master Plan'!L17)))</f>
        <v>0</v>
      </c>
      <c r="G20" s="63" t="str">
        <f aca="false">IF('01_WBS &amp; Master Plan'!K17="","",'01_WBS &amp; Master Plan'!K17)</f>
        <v>To Do</v>
      </c>
      <c r="H20" s="66" t="str">
        <f aca="false">IF(OR($D20="",$E20=""),"",IF(AND(H$5&gt;=$D20,H$5&lt;=$E20),IF(H$5-$D20+1&lt;=ROUND(($E20-$D20+1)*$F20,0),2,IF(H$5&lt;CFG_CurWeek,3,1)),""))</f>
        <v/>
      </c>
      <c r="I20" s="66" t="str">
        <f aca="false">IF(OR($D20="",$E20=""),"",IF(AND(I$5&gt;=$D20,I$5&lt;=$E20),IF(I$5-$D20+1&lt;=ROUND(($E20-$D20+1)*$F20,0),2,IF(I$5&lt;CFG_CurWeek,3,1)),""))</f>
        <v/>
      </c>
      <c r="J20" s="66" t="str">
        <f aca="false">IF(OR($D20="",$E20=""),"",IF(AND(J$5&gt;=$D20,J$5&lt;=$E20),IF(J$5-$D20+1&lt;=ROUND(($E20-$D20+1)*$F20,0),2,IF(J$5&lt;CFG_CurWeek,3,1)),""))</f>
        <v/>
      </c>
      <c r="K20" s="66" t="str">
        <f aca="false">IF(OR($D20="",$E20=""),"",IF(AND(K$5&gt;=$D20,K$5&lt;=$E20),IF(K$5-$D20+1&lt;=ROUND(($E20-$D20+1)*$F20,0),2,IF(K$5&lt;CFG_CurWeek,3,1)),""))</f>
        <v/>
      </c>
      <c r="L20" s="66" t="n">
        <f aca="false">IF(OR($D20="",$E20=""),"",IF(AND(L$5&gt;=$D20,L$5&lt;=$E20),IF(L$5-$D20+1&lt;=ROUND(($E20-$D20+1)*$F20,0),2,IF(L$5&lt;CFG_CurWeek,3,1)),""))</f>
        <v>1</v>
      </c>
      <c r="M20" s="66" t="str">
        <f aca="false">IF(OR($D20="",$E20=""),"",IF(AND(M$5&gt;=$D20,M$5&lt;=$E20),IF(M$5-$D20+1&lt;=ROUND(($E20-$D20+1)*$F20,0),2,IF(M$5&lt;CFG_CurWeek,3,1)),""))</f>
        <v/>
      </c>
      <c r="N20" s="66" t="str">
        <f aca="false">IF(OR($D20="",$E20=""),"",IF(AND(N$5&gt;=$D20,N$5&lt;=$E20),IF(N$5-$D20+1&lt;=ROUND(($E20-$D20+1)*$F20,0),2,IF(N$5&lt;CFG_CurWeek,3,1)),""))</f>
        <v/>
      </c>
      <c r="O20" s="66" t="str">
        <f aca="false">IF(OR($D20="",$E20=""),"",IF(AND(O$5&gt;=$D20,O$5&lt;=$E20),IF(O$5-$D20+1&lt;=ROUND(($E20-$D20+1)*$F20,0),2,IF(O$5&lt;CFG_CurWeek,3,1)),""))</f>
        <v/>
      </c>
      <c r="P20" s="66" t="str">
        <f aca="false">IF(OR($D20="",$E20=""),"",IF(AND(P$5&gt;=$D20,P$5&lt;=$E20),IF(P$5-$D20+1&lt;=ROUND(($E20-$D20+1)*$F20,0),2,IF(P$5&lt;CFG_CurWeek,3,1)),""))</f>
        <v/>
      </c>
      <c r="Q20" s="66" t="str">
        <f aca="false">IF(OR($D20="",$E20=""),"",IF(AND(Q$5&gt;=$D20,Q$5&lt;=$E20),IF(Q$5-$D20+1&lt;=ROUND(($E20-$D20+1)*$F20,0),2,IF(Q$5&lt;CFG_CurWeek,3,1)),""))</f>
        <v/>
      </c>
      <c r="R20" s="66" t="str">
        <f aca="false">IF(OR($D20="",$E20=""),"",IF(AND(R$5&gt;=$D20,R$5&lt;=$E20),IF(R$5-$D20+1&lt;=ROUND(($E20-$D20+1)*$F20,0),2,IF(R$5&lt;CFG_CurWeek,3,1)),""))</f>
        <v/>
      </c>
      <c r="S20" s="66" t="str">
        <f aca="false">IF(OR($D20="",$E20=""),"",IF(AND(S$5&gt;=$D20,S$5&lt;=$E20),IF(S$5-$D20+1&lt;=ROUND(($E20-$D20+1)*$F20,0),2,IF(S$5&lt;CFG_CurWeek,3,1)),""))</f>
        <v/>
      </c>
      <c r="T20" s="66" t="str">
        <f aca="false">IF(OR($D20="",$E20=""),"",IF(AND(T$5&gt;=$D20,T$5&lt;=$E20),IF(T$5-$D20+1&lt;=ROUND(($E20-$D20+1)*$F20,0),2,IF(T$5&lt;CFG_CurWeek,3,1)),""))</f>
        <v/>
      </c>
      <c r="U20" s="66" t="str">
        <f aca="false">IF(OR($D20="",$E20=""),"",IF(AND(U$5&gt;=$D20,U$5&lt;=$E20),IF(U$5-$D20+1&lt;=ROUND(($E20-$D20+1)*$F20,0),2,IF(U$5&lt;CFG_CurWeek,3,1)),""))</f>
        <v/>
      </c>
      <c r="V20" s="66" t="str">
        <f aca="false">IF(OR($D20="",$E20=""),"",IF(AND(V$5&gt;=$D20,V$5&lt;=$E20),IF(V$5-$D20+1&lt;=ROUND(($E20-$D20+1)*$F20,0),2,IF(V$5&lt;CFG_CurWeek,3,1)),""))</f>
        <v/>
      </c>
      <c r="W20" s="66" t="str">
        <f aca="false">IF(OR($D20="",$E20=""),"",IF(AND(W$5&gt;=$D20,W$5&lt;=$E20),IF(W$5-$D20+1&lt;=ROUND(($E20-$D20+1)*$F20,0),2,IF(W$5&lt;CFG_CurWeek,3,1)),""))</f>
        <v/>
      </c>
      <c r="X20" s="66" t="str">
        <f aca="false">IF(OR($D20="",$E20=""),"",IF(AND(X$5&gt;=$D20,X$5&lt;=$E20),IF(X$5-$D20+1&lt;=ROUND(($E20-$D20+1)*$F20,0),2,IF(X$5&lt;CFG_CurWeek,3,1)),""))</f>
        <v/>
      </c>
      <c r="Y20" s="66" t="str">
        <f aca="false">IF(OR($D20="",$E20=""),"",IF(AND(Y$5&gt;=$D20,Y$5&lt;=$E20),IF(Y$5-$D20+1&lt;=ROUND(($E20-$D20+1)*$F20,0),2,IF(Y$5&lt;CFG_CurWeek,3,1)),""))</f>
        <v/>
      </c>
      <c r="Z20" s="66" t="str">
        <f aca="false">IF(OR($D20="",$E20=""),"",IF(AND(Z$5&gt;=$D20,Z$5&lt;=$E20),IF(Z$5-$D20+1&lt;=ROUND(($E20-$D20+1)*$F20,0),2,IF(Z$5&lt;CFG_CurWeek,3,1)),""))</f>
        <v/>
      </c>
      <c r="AA20" s="66" t="str">
        <f aca="false">IF(OR($D20="",$E20=""),"",IF(AND(AA$5&gt;=$D20,AA$5&lt;=$E20),IF(AA$5-$D20+1&lt;=ROUND(($E20-$D20+1)*$F20,0),2,IF(AA$5&lt;CFG_CurWeek,3,1)),""))</f>
        <v/>
      </c>
      <c r="AB20" s="66" t="str">
        <f aca="false">IF(OR($D20="",$E20=""),"",IF(AND(AB$5&gt;=$D20,AB$5&lt;=$E20),IF(AB$5-$D20+1&lt;=ROUND(($E20-$D20+1)*$F20,0),2,IF(AB$5&lt;CFG_CurWeek,3,1)),""))</f>
        <v/>
      </c>
      <c r="AC20" s="66" t="str">
        <f aca="false">IF(OR($D20="",$E20=""),"",IF(AND(AC$5&gt;=$D20,AC$5&lt;=$E20),IF(AC$5-$D20+1&lt;=ROUND(($E20-$D20+1)*$F20,0),2,IF(AC$5&lt;CFG_CurWeek,3,1)),""))</f>
        <v/>
      </c>
      <c r="AD20" s="66" t="str">
        <f aca="false">IF(OR($D20="",$E20=""),"",IF(AND(AD$5&gt;=$D20,AD$5&lt;=$E20),IF(AD$5-$D20+1&lt;=ROUND(($E20-$D20+1)*$F20,0),2,IF(AD$5&lt;CFG_CurWeek,3,1)),""))</f>
        <v/>
      </c>
      <c r="AE20" s="66" t="str">
        <f aca="false">IF(OR($D20="",$E20=""),"",IF(AND(AE$5&gt;=$D20,AE$5&lt;=$E20),IF(AE$5-$D20+1&lt;=ROUND(($E20-$D20+1)*$F20,0),2,IF(AE$5&lt;CFG_CurWeek,3,1)),""))</f>
        <v/>
      </c>
      <c r="AF20" s="66" t="str">
        <f aca="false">IF(OR($D20="",$E20=""),"",IF(AND(AF$5&gt;=$D20,AF$5&lt;=$E20),IF(AF$5-$D20+1&lt;=ROUND(($E20-$D20+1)*$F20,0),2,IF(AF$5&lt;CFG_CurWeek,3,1)),""))</f>
        <v/>
      </c>
      <c r="AG20" s="66" t="str">
        <f aca="false">IF(OR($D20="",$E20=""),"",IF(AND(AG$5&gt;=$D20,AG$5&lt;=$E20),IF(AG$5-$D20+1&lt;=ROUND(($E20-$D20+1)*$F20,0),2,IF(AG$5&lt;CFG_CurWeek,3,1)),""))</f>
        <v/>
      </c>
      <c r="AH20" s="66" t="str">
        <f aca="false">IF(OR($D20="",$E20=""),"",IF(AND(AH$5&gt;=$D20,AH$5&lt;=$E20),IF(AH$5-$D20+1&lt;=ROUND(($E20-$D20+1)*$F20,0),2,IF(AH$5&lt;CFG_CurWeek,3,1)),""))</f>
        <v/>
      </c>
      <c r="AI20" s="66" t="str">
        <f aca="false">IF(OR($D20="",$E20=""),"",IF(AND(AI$5&gt;=$D20,AI$5&lt;=$E20),IF(AI$5-$D20+1&lt;=ROUND(($E20-$D20+1)*$F20,0),2,IF(AI$5&lt;CFG_CurWeek,3,1)),""))</f>
        <v/>
      </c>
      <c r="AJ20" s="66" t="str">
        <f aca="false">IF(OR($D20="",$E20=""),"",IF(AND(AJ$5&gt;=$D20,AJ$5&lt;=$E20),IF(AJ$5-$D20+1&lt;=ROUND(($E20-$D20+1)*$F20,0),2,IF(AJ$5&lt;CFG_CurWeek,3,1)),""))</f>
        <v/>
      </c>
      <c r="AK20" s="66" t="str">
        <f aca="false">IF(OR($D20="",$E20=""),"",IF(AND(AK$5&gt;=$D20,AK$5&lt;=$E20),IF(AK$5-$D20+1&lt;=ROUND(($E20-$D20+1)*$F20,0),2,IF(AK$5&lt;CFG_CurWeek,3,1)),""))</f>
        <v/>
      </c>
      <c r="AL20" s="66" t="str">
        <f aca="false">IF(OR($D20="",$E20=""),"",IF(AND(AL$5&gt;=$D20,AL$5&lt;=$E20),IF(AL$5-$D20+1&lt;=ROUND(($E20-$D20+1)*$F20,0),2,IF(AL$5&lt;CFG_CurWeek,3,1)),""))</f>
        <v/>
      </c>
      <c r="AM20" s="66" t="str">
        <f aca="false">IF(OR($D20="",$E20=""),"",IF(AND(AM$5&gt;=$D20,AM$5&lt;=$E20),IF(AM$5-$D20+1&lt;=ROUND(($E20-$D20+1)*$F20,0),2,IF(AM$5&lt;CFG_CurWeek,3,1)),""))</f>
        <v/>
      </c>
      <c r="AN20" s="66" t="str">
        <f aca="false">IF(OR($D20="",$E20=""),"",IF(AND(AN$5&gt;=$D20,AN$5&lt;=$E20),IF(AN$5-$D20+1&lt;=ROUND(($E20-$D20+1)*$F20,0),2,IF(AN$5&lt;CFG_CurWeek,3,1)),""))</f>
        <v/>
      </c>
      <c r="AO20" s="66" t="str">
        <f aca="false">IF(OR($D20="",$E20=""),"",IF(AND(AO$5&gt;=$D20,AO$5&lt;=$E20),IF(AO$5-$D20+1&lt;=ROUND(($E20-$D20+1)*$F20,0),2,IF(AO$5&lt;CFG_CurWeek,3,1)),""))</f>
        <v/>
      </c>
    </row>
    <row r="21" customFormat="false" ht="15" hidden="false" customHeight="false" outlineLevel="0" collapsed="false">
      <c r="A21" s="63" t="str">
        <f aca="false">IF('01_WBS &amp; Master Plan'!A18="","",'01_WBS &amp; Master Plan'!A18)</f>
        <v>2.1</v>
      </c>
      <c r="B21" s="64" t="str">
        <f aca="false">IF('01_WBS &amp; Master Plan'!D18="","",'01_WBS &amp; Master Plan'!D18)</f>
        <v>Học JavaScript cơ bản: biến, hàm, mảng, object, map/filter</v>
      </c>
      <c r="C21" s="63" t="str">
        <f aca="false">IF('01_WBS &amp; Master Plan'!E18="","",'01_WBS &amp; Master Plan'!E18)</f>
        <v>Nhật</v>
      </c>
      <c r="D21" s="63" t="n">
        <f aca="false">IF('01_WBS &amp; Master Plan'!H18="","",'01_WBS &amp; Master Plan'!H18)</f>
        <v>6</v>
      </c>
      <c r="E21" s="63" t="n">
        <f aca="false">IF('01_WBS &amp; Master Plan'!I18="","",'01_WBS &amp; Master Plan'!I18)</f>
        <v>7</v>
      </c>
      <c r="F21" s="65" t="n">
        <f aca="false">IF(B21="","",IF('01_WBS &amp; Master Plan'!K18="Done",1,IF('01_WBS &amp; Master Plan'!L18="",0,'01_WBS &amp; Master Plan'!L18)))</f>
        <v>0</v>
      </c>
      <c r="G21" s="63" t="str">
        <f aca="false">IF('01_WBS &amp; Master Plan'!K18="","",'01_WBS &amp; Master Plan'!K18)</f>
        <v>To Do</v>
      </c>
      <c r="H21" s="66" t="str">
        <f aca="false">IF(OR($D21="",$E21=""),"",IF(AND(H$5&gt;=$D21,H$5&lt;=$E21),IF(H$5-$D21+1&lt;=ROUND(($E21-$D21+1)*$F21,0),2,IF(H$5&lt;CFG_CurWeek,3,1)),""))</f>
        <v/>
      </c>
      <c r="I21" s="66" t="str">
        <f aca="false">IF(OR($D21="",$E21=""),"",IF(AND(I$5&gt;=$D21,I$5&lt;=$E21),IF(I$5-$D21+1&lt;=ROUND(($E21-$D21+1)*$F21,0),2,IF(I$5&lt;CFG_CurWeek,3,1)),""))</f>
        <v/>
      </c>
      <c r="J21" s="66" t="str">
        <f aca="false">IF(OR($D21="",$E21=""),"",IF(AND(J$5&gt;=$D21,J$5&lt;=$E21),IF(J$5-$D21+1&lt;=ROUND(($E21-$D21+1)*$F21,0),2,IF(J$5&lt;CFG_CurWeek,3,1)),""))</f>
        <v/>
      </c>
      <c r="K21" s="66" t="str">
        <f aca="false">IF(OR($D21="",$E21=""),"",IF(AND(K$5&gt;=$D21,K$5&lt;=$E21),IF(K$5-$D21+1&lt;=ROUND(($E21-$D21+1)*$F21,0),2,IF(K$5&lt;CFG_CurWeek,3,1)),""))</f>
        <v/>
      </c>
      <c r="L21" s="66" t="str">
        <f aca="false">IF(OR($D21="",$E21=""),"",IF(AND(L$5&gt;=$D21,L$5&lt;=$E21),IF(L$5-$D21+1&lt;=ROUND(($E21-$D21+1)*$F21,0),2,IF(L$5&lt;CFG_CurWeek,3,1)),""))</f>
        <v/>
      </c>
      <c r="M21" s="66" t="n">
        <f aca="false">IF(OR($D21="",$E21=""),"",IF(AND(M$5&gt;=$D21,M$5&lt;=$E21),IF(M$5-$D21+1&lt;=ROUND(($E21-$D21+1)*$F21,0),2,IF(M$5&lt;CFG_CurWeek,3,1)),""))</f>
        <v>1</v>
      </c>
      <c r="N21" s="66" t="n">
        <f aca="false">IF(OR($D21="",$E21=""),"",IF(AND(N$5&gt;=$D21,N$5&lt;=$E21),IF(N$5-$D21+1&lt;=ROUND(($E21-$D21+1)*$F21,0),2,IF(N$5&lt;CFG_CurWeek,3,1)),""))</f>
        <v>1</v>
      </c>
      <c r="O21" s="66" t="str">
        <f aca="false">IF(OR($D21="",$E21=""),"",IF(AND(O$5&gt;=$D21,O$5&lt;=$E21),IF(O$5-$D21+1&lt;=ROUND(($E21-$D21+1)*$F21,0),2,IF(O$5&lt;CFG_CurWeek,3,1)),""))</f>
        <v/>
      </c>
      <c r="P21" s="66" t="str">
        <f aca="false">IF(OR($D21="",$E21=""),"",IF(AND(P$5&gt;=$D21,P$5&lt;=$E21),IF(P$5-$D21+1&lt;=ROUND(($E21-$D21+1)*$F21,0),2,IF(P$5&lt;CFG_CurWeek,3,1)),""))</f>
        <v/>
      </c>
      <c r="Q21" s="66" t="str">
        <f aca="false">IF(OR($D21="",$E21=""),"",IF(AND(Q$5&gt;=$D21,Q$5&lt;=$E21),IF(Q$5-$D21+1&lt;=ROUND(($E21-$D21+1)*$F21,0),2,IF(Q$5&lt;CFG_CurWeek,3,1)),""))</f>
        <v/>
      </c>
      <c r="R21" s="66" t="str">
        <f aca="false">IF(OR($D21="",$E21=""),"",IF(AND(R$5&gt;=$D21,R$5&lt;=$E21),IF(R$5-$D21+1&lt;=ROUND(($E21-$D21+1)*$F21,0),2,IF(R$5&lt;CFG_CurWeek,3,1)),""))</f>
        <v/>
      </c>
      <c r="S21" s="66" t="str">
        <f aca="false">IF(OR($D21="",$E21=""),"",IF(AND(S$5&gt;=$D21,S$5&lt;=$E21),IF(S$5-$D21+1&lt;=ROUND(($E21-$D21+1)*$F21,0),2,IF(S$5&lt;CFG_CurWeek,3,1)),""))</f>
        <v/>
      </c>
      <c r="T21" s="66" t="str">
        <f aca="false">IF(OR($D21="",$E21=""),"",IF(AND(T$5&gt;=$D21,T$5&lt;=$E21),IF(T$5-$D21+1&lt;=ROUND(($E21-$D21+1)*$F21,0),2,IF(T$5&lt;CFG_CurWeek,3,1)),""))</f>
        <v/>
      </c>
      <c r="U21" s="66" t="str">
        <f aca="false">IF(OR($D21="",$E21=""),"",IF(AND(U$5&gt;=$D21,U$5&lt;=$E21),IF(U$5-$D21+1&lt;=ROUND(($E21-$D21+1)*$F21,0),2,IF(U$5&lt;CFG_CurWeek,3,1)),""))</f>
        <v/>
      </c>
      <c r="V21" s="66" t="str">
        <f aca="false">IF(OR($D21="",$E21=""),"",IF(AND(V$5&gt;=$D21,V$5&lt;=$E21),IF(V$5-$D21+1&lt;=ROUND(($E21-$D21+1)*$F21,0),2,IF(V$5&lt;CFG_CurWeek,3,1)),""))</f>
        <v/>
      </c>
      <c r="W21" s="66" t="str">
        <f aca="false">IF(OR($D21="",$E21=""),"",IF(AND(W$5&gt;=$D21,W$5&lt;=$E21),IF(W$5-$D21+1&lt;=ROUND(($E21-$D21+1)*$F21,0),2,IF(W$5&lt;CFG_CurWeek,3,1)),""))</f>
        <v/>
      </c>
      <c r="X21" s="66" t="str">
        <f aca="false">IF(OR($D21="",$E21=""),"",IF(AND(X$5&gt;=$D21,X$5&lt;=$E21),IF(X$5-$D21+1&lt;=ROUND(($E21-$D21+1)*$F21,0),2,IF(X$5&lt;CFG_CurWeek,3,1)),""))</f>
        <v/>
      </c>
      <c r="Y21" s="66" t="str">
        <f aca="false">IF(OR($D21="",$E21=""),"",IF(AND(Y$5&gt;=$D21,Y$5&lt;=$E21),IF(Y$5-$D21+1&lt;=ROUND(($E21-$D21+1)*$F21,0),2,IF(Y$5&lt;CFG_CurWeek,3,1)),""))</f>
        <v/>
      </c>
      <c r="Z21" s="66" t="str">
        <f aca="false">IF(OR($D21="",$E21=""),"",IF(AND(Z$5&gt;=$D21,Z$5&lt;=$E21),IF(Z$5-$D21+1&lt;=ROUND(($E21-$D21+1)*$F21,0),2,IF(Z$5&lt;CFG_CurWeek,3,1)),""))</f>
        <v/>
      </c>
      <c r="AA21" s="66" t="str">
        <f aca="false">IF(OR($D21="",$E21=""),"",IF(AND(AA$5&gt;=$D21,AA$5&lt;=$E21),IF(AA$5-$D21+1&lt;=ROUND(($E21-$D21+1)*$F21,0),2,IF(AA$5&lt;CFG_CurWeek,3,1)),""))</f>
        <v/>
      </c>
      <c r="AB21" s="66" t="str">
        <f aca="false">IF(OR($D21="",$E21=""),"",IF(AND(AB$5&gt;=$D21,AB$5&lt;=$E21),IF(AB$5-$D21+1&lt;=ROUND(($E21-$D21+1)*$F21,0),2,IF(AB$5&lt;CFG_CurWeek,3,1)),""))</f>
        <v/>
      </c>
      <c r="AC21" s="66" t="str">
        <f aca="false">IF(OR($D21="",$E21=""),"",IF(AND(AC$5&gt;=$D21,AC$5&lt;=$E21),IF(AC$5-$D21+1&lt;=ROUND(($E21-$D21+1)*$F21,0),2,IF(AC$5&lt;CFG_CurWeek,3,1)),""))</f>
        <v/>
      </c>
      <c r="AD21" s="66" t="str">
        <f aca="false">IF(OR($D21="",$E21=""),"",IF(AND(AD$5&gt;=$D21,AD$5&lt;=$E21),IF(AD$5-$D21+1&lt;=ROUND(($E21-$D21+1)*$F21,0),2,IF(AD$5&lt;CFG_CurWeek,3,1)),""))</f>
        <v/>
      </c>
      <c r="AE21" s="66" t="str">
        <f aca="false">IF(OR($D21="",$E21=""),"",IF(AND(AE$5&gt;=$D21,AE$5&lt;=$E21),IF(AE$5-$D21+1&lt;=ROUND(($E21-$D21+1)*$F21,0),2,IF(AE$5&lt;CFG_CurWeek,3,1)),""))</f>
        <v/>
      </c>
      <c r="AF21" s="66" t="str">
        <f aca="false">IF(OR($D21="",$E21=""),"",IF(AND(AF$5&gt;=$D21,AF$5&lt;=$E21),IF(AF$5-$D21+1&lt;=ROUND(($E21-$D21+1)*$F21,0),2,IF(AF$5&lt;CFG_CurWeek,3,1)),""))</f>
        <v/>
      </c>
      <c r="AG21" s="66" t="str">
        <f aca="false">IF(OR($D21="",$E21=""),"",IF(AND(AG$5&gt;=$D21,AG$5&lt;=$E21),IF(AG$5-$D21+1&lt;=ROUND(($E21-$D21+1)*$F21,0),2,IF(AG$5&lt;CFG_CurWeek,3,1)),""))</f>
        <v/>
      </c>
      <c r="AH21" s="66" t="str">
        <f aca="false">IF(OR($D21="",$E21=""),"",IF(AND(AH$5&gt;=$D21,AH$5&lt;=$E21),IF(AH$5-$D21+1&lt;=ROUND(($E21-$D21+1)*$F21,0),2,IF(AH$5&lt;CFG_CurWeek,3,1)),""))</f>
        <v/>
      </c>
      <c r="AI21" s="66" t="str">
        <f aca="false">IF(OR($D21="",$E21=""),"",IF(AND(AI$5&gt;=$D21,AI$5&lt;=$E21),IF(AI$5-$D21+1&lt;=ROUND(($E21-$D21+1)*$F21,0),2,IF(AI$5&lt;CFG_CurWeek,3,1)),""))</f>
        <v/>
      </c>
      <c r="AJ21" s="66" t="str">
        <f aca="false">IF(OR($D21="",$E21=""),"",IF(AND(AJ$5&gt;=$D21,AJ$5&lt;=$E21),IF(AJ$5-$D21+1&lt;=ROUND(($E21-$D21+1)*$F21,0),2,IF(AJ$5&lt;CFG_CurWeek,3,1)),""))</f>
        <v/>
      </c>
      <c r="AK21" s="66" t="str">
        <f aca="false">IF(OR($D21="",$E21=""),"",IF(AND(AK$5&gt;=$D21,AK$5&lt;=$E21),IF(AK$5-$D21+1&lt;=ROUND(($E21-$D21+1)*$F21,0),2,IF(AK$5&lt;CFG_CurWeek,3,1)),""))</f>
        <v/>
      </c>
      <c r="AL21" s="66" t="str">
        <f aca="false">IF(OR($D21="",$E21=""),"",IF(AND(AL$5&gt;=$D21,AL$5&lt;=$E21),IF(AL$5-$D21+1&lt;=ROUND(($E21-$D21+1)*$F21,0),2,IF(AL$5&lt;CFG_CurWeek,3,1)),""))</f>
        <v/>
      </c>
      <c r="AM21" s="66" t="str">
        <f aca="false">IF(OR($D21="",$E21=""),"",IF(AND(AM$5&gt;=$D21,AM$5&lt;=$E21),IF(AM$5-$D21+1&lt;=ROUND(($E21-$D21+1)*$F21,0),2,IF(AM$5&lt;CFG_CurWeek,3,1)),""))</f>
        <v/>
      </c>
      <c r="AN21" s="66" t="str">
        <f aca="false">IF(OR($D21="",$E21=""),"",IF(AND(AN$5&gt;=$D21,AN$5&lt;=$E21),IF(AN$5-$D21+1&lt;=ROUND(($E21-$D21+1)*$F21,0),2,IF(AN$5&lt;CFG_CurWeek,3,1)),""))</f>
        <v/>
      </c>
      <c r="AO21" s="66" t="str">
        <f aca="false">IF(OR($D21="",$E21=""),"",IF(AND(AO$5&gt;=$D21,AO$5&lt;=$E21),IF(AO$5-$D21+1&lt;=ROUND(($E21-$D21+1)*$F21,0),2,IF(AO$5&lt;CFG_CurWeek,3,1)),""))</f>
        <v/>
      </c>
    </row>
    <row r="22" customFormat="false" ht="15" hidden="false" customHeight="false" outlineLevel="0" collapsed="false">
      <c r="A22" s="63" t="str">
        <f aca="false">IF('01_WBS &amp; Master Plan'!A19="","",'01_WBS &amp; Master Plan'!A19)</f>
        <v>2.2</v>
      </c>
      <c r="B22" s="64" t="str">
        <f aca="false">IF('01_WBS &amp; Master Plan'!D19="","",'01_WBS &amp; Master Plan'!D19)</f>
        <v>Học DOM, sự kiện, fetch, Promise, async/await</v>
      </c>
      <c r="C22" s="63" t="str">
        <f aca="false">IF('01_WBS &amp; Master Plan'!E19="","",'01_WBS &amp; Master Plan'!E19)</f>
        <v>Nhật</v>
      </c>
      <c r="D22" s="63" t="n">
        <f aca="false">IF('01_WBS &amp; Master Plan'!H19="","",'01_WBS &amp; Master Plan'!H19)</f>
        <v>7</v>
      </c>
      <c r="E22" s="63" t="n">
        <f aca="false">IF('01_WBS &amp; Master Plan'!I19="","",'01_WBS &amp; Master Plan'!I19)</f>
        <v>8</v>
      </c>
      <c r="F22" s="65" t="n">
        <f aca="false">IF(B22="","",IF('01_WBS &amp; Master Plan'!K19="Done",1,IF('01_WBS &amp; Master Plan'!L19="",0,'01_WBS &amp; Master Plan'!L19)))</f>
        <v>0</v>
      </c>
      <c r="G22" s="63" t="str">
        <f aca="false">IF('01_WBS &amp; Master Plan'!K19="","",'01_WBS &amp; Master Plan'!K19)</f>
        <v>To Do</v>
      </c>
      <c r="H22" s="66" t="str">
        <f aca="false">IF(OR($D22="",$E22=""),"",IF(AND(H$5&gt;=$D22,H$5&lt;=$E22),IF(H$5-$D22+1&lt;=ROUND(($E22-$D22+1)*$F22,0),2,IF(H$5&lt;CFG_CurWeek,3,1)),""))</f>
        <v/>
      </c>
      <c r="I22" s="66" t="str">
        <f aca="false">IF(OR($D22="",$E22=""),"",IF(AND(I$5&gt;=$D22,I$5&lt;=$E22),IF(I$5-$D22+1&lt;=ROUND(($E22-$D22+1)*$F22,0),2,IF(I$5&lt;CFG_CurWeek,3,1)),""))</f>
        <v/>
      </c>
      <c r="J22" s="66" t="str">
        <f aca="false">IF(OR($D22="",$E22=""),"",IF(AND(J$5&gt;=$D22,J$5&lt;=$E22),IF(J$5-$D22+1&lt;=ROUND(($E22-$D22+1)*$F22,0),2,IF(J$5&lt;CFG_CurWeek,3,1)),""))</f>
        <v/>
      </c>
      <c r="K22" s="66" t="str">
        <f aca="false">IF(OR($D22="",$E22=""),"",IF(AND(K$5&gt;=$D22,K$5&lt;=$E22),IF(K$5-$D22+1&lt;=ROUND(($E22-$D22+1)*$F22,0),2,IF(K$5&lt;CFG_CurWeek,3,1)),""))</f>
        <v/>
      </c>
      <c r="L22" s="66" t="str">
        <f aca="false">IF(OR($D22="",$E22=""),"",IF(AND(L$5&gt;=$D22,L$5&lt;=$E22),IF(L$5-$D22+1&lt;=ROUND(($E22-$D22+1)*$F22,0),2,IF(L$5&lt;CFG_CurWeek,3,1)),""))</f>
        <v/>
      </c>
      <c r="M22" s="66" t="str">
        <f aca="false">IF(OR($D22="",$E22=""),"",IF(AND(M$5&gt;=$D22,M$5&lt;=$E22),IF(M$5-$D22+1&lt;=ROUND(($E22-$D22+1)*$F22,0),2,IF(M$5&lt;CFG_CurWeek,3,1)),""))</f>
        <v/>
      </c>
      <c r="N22" s="66" t="n">
        <f aca="false">IF(OR($D22="",$E22=""),"",IF(AND(N$5&gt;=$D22,N$5&lt;=$E22),IF(N$5-$D22+1&lt;=ROUND(($E22-$D22+1)*$F22,0),2,IF(N$5&lt;CFG_CurWeek,3,1)),""))</f>
        <v>1</v>
      </c>
      <c r="O22" s="66" t="n">
        <f aca="false">IF(OR($D22="",$E22=""),"",IF(AND(O$5&gt;=$D22,O$5&lt;=$E22),IF(O$5-$D22+1&lt;=ROUND(($E22-$D22+1)*$F22,0),2,IF(O$5&lt;CFG_CurWeek,3,1)),""))</f>
        <v>1</v>
      </c>
      <c r="P22" s="66" t="str">
        <f aca="false">IF(OR($D22="",$E22=""),"",IF(AND(P$5&gt;=$D22,P$5&lt;=$E22),IF(P$5-$D22+1&lt;=ROUND(($E22-$D22+1)*$F22,0),2,IF(P$5&lt;CFG_CurWeek,3,1)),""))</f>
        <v/>
      </c>
      <c r="Q22" s="66" t="str">
        <f aca="false">IF(OR($D22="",$E22=""),"",IF(AND(Q$5&gt;=$D22,Q$5&lt;=$E22),IF(Q$5-$D22+1&lt;=ROUND(($E22-$D22+1)*$F22,0),2,IF(Q$5&lt;CFG_CurWeek,3,1)),""))</f>
        <v/>
      </c>
      <c r="R22" s="66" t="str">
        <f aca="false">IF(OR($D22="",$E22=""),"",IF(AND(R$5&gt;=$D22,R$5&lt;=$E22),IF(R$5-$D22+1&lt;=ROUND(($E22-$D22+1)*$F22,0),2,IF(R$5&lt;CFG_CurWeek,3,1)),""))</f>
        <v/>
      </c>
      <c r="S22" s="66" t="str">
        <f aca="false">IF(OR($D22="",$E22=""),"",IF(AND(S$5&gt;=$D22,S$5&lt;=$E22),IF(S$5-$D22+1&lt;=ROUND(($E22-$D22+1)*$F22,0),2,IF(S$5&lt;CFG_CurWeek,3,1)),""))</f>
        <v/>
      </c>
      <c r="T22" s="66" t="str">
        <f aca="false">IF(OR($D22="",$E22=""),"",IF(AND(T$5&gt;=$D22,T$5&lt;=$E22),IF(T$5-$D22+1&lt;=ROUND(($E22-$D22+1)*$F22,0),2,IF(T$5&lt;CFG_CurWeek,3,1)),""))</f>
        <v/>
      </c>
      <c r="U22" s="66" t="str">
        <f aca="false">IF(OR($D22="",$E22=""),"",IF(AND(U$5&gt;=$D22,U$5&lt;=$E22),IF(U$5-$D22+1&lt;=ROUND(($E22-$D22+1)*$F22,0),2,IF(U$5&lt;CFG_CurWeek,3,1)),""))</f>
        <v/>
      </c>
      <c r="V22" s="66" t="str">
        <f aca="false">IF(OR($D22="",$E22=""),"",IF(AND(V$5&gt;=$D22,V$5&lt;=$E22),IF(V$5-$D22+1&lt;=ROUND(($E22-$D22+1)*$F22,0),2,IF(V$5&lt;CFG_CurWeek,3,1)),""))</f>
        <v/>
      </c>
      <c r="W22" s="66" t="str">
        <f aca="false">IF(OR($D22="",$E22=""),"",IF(AND(W$5&gt;=$D22,W$5&lt;=$E22),IF(W$5-$D22+1&lt;=ROUND(($E22-$D22+1)*$F22,0),2,IF(W$5&lt;CFG_CurWeek,3,1)),""))</f>
        <v/>
      </c>
      <c r="X22" s="66" t="str">
        <f aca="false">IF(OR($D22="",$E22=""),"",IF(AND(X$5&gt;=$D22,X$5&lt;=$E22),IF(X$5-$D22+1&lt;=ROUND(($E22-$D22+1)*$F22,0),2,IF(X$5&lt;CFG_CurWeek,3,1)),""))</f>
        <v/>
      </c>
      <c r="Y22" s="66" t="str">
        <f aca="false">IF(OR($D22="",$E22=""),"",IF(AND(Y$5&gt;=$D22,Y$5&lt;=$E22),IF(Y$5-$D22+1&lt;=ROUND(($E22-$D22+1)*$F22,0),2,IF(Y$5&lt;CFG_CurWeek,3,1)),""))</f>
        <v/>
      </c>
      <c r="Z22" s="66" t="str">
        <f aca="false">IF(OR($D22="",$E22=""),"",IF(AND(Z$5&gt;=$D22,Z$5&lt;=$E22),IF(Z$5-$D22+1&lt;=ROUND(($E22-$D22+1)*$F22,0),2,IF(Z$5&lt;CFG_CurWeek,3,1)),""))</f>
        <v/>
      </c>
      <c r="AA22" s="66" t="str">
        <f aca="false">IF(OR($D22="",$E22=""),"",IF(AND(AA$5&gt;=$D22,AA$5&lt;=$E22),IF(AA$5-$D22+1&lt;=ROUND(($E22-$D22+1)*$F22,0),2,IF(AA$5&lt;CFG_CurWeek,3,1)),""))</f>
        <v/>
      </c>
      <c r="AB22" s="66" t="str">
        <f aca="false">IF(OR($D22="",$E22=""),"",IF(AND(AB$5&gt;=$D22,AB$5&lt;=$E22),IF(AB$5-$D22+1&lt;=ROUND(($E22-$D22+1)*$F22,0),2,IF(AB$5&lt;CFG_CurWeek,3,1)),""))</f>
        <v/>
      </c>
      <c r="AC22" s="66" t="str">
        <f aca="false">IF(OR($D22="",$E22=""),"",IF(AND(AC$5&gt;=$D22,AC$5&lt;=$E22),IF(AC$5-$D22+1&lt;=ROUND(($E22-$D22+1)*$F22,0),2,IF(AC$5&lt;CFG_CurWeek,3,1)),""))</f>
        <v/>
      </c>
      <c r="AD22" s="66" t="str">
        <f aca="false">IF(OR($D22="",$E22=""),"",IF(AND(AD$5&gt;=$D22,AD$5&lt;=$E22),IF(AD$5-$D22+1&lt;=ROUND(($E22-$D22+1)*$F22,0),2,IF(AD$5&lt;CFG_CurWeek,3,1)),""))</f>
        <v/>
      </c>
      <c r="AE22" s="66" t="str">
        <f aca="false">IF(OR($D22="",$E22=""),"",IF(AND(AE$5&gt;=$D22,AE$5&lt;=$E22),IF(AE$5-$D22+1&lt;=ROUND(($E22-$D22+1)*$F22,0),2,IF(AE$5&lt;CFG_CurWeek,3,1)),""))</f>
        <v/>
      </c>
      <c r="AF22" s="66" t="str">
        <f aca="false">IF(OR($D22="",$E22=""),"",IF(AND(AF$5&gt;=$D22,AF$5&lt;=$E22),IF(AF$5-$D22+1&lt;=ROUND(($E22-$D22+1)*$F22,0),2,IF(AF$5&lt;CFG_CurWeek,3,1)),""))</f>
        <v/>
      </c>
      <c r="AG22" s="66" t="str">
        <f aca="false">IF(OR($D22="",$E22=""),"",IF(AND(AG$5&gt;=$D22,AG$5&lt;=$E22),IF(AG$5-$D22+1&lt;=ROUND(($E22-$D22+1)*$F22,0),2,IF(AG$5&lt;CFG_CurWeek,3,1)),""))</f>
        <v/>
      </c>
      <c r="AH22" s="66" t="str">
        <f aca="false">IF(OR($D22="",$E22=""),"",IF(AND(AH$5&gt;=$D22,AH$5&lt;=$E22),IF(AH$5-$D22+1&lt;=ROUND(($E22-$D22+1)*$F22,0),2,IF(AH$5&lt;CFG_CurWeek,3,1)),""))</f>
        <v/>
      </c>
      <c r="AI22" s="66" t="str">
        <f aca="false">IF(OR($D22="",$E22=""),"",IF(AND(AI$5&gt;=$D22,AI$5&lt;=$E22),IF(AI$5-$D22+1&lt;=ROUND(($E22-$D22+1)*$F22,0),2,IF(AI$5&lt;CFG_CurWeek,3,1)),""))</f>
        <v/>
      </c>
      <c r="AJ22" s="66" t="str">
        <f aca="false">IF(OR($D22="",$E22=""),"",IF(AND(AJ$5&gt;=$D22,AJ$5&lt;=$E22),IF(AJ$5-$D22+1&lt;=ROUND(($E22-$D22+1)*$F22,0),2,IF(AJ$5&lt;CFG_CurWeek,3,1)),""))</f>
        <v/>
      </c>
      <c r="AK22" s="66" t="str">
        <f aca="false">IF(OR($D22="",$E22=""),"",IF(AND(AK$5&gt;=$D22,AK$5&lt;=$E22),IF(AK$5-$D22+1&lt;=ROUND(($E22-$D22+1)*$F22,0),2,IF(AK$5&lt;CFG_CurWeek,3,1)),""))</f>
        <v/>
      </c>
      <c r="AL22" s="66" t="str">
        <f aca="false">IF(OR($D22="",$E22=""),"",IF(AND(AL$5&gt;=$D22,AL$5&lt;=$E22),IF(AL$5-$D22+1&lt;=ROUND(($E22-$D22+1)*$F22,0),2,IF(AL$5&lt;CFG_CurWeek,3,1)),""))</f>
        <v/>
      </c>
      <c r="AM22" s="66" t="str">
        <f aca="false">IF(OR($D22="",$E22=""),"",IF(AND(AM$5&gt;=$D22,AM$5&lt;=$E22),IF(AM$5-$D22+1&lt;=ROUND(($E22-$D22+1)*$F22,0),2,IF(AM$5&lt;CFG_CurWeek,3,1)),""))</f>
        <v/>
      </c>
      <c r="AN22" s="66" t="str">
        <f aca="false">IF(OR($D22="",$E22=""),"",IF(AND(AN$5&gt;=$D22,AN$5&lt;=$E22),IF(AN$5-$D22+1&lt;=ROUND(($E22-$D22+1)*$F22,0),2,IF(AN$5&lt;CFG_CurWeek,3,1)),""))</f>
        <v/>
      </c>
      <c r="AO22" s="66" t="str">
        <f aca="false">IF(OR($D22="",$E22=""),"",IF(AND(AO$5&gt;=$D22,AO$5&lt;=$E22),IF(AO$5-$D22+1&lt;=ROUND(($E22-$D22+1)*$F22,0),2,IF(AO$5&lt;CFG_CurWeek,3,1)),""))</f>
        <v/>
      </c>
    </row>
    <row r="23" customFormat="false" ht="15" hidden="false" customHeight="false" outlineLevel="0" collapsed="false">
      <c r="A23" s="63" t="str">
        <f aca="false">IF('01_WBS &amp; Master Plan'!A20="","",'01_WBS &amp; Master Plan'!A20)</f>
        <v>2.3</v>
      </c>
      <c r="B23" s="64" t="str">
        <f aca="false">IF('01_WBS &amp; Master Plan'!D20="","",'01_WBS &amp; Master Plan'!D20)</f>
        <v>Player JS thuần: play/pause, thanh tua, thời gian, âm lượng (HTMLAudioElement)</v>
      </c>
      <c r="C23" s="63" t="str">
        <f aca="false">IF('01_WBS &amp; Master Plan'!E20="","",'01_WBS &amp; Master Plan'!E20)</f>
        <v>Nhật</v>
      </c>
      <c r="D23" s="63" t="n">
        <f aca="false">IF('01_WBS &amp; Master Plan'!H20="","",'01_WBS &amp; Master Plan'!H20)</f>
        <v>8</v>
      </c>
      <c r="E23" s="63" t="n">
        <f aca="false">IF('01_WBS &amp; Master Plan'!I20="","",'01_WBS &amp; Master Plan'!I20)</f>
        <v>8</v>
      </c>
      <c r="F23" s="65" t="n">
        <f aca="false">IF(B23="","",IF('01_WBS &amp; Master Plan'!K20="Done",1,IF('01_WBS &amp; Master Plan'!L20="",0,'01_WBS &amp; Master Plan'!L20)))</f>
        <v>0</v>
      </c>
      <c r="G23" s="63" t="str">
        <f aca="false">IF('01_WBS &amp; Master Plan'!K20="","",'01_WBS &amp; Master Plan'!K20)</f>
        <v>To Do</v>
      </c>
      <c r="H23" s="66" t="str">
        <f aca="false">IF(OR($D23="",$E23=""),"",IF(AND(H$5&gt;=$D23,H$5&lt;=$E23),IF(H$5-$D23+1&lt;=ROUND(($E23-$D23+1)*$F23,0),2,IF(H$5&lt;CFG_CurWeek,3,1)),""))</f>
        <v/>
      </c>
      <c r="I23" s="66" t="str">
        <f aca="false">IF(OR($D23="",$E23=""),"",IF(AND(I$5&gt;=$D23,I$5&lt;=$E23),IF(I$5-$D23+1&lt;=ROUND(($E23-$D23+1)*$F23,0),2,IF(I$5&lt;CFG_CurWeek,3,1)),""))</f>
        <v/>
      </c>
      <c r="J23" s="66" t="str">
        <f aca="false">IF(OR($D23="",$E23=""),"",IF(AND(J$5&gt;=$D23,J$5&lt;=$E23),IF(J$5-$D23+1&lt;=ROUND(($E23-$D23+1)*$F23,0),2,IF(J$5&lt;CFG_CurWeek,3,1)),""))</f>
        <v/>
      </c>
      <c r="K23" s="66" t="str">
        <f aca="false">IF(OR($D23="",$E23=""),"",IF(AND(K$5&gt;=$D23,K$5&lt;=$E23),IF(K$5-$D23+1&lt;=ROUND(($E23-$D23+1)*$F23,0),2,IF(K$5&lt;CFG_CurWeek,3,1)),""))</f>
        <v/>
      </c>
      <c r="L23" s="66" t="str">
        <f aca="false">IF(OR($D23="",$E23=""),"",IF(AND(L$5&gt;=$D23,L$5&lt;=$E23),IF(L$5-$D23+1&lt;=ROUND(($E23-$D23+1)*$F23,0),2,IF(L$5&lt;CFG_CurWeek,3,1)),""))</f>
        <v/>
      </c>
      <c r="M23" s="66" t="str">
        <f aca="false">IF(OR($D23="",$E23=""),"",IF(AND(M$5&gt;=$D23,M$5&lt;=$E23),IF(M$5-$D23+1&lt;=ROUND(($E23-$D23+1)*$F23,0),2,IF(M$5&lt;CFG_CurWeek,3,1)),""))</f>
        <v/>
      </c>
      <c r="N23" s="66" t="str">
        <f aca="false">IF(OR($D23="",$E23=""),"",IF(AND(N$5&gt;=$D23,N$5&lt;=$E23),IF(N$5-$D23+1&lt;=ROUND(($E23-$D23+1)*$F23,0),2,IF(N$5&lt;CFG_CurWeek,3,1)),""))</f>
        <v/>
      </c>
      <c r="O23" s="66" t="n">
        <f aca="false">IF(OR($D23="",$E23=""),"",IF(AND(O$5&gt;=$D23,O$5&lt;=$E23),IF(O$5-$D23+1&lt;=ROUND(($E23-$D23+1)*$F23,0),2,IF(O$5&lt;CFG_CurWeek,3,1)),""))</f>
        <v>1</v>
      </c>
      <c r="P23" s="66" t="str">
        <f aca="false">IF(OR($D23="",$E23=""),"",IF(AND(P$5&gt;=$D23,P$5&lt;=$E23),IF(P$5-$D23+1&lt;=ROUND(($E23-$D23+1)*$F23,0),2,IF(P$5&lt;CFG_CurWeek,3,1)),""))</f>
        <v/>
      </c>
      <c r="Q23" s="66" t="str">
        <f aca="false">IF(OR($D23="",$E23=""),"",IF(AND(Q$5&gt;=$D23,Q$5&lt;=$E23),IF(Q$5-$D23+1&lt;=ROUND(($E23-$D23+1)*$F23,0),2,IF(Q$5&lt;CFG_CurWeek,3,1)),""))</f>
        <v/>
      </c>
      <c r="R23" s="66" t="str">
        <f aca="false">IF(OR($D23="",$E23=""),"",IF(AND(R$5&gt;=$D23,R$5&lt;=$E23),IF(R$5-$D23+1&lt;=ROUND(($E23-$D23+1)*$F23,0),2,IF(R$5&lt;CFG_CurWeek,3,1)),""))</f>
        <v/>
      </c>
      <c r="S23" s="66" t="str">
        <f aca="false">IF(OR($D23="",$E23=""),"",IF(AND(S$5&gt;=$D23,S$5&lt;=$E23),IF(S$5-$D23+1&lt;=ROUND(($E23-$D23+1)*$F23,0),2,IF(S$5&lt;CFG_CurWeek,3,1)),""))</f>
        <v/>
      </c>
      <c r="T23" s="66" t="str">
        <f aca="false">IF(OR($D23="",$E23=""),"",IF(AND(T$5&gt;=$D23,T$5&lt;=$E23),IF(T$5-$D23+1&lt;=ROUND(($E23-$D23+1)*$F23,0),2,IF(T$5&lt;CFG_CurWeek,3,1)),""))</f>
        <v/>
      </c>
      <c r="U23" s="66" t="str">
        <f aca="false">IF(OR($D23="",$E23=""),"",IF(AND(U$5&gt;=$D23,U$5&lt;=$E23),IF(U$5-$D23+1&lt;=ROUND(($E23-$D23+1)*$F23,0),2,IF(U$5&lt;CFG_CurWeek,3,1)),""))</f>
        <v/>
      </c>
      <c r="V23" s="66" t="str">
        <f aca="false">IF(OR($D23="",$E23=""),"",IF(AND(V$5&gt;=$D23,V$5&lt;=$E23),IF(V$5-$D23+1&lt;=ROUND(($E23-$D23+1)*$F23,0),2,IF(V$5&lt;CFG_CurWeek,3,1)),""))</f>
        <v/>
      </c>
      <c r="W23" s="66" t="str">
        <f aca="false">IF(OR($D23="",$E23=""),"",IF(AND(W$5&gt;=$D23,W$5&lt;=$E23),IF(W$5-$D23+1&lt;=ROUND(($E23-$D23+1)*$F23,0),2,IF(W$5&lt;CFG_CurWeek,3,1)),""))</f>
        <v/>
      </c>
      <c r="X23" s="66" t="str">
        <f aca="false">IF(OR($D23="",$E23=""),"",IF(AND(X$5&gt;=$D23,X$5&lt;=$E23),IF(X$5-$D23+1&lt;=ROUND(($E23-$D23+1)*$F23,0),2,IF(X$5&lt;CFG_CurWeek,3,1)),""))</f>
        <v/>
      </c>
      <c r="Y23" s="66" t="str">
        <f aca="false">IF(OR($D23="",$E23=""),"",IF(AND(Y$5&gt;=$D23,Y$5&lt;=$E23),IF(Y$5-$D23+1&lt;=ROUND(($E23-$D23+1)*$F23,0),2,IF(Y$5&lt;CFG_CurWeek,3,1)),""))</f>
        <v/>
      </c>
      <c r="Z23" s="66" t="str">
        <f aca="false">IF(OR($D23="",$E23=""),"",IF(AND(Z$5&gt;=$D23,Z$5&lt;=$E23),IF(Z$5-$D23+1&lt;=ROUND(($E23-$D23+1)*$F23,0),2,IF(Z$5&lt;CFG_CurWeek,3,1)),""))</f>
        <v/>
      </c>
      <c r="AA23" s="66" t="str">
        <f aca="false">IF(OR($D23="",$E23=""),"",IF(AND(AA$5&gt;=$D23,AA$5&lt;=$E23),IF(AA$5-$D23+1&lt;=ROUND(($E23-$D23+1)*$F23,0),2,IF(AA$5&lt;CFG_CurWeek,3,1)),""))</f>
        <v/>
      </c>
      <c r="AB23" s="66" t="str">
        <f aca="false">IF(OR($D23="",$E23=""),"",IF(AND(AB$5&gt;=$D23,AB$5&lt;=$E23),IF(AB$5-$D23+1&lt;=ROUND(($E23-$D23+1)*$F23,0),2,IF(AB$5&lt;CFG_CurWeek,3,1)),""))</f>
        <v/>
      </c>
      <c r="AC23" s="66" t="str">
        <f aca="false">IF(OR($D23="",$E23=""),"",IF(AND(AC$5&gt;=$D23,AC$5&lt;=$E23),IF(AC$5-$D23+1&lt;=ROUND(($E23-$D23+1)*$F23,0),2,IF(AC$5&lt;CFG_CurWeek,3,1)),""))</f>
        <v/>
      </c>
      <c r="AD23" s="66" t="str">
        <f aca="false">IF(OR($D23="",$E23=""),"",IF(AND(AD$5&gt;=$D23,AD$5&lt;=$E23),IF(AD$5-$D23+1&lt;=ROUND(($E23-$D23+1)*$F23,0),2,IF(AD$5&lt;CFG_CurWeek,3,1)),""))</f>
        <v/>
      </c>
      <c r="AE23" s="66" t="str">
        <f aca="false">IF(OR($D23="",$E23=""),"",IF(AND(AE$5&gt;=$D23,AE$5&lt;=$E23),IF(AE$5-$D23+1&lt;=ROUND(($E23-$D23+1)*$F23,0),2,IF(AE$5&lt;CFG_CurWeek,3,1)),""))</f>
        <v/>
      </c>
      <c r="AF23" s="66" t="str">
        <f aca="false">IF(OR($D23="",$E23=""),"",IF(AND(AF$5&gt;=$D23,AF$5&lt;=$E23),IF(AF$5-$D23+1&lt;=ROUND(($E23-$D23+1)*$F23,0),2,IF(AF$5&lt;CFG_CurWeek,3,1)),""))</f>
        <v/>
      </c>
      <c r="AG23" s="66" t="str">
        <f aca="false">IF(OR($D23="",$E23=""),"",IF(AND(AG$5&gt;=$D23,AG$5&lt;=$E23),IF(AG$5-$D23+1&lt;=ROUND(($E23-$D23+1)*$F23,0),2,IF(AG$5&lt;CFG_CurWeek,3,1)),""))</f>
        <v/>
      </c>
      <c r="AH23" s="66" t="str">
        <f aca="false">IF(OR($D23="",$E23=""),"",IF(AND(AH$5&gt;=$D23,AH$5&lt;=$E23),IF(AH$5-$D23+1&lt;=ROUND(($E23-$D23+1)*$F23,0),2,IF(AH$5&lt;CFG_CurWeek,3,1)),""))</f>
        <v/>
      </c>
      <c r="AI23" s="66" t="str">
        <f aca="false">IF(OR($D23="",$E23=""),"",IF(AND(AI$5&gt;=$D23,AI$5&lt;=$E23),IF(AI$5-$D23+1&lt;=ROUND(($E23-$D23+1)*$F23,0),2,IF(AI$5&lt;CFG_CurWeek,3,1)),""))</f>
        <v/>
      </c>
      <c r="AJ23" s="66" t="str">
        <f aca="false">IF(OR($D23="",$E23=""),"",IF(AND(AJ$5&gt;=$D23,AJ$5&lt;=$E23),IF(AJ$5-$D23+1&lt;=ROUND(($E23-$D23+1)*$F23,0),2,IF(AJ$5&lt;CFG_CurWeek,3,1)),""))</f>
        <v/>
      </c>
      <c r="AK23" s="66" t="str">
        <f aca="false">IF(OR($D23="",$E23=""),"",IF(AND(AK$5&gt;=$D23,AK$5&lt;=$E23),IF(AK$5-$D23+1&lt;=ROUND(($E23-$D23+1)*$F23,0),2,IF(AK$5&lt;CFG_CurWeek,3,1)),""))</f>
        <v/>
      </c>
      <c r="AL23" s="66" t="str">
        <f aca="false">IF(OR($D23="",$E23=""),"",IF(AND(AL$5&gt;=$D23,AL$5&lt;=$E23),IF(AL$5-$D23+1&lt;=ROUND(($E23-$D23+1)*$F23,0),2,IF(AL$5&lt;CFG_CurWeek,3,1)),""))</f>
        <v/>
      </c>
      <c r="AM23" s="66" t="str">
        <f aca="false">IF(OR($D23="",$E23=""),"",IF(AND(AM$5&gt;=$D23,AM$5&lt;=$E23),IF(AM$5-$D23+1&lt;=ROUND(($E23-$D23+1)*$F23,0),2,IF(AM$5&lt;CFG_CurWeek,3,1)),""))</f>
        <v/>
      </c>
      <c r="AN23" s="66" t="str">
        <f aca="false">IF(OR($D23="",$E23=""),"",IF(AND(AN$5&gt;=$D23,AN$5&lt;=$E23),IF(AN$5-$D23+1&lt;=ROUND(($E23-$D23+1)*$F23,0),2,IF(AN$5&lt;CFG_CurWeek,3,1)),""))</f>
        <v/>
      </c>
      <c r="AO23" s="66" t="str">
        <f aca="false">IF(OR($D23="",$E23=""),"",IF(AND(AO$5&gt;=$D23,AO$5&lt;=$E23),IF(AO$5-$D23+1&lt;=ROUND(($E23-$D23+1)*$F23,0),2,IF(AO$5&lt;CFG_CurWeek,3,1)),""))</f>
        <v/>
      </c>
    </row>
    <row r="24" customFormat="false" ht="15" hidden="false" customHeight="false" outlineLevel="0" collapsed="false">
      <c r="A24" s="63" t="str">
        <f aca="false">IF('01_WBS &amp; Master Plan'!A21="","",'01_WBS &amp; Master Plan'!A21)</f>
        <v>2.4</v>
      </c>
      <c r="B24" s="64" t="str">
        <f aca="false">IF('01_WBS &amp; Master Plan'!D21="","",'01_WBS &amp; Master Plan'!D21)</f>
        <v>Danh sách bài lấy từ songs.json (fetch), bấm bài để phát</v>
      </c>
      <c r="C24" s="63" t="str">
        <f aca="false">IF('01_WBS &amp; Master Plan'!E21="","",'01_WBS &amp; Master Plan'!E21)</f>
        <v>Nhật</v>
      </c>
      <c r="D24" s="63" t="n">
        <f aca="false">IF('01_WBS &amp; Master Plan'!H21="","",'01_WBS &amp; Master Plan'!H21)</f>
        <v>8</v>
      </c>
      <c r="E24" s="63" t="n">
        <f aca="false">IF('01_WBS &amp; Master Plan'!I21="","",'01_WBS &amp; Master Plan'!I21)</f>
        <v>9</v>
      </c>
      <c r="F24" s="65" t="n">
        <f aca="false">IF(B24="","",IF('01_WBS &amp; Master Plan'!K21="Done",1,IF('01_WBS &amp; Master Plan'!L21="",0,'01_WBS &amp; Master Plan'!L21)))</f>
        <v>0</v>
      </c>
      <c r="G24" s="63" t="str">
        <f aca="false">IF('01_WBS &amp; Master Plan'!K21="","",'01_WBS &amp; Master Plan'!K21)</f>
        <v>To Do</v>
      </c>
      <c r="H24" s="66" t="str">
        <f aca="false">IF(OR($D24="",$E24=""),"",IF(AND(H$5&gt;=$D24,H$5&lt;=$E24),IF(H$5-$D24+1&lt;=ROUND(($E24-$D24+1)*$F24,0),2,IF(H$5&lt;CFG_CurWeek,3,1)),""))</f>
        <v/>
      </c>
      <c r="I24" s="66" t="str">
        <f aca="false">IF(OR($D24="",$E24=""),"",IF(AND(I$5&gt;=$D24,I$5&lt;=$E24),IF(I$5-$D24+1&lt;=ROUND(($E24-$D24+1)*$F24,0),2,IF(I$5&lt;CFG_CurWeek,3,1)),""))</f>
        <v/>
      </c>
      <c r="J24" s="66" t="str">
        <f aca="false">IF(OR($D24="",$E24=""),"",IF(AND(J$5&gt;=$D24,J$5&lt;=$E24),IF(J$5-$D24+1&lt;=ROUND(($E24-$D24+1)*$F24,0),2,IF(J$5&lt;CFG_CurWeek,3,1)),""))</f>
        <v/>
      </c>
      <c r="K24" s="66" t="str">
        <f aca="false">IF(OR($D24="",$E24=""),"",IF(AND(K$5&gt;=$D24,K$5&lt;=$E24),IF(K$5-$D24+1&lt;=ROUND(($E24-$D24+1)*$F24,0),2,IF(K$5&lt;CFG_CurWeek,3,1)),""))</f>
        <v/>
      </c>
      <c r="L24" s="66" t="str">
        <f aca="false">IF(OR($D24="",$E24=""),"",IF(AND(L$5&gt;=$D24,L$5&lt;=$E24),IF(L$5-$D24+1&lt;=ROUND(($E24-$D24+1)*$F24,0),2,IF(L$5&lt;CFG_CurWeek,3,1)),""))</f>
        <v/>
      </c>
      <c r="M24" s="66" t="str">
        <f aca="false">IF(OR($D24="",$E24=""),"",IF(AND(M$5&gt;=$D24,M$5&lt;=$E24),IF(M$5-$D24+1&lt;=ROUND(($E24-$D24+1)*$F24,0),2,IF(M$5&lt;CFG_CurWeek,3,1)),""))</f>
        <v/>
      </c>
      <c r="N24" s="66" t="str">
        <f aca="false">IF(OR($D24="",$E24=""),"",IF(AND(N$5&gt;=$D24,N$5&lt;=$E24),IF(N$5-$D24+1&lt;=ROUND(($E24-$D24+1)*$F24,0),2,IF(N$5&lt;CFG_CurWeek,3,1)),""))</f>
        <v/>
      </c>
      <c r="O24" s="66" t="n">
        <f aca="false">IF(OR($D24="",$E24=""),"",IF(AND(O$5&gt;=$D24,O$5&lt;=$E24),IF(O$5-$D24+1&lt;=ROUND(($E24-$D24+1)*$F24,0),2,IF(O$5&lt;CFG_CurWeek,3,1)),""))</f>
        <v>1</v>
      </c>
      <c r="P24" s="66" t="n">
        <f aca="false">IF(OR($D24="",$E24=""),"",IF(AND(P$5&gt;=$D24,P$5&lt;=$E24),IF(P$5-$D24+1&lt;=ROUND(($E24-$D24+1)*$F24,0),2,IF(P$5&lt;CFG_CurWeek,3,1)),""))</f>
        <v>1</v>
      </c>
      <c r="Q24" s="66" t="str">
        <f aca="false">IF(OR($D24="",$E24=""),"",IF(AND(Q$5&gt;=$D24,Q$5&lt;=$E24),IF(Q$5-$D24+1&lt;=ROUND(($E24-$D24+1)*$F24,0),2,IF(Q$5&lt;CFG_CurWeek,3,1)),""))</f>
        <v/>
      </c>
      <c r="R24" s="66" t="str">
        <f aca="false">IF(OR($D24="",$E24=""),"",IF(AND(R$5&gt;=$D24,R$5&lt;=$E24),IF(R$5-$D24+1&lt;=ROUND(($E24-$D24+1)*$F24,0),2,IF(R$5&lt;CFG_CurWeek,3,1)),""))</f>
        <v/>
      </c>
      <c r="S24" s="66" t="str">
        <f aca="false">IF(OR($D24="",$E24=""),"",IF(AND(S$5&gt;=$D24,S$5&lt;=$E24),IF(S$5-$D24+1&lt;=ROUND(($E24-$D24+1)*$F24,0),2,IF(S$5&lt;CFG_CurWeek,3,1)),""))</f>
        <v/>
      </c>
      <c r="T24" s="66" t="str">
        <f aca="false">IF(OR($D24="",$E24=""),"",IF(AND(T$5&gt;=$D24,T$5&lt;=$E24),IF(T$5-$D24+1&lt;=ROUND(($E24-$D24+1)*$F24,0),2,IF(T$5&lt;CFG_CurWeek,3,1)),""))</f>
        <v/>
      </c>
      <c r="U24" s="66" t="str">
        <f aca="false">IF(OR($D24="",$E24=""),"",IF(AND(U$5&gt;=$D24,U$5&lt;=$E24),IF(U$5-$D24+1&lt;=ROUND(($E24-$D24+1)*$F24,0),2,IF(U$5&lt;CFG_CurWeek,3,1)),""))</f>
        <v/>
      </c>
      <c r="V24" s="66" t="str">
        <f aca="false">IF(OR($D24="",$E24=""),"",IF(AND(V$5&gt;=$D24,V$5&lt;=$E24),IF(V$5-$D24+1&lt;=ROUND(($E24-$D24+1)*$F24,0),2,IF(V$5&lt;CFG_CurWeek,3,1)),""))</f>
        <v/>
      </c>
      <c r="W24" s="66" t="str">
        <f aca="false">IF(OR($D24="",$E24=""),"",IF(AND(W$5&gt;=$D24,W$5&lt;=$E24),IF(W$5-$D24+1&lt;=ROUND(($E24-$D24+1)*$F24,0),2,IF(W$5&lt;CFG_CurWeek,3,1)),""))</f>
        <v/>
      </c>
      <c r="X24" s="66" t="str">
        <f aca="false">IF(OR($D24="",$E24=""),"",IF(AND(X$5&gt;=$D24,X$5&lt;=$E24),IF(X$5-$D24+1&lt;=ROUND(($E24-$D24+1)*$F24,0),2,IF(X$5&lt;CFG_CurWeek,3,1)),""))</f>
        <v/>
      </c>
      <c r="Y24" s="66" t="str">
        <f aca="false">IF(OR($D24="",$E24=""),"",IF(AND(Y$5&gt;=$D24,Y$5&lt;=$E24),IF(Y$5-$D24+1&lt;=ROUND(($E24-$D24+1)*$F24,0),2,IF(Y$5&lt;CFG_CurWeek,3,1)),""))</f>
        <v/>
      </c>
      <c r="Z24" s="66" t="str">
        <f aca="false">IF(OR($D24="",$E24=""),"",IF(AND(Z$5&gt;=$D24,Z$5&lt;=$E24),IF(Z$5-$D24+1&lt;=ROUND(($E24-$D24+1)*$F24,0),2,IF(Z$5&lt;CFG_CurWeek,3,1)),""))</f>
        <v/>
      </c>
      <c r="AA24" s="66" t="str">
        <f aca="false">IF(OR($D24="",$E24=""),"",IF(AND(AA$5&gt;=$D24,AA$5&lt;=$E24),IF(AA$5-$D24+1&lt;=ROUND(($E24-$D24+1)*$F24,0),2,IF(AA$5&lt;CFG_CurWeek,3,1)),""))</f>
        <v/>
      </c>
      <c r="AB24" s="66" t="str">
        <f aca="false">IF(OR($D24="",$E24=""),"",IF(AND(AB$5&gt;=$D24,AB$5&lt;=$E24),IF(AB$5-$D24+1&lt;=ROUND(($E24-$D24+1)*$F24,0),2,IF(AB$5&lt;CFG_CurWeek,3,1)),""))</f>
        <v/>
      </c>
      <c r="AC24" s="66" t="str">
        <f aca="false">IF(OR($D24="",$E24=""),"",IF(AND(AC$5&gt;=$D24,AC$5&lt;=$E24),IF(AC$5-$D24+1&lt;=ROUND(($E24-$D24+1)*$F24,0),2,IF(AC$5&lt;CFG_CurWeek,3,1)),""))</f>
        <v/>
      </c>
      <c r="AD24" s="66" t="str">
        <f aca="false">IF(OR($D24="",$E24=""),"",IF(AND(AD$5&gt;=$D24,AD$5&lt;=$E24),IF(AD$5-$D24+1&lt;=ROUND(($E24-$D24+1)*$F24,0),2,IF(AD$5&lt;CFG_CurWeek,3,1)),""))</f>
        <v/>
      </c>
      <c r="AE24" s="66" t="str">
        <f aca="false">IF(OR($D24="",$E24=""),"",IF(AND(AE$5&gt;=$D24,AE$5&lt;=$E24),IF(AE$5-$D24+1&lt;=ROUND(($E24-$D24+1)*$F24,0),2,IF(AE$5&lt;CFG_CurWeek,3,1)),""))</f>
        <v/>
      </c>
      <c r="AF24" s="66" t="str">
        <f aca="false">IF(OR($D24="",$E24=""),"",IF(AND(AF$5&gt;=$D24,AF$5&lt;=$E24),IF(AF$5-$D24+1&lt;=ROUND(($E24-$D24+1)*$F24,0),2,IF(AF$5&lt;CFG_CurWeek,3,1)),""))</f>
        <v/>
      </c>
      <c r="AG24" s="66" t="str">
        <f aca="false">IF(OR($D24="",$E24=""),"",IF(AND(AG$5&gt;=$D24,AG$5&lt;=$E24),IF(AG$5-$D24+1&lt;=ROUND(($E24-$D24+1)*$F24,0),2,IF(AG$5&lt;CFG_CurWeek,3,1)),""))</f>
        <v/>
      </c>
      <c r="AH24" s="66" t="str">
        <f aca="false">IF(OR($D24="",$E24=""),"",IF(AND(AH$5&gt;=$D24,AH$5&lt;=$E24),IF(AH$5-$D24+1&lt;=ROUND(($E24-$D24+1)*$F24,0),2,IF(AH$5&lt;CFG_CurWeek,3,1)),""))</f>
        <v/>
      </c>
      <c r="AI24" s="66" t="str">
        <f aca="false">IF(OR($D24="",$E24=""),"",IF(AND(AI$5&gt;=$D24,AI$5&lt;=$E24),IF(AI$5-$D24+1&lt;=ROUND(($E24-$D24+1)*$F24,0),2,IF(AI$5&lt;CFG_CurWeek,3,1)),""))</f>
        <v/>
      </c>
      <c r="AJ24" s="66" t="str">
        <f aca="false">IF(OR($D24="",$E24=""),"",IF(AND(AJ$5&gt;=$D24,AJ$5&lt;=$E24),IF(AJ$5-$D24+1&lt;=ROUND(($E24-$D24+1)*$F24,0),2,IF(AJ$5&lt;CFG_CurWeek,3,1)),""))</f>
        <v/>
      </c>
      <c r="AK24" s="66" t="str">
        <f aca="false">IF(OR($D24="",$E24=""),"",IF(AND(AK$5&gt;=$D24,AK$5&lt;=$E24),IF(AK$5-$D24+1&lt;=ROUND(($E24-$D24+1)*$F24,0),2,IF(AK$5&lt;CFG_CurWeek,3,1)),""))</f>
        <v/>
      </c>
      <c r="AL24" s="66" t="str">
        <f aca="false">IF(OR($D24="",$E24=""),"",IF(AND(AL$5&gt;=$D24,AL$5&lt;=$E24),IF(AL$5-$D24+1&lt;=ROUND(($E24-$D24+1)*$F24,0),2,IF(AL$5&lt;CFG_CurWeek,3,1)),""))</f>
        <v/>
      </c>
      <c r="AM24" s="66" t="str">
        <f aca="false">IF(OR($D24="",$E24=""),"",IF(AND(AM$5&gt;=$D24,AM$5&lt;=$E24),IF(AM$5-$D24+1&lt;=ROUND(($E24-$D24+1)*$F24,0),2,IF(AM$5&lt;CFG_CurWeek,3,1)),""))</f>
        <v/>
      </c>
      <c r="AN24" s="66" t="str">
        <f aca="false">IF(OR($D24="",$E24=""),"",IF(AND(AN$5&gt;=$D24,AN$5&lt;=$E24),IF(AN$5-$D24+1&lt;=ROUND(($E24-$D24+1)*$F24,0),2,IF(AN$5&lt;CFG_CurWeek,3,1)),""))</f>
        <v/>
      </c>
      <c r="AO24" s="66" t="str">
        <f aca="false">IF(OR($D24="",$E24=""),"",IF(AND(AO$5&gt;=$D24,AO$5&lt;=$E24),IF(AO$5-$D24+1&lt;=ROUND(($E24-$D24+1)*$F24,0),2,IF(AO$5&lt;CFG_CurWeek,3,1)),""))</f>
        <v/>
      </c>
    </row>
    <row r="25" customFormat="false" ht="15" hidden="false" customHeight="false" outlineLevel="0" collapsed="false">
      <c r="A25" s="63" t="str">
        <f aca="false">IF('01_WBS &amp; Master Plan'!A22="","",'01_WBS &amp; Master Plan'!A22)</f>
        <v>2.5</v>
      </c>
      <c r="B25" s="64" t="str">
        <f aca="false">IF('01_WBS &amp; Master Plan'!D22="","",'01_WBS &amp; Master Plan'!D22)</f>
        <v>Next/Prev, Shuffle, Repeat (one/all), tự chuyển bài khi hết</v>
      </c>
      <c r="C25" s="63" t="str">
        <f aca="false">IF('01_WBS &amp; Master Plan'!E22="","",'01_WBS &amp; Master Plan'!E22)</f>
        <v>Nhật</v>
      </c>
      <c r="D25" s="63" t="n">
        <f aca="false">IF('01_WBS &amp; Master Plan'!H22="","",'01_WBS &amp; Master Plan'!H22)</f>
        <v>9</v>
      </c>
      <c r="E25" s="63" t="n">
        <f aca="false">IF('01_WBS &amp; Master Plan'!I22="","",'01_WBS &amp; Master Plan'!I22)</f>
        <v>9</v>
      </c>
      <c r="F25" s="65" t="n">
        <f aca="false">IF(B25="","",IF('01_WBS &amp; Master Plan'!K22="Done",1,IF('01_WBS &amp; Master Plan'!L22="",0,'01_WBS &amp; Master Plan'!L22)))</f>
        <v>0</v>
      </c>
      <c r="G25" s="63" t="str">
        <f aca="false">IF('01_WBS &amp; Master Plan'!K22="","",'01_WBS &amp; Master Plan'!K22)</f>
        <v>To Do</v>
      </c>
      <c r="H25" s="66" t="str">
        <f aca="false">IF(OR($D25="",$E25=""),"",IF(AND(H$5&gt;=$D25,H$5&lt;=$E25),IF(H$5-$D25+1&lt;=ROUND(($E25-$D25+1)*$F25,0),2,IF(H$5&lt;CFG_CurWeek,3,1)),""))</f>
        <v/>
      </c>
      <c r="I25" s="66" t="str">
        <f aca="false">IF(OR($D25="",$E25=""),"",IF(AND(I$5&gt;=$D25,I$5&lt;=$E25),IF(I$5-$D25+1&lt;=ROUND(($E25-$D25+1)*$F25,0),2,IF(I$5&lt;CFG_CurWeek,3,1)),""))</f>
        <v/>
      </c>
      <c r="J25" s="66" t="str">
        <f aca="false">IF(OR($D25="",$E25=""),"",IF(AND(J$5&gt;=$D25,J$5&lt;=$E25),IF(J$5-$D25+1&lt;=ROUND(($E25-$D25+1)*$F25,0),2,IF(J$5&lt;CFG_CurWeek,3,1)),""))</f>
        <v/>
      </c>
      <c r="K25" s="66" t="str">
        <f aca="false">IF(OR($D25="",$E25=""),"",IF(AND(K$5&gt;=$D25,K$5&lt;=$E25),IF(K$5-$D25+1&lt;=ROUND(($E25-$D25+1)*$F25,0),2,IF(K$5&lt;CFG_CurWeek,3,1)),""))</f>
        <v/>
      </c>
      <c r="L25" s="66" t="str">
        <f aca="false">IF(OR($D25="",$E25=""),"",IF(AND(L$5&gt;=$D25,L$5&lt;=$E25),IF(L$5-$D25+1&lt;=ROUND(($E25-$D25+1)*$F25,0),2,IF(L$5&lt;CFG_CurWeek,3,1)),""))</f>
        <v/>
      </c>
      <c r="M25" s="66" t="str">
        <f aca="false">IF(OR($D25="",$E25=""),"",IF(AND(M$5&gt;=$D25,M$5&lt;=$E25),IF(M$5-$D25+1&lt;=ROUND(($E25-$D25+1)*$F25,0),2,IF(M$5&lt;CFG_CurWeek,3,1)),""))</f>
        <v/>
      </c>
      <c r="N25" s="66" t="str">
        <f aca="false">IF(OR($D25="",$E25=""),"",IF(AND(N$5&gt;=$D25,N$5&lt;=$E25),IF(N$5-$D25+1&lt;=ROUND(($E25-$D25+1)*$F25,0),2,IF(N$5&lt;CFG_CurWeek,3,1)),""))</f>
        <v/>
      </c>
      <c r="O25" s="66" t="str">
        <f aca="false">IF(OR($D25="",$E25=""),"",IF(AND(O$5&gt;=$D25,O$5&lt;=$E25),IF(O$5-$D25+1&lt;=ROUND(($E25-$D25+1)*$F25,0),2,IF(O$5&lt;CFG_CurWeek,3,1)),""))</f>
        <v/>
      </c>
      <c r="P25" s="66" t="n">
        <f aca="false">IF(OR($D25="",$E25=""),"",IF(AND(P$5&gt;=$D25,P$5&lt;=$E25),IF(P$5-$D25+1&lt;=ROUND(($E25-$D25+1)*$F25,0),2,IF(P$5&lt;CFG_CurWeek,3,1)),""))</f>
        <v>1</v>
      </c>
      <c r="Q25" s="66" t="str">
        <f aca="false">IF(OR($D25="",$E25=""),"",IF(AND(Q$5&gt;=$D25,Q$5&lt;=$E25),IF(Q$5-$D25+1&lt;=ROUND(($E25-$D25+1)*$F25,0),2,IF(Q$5&lt;CFG_CurWeek,3,1)),""))</f>
        <v/>
      </c>
      <c r="R25" s="66" t="str">
        <f aca="false">IF(OR($D25="",$E25=""),"",IF(AND(R$5&gt;=$D25,R$5&lt;=$E25),IF(R$5-$D25+1&lt;=ROUND(($E25-$D25+1)*$F25,0),2,IF(R$5&lt;CFG_CurWeek,3,1)),""))</f>
        <v/>
      </c>
      <c r="S25" s="66" t="str">
        <f aca="false">IF(OR($D25="",$E25=""),"",IF(AND(S$5&gt;=$D25,S$5&lt;=$E25),IF(S$5-$D25+1&lt;=ROUND(($E25-$D25+1)*$F25,0),2,IF(S$5&lt;CFG_CurWeek,3,1)),""))</f>
        <v/>
      </c>
      <c r="T25" s="66" t="str">
        <f aca="false">IF(OR($D25="",$E25=""),"",IF(AND(T$5&gt;=$D25,T$5&lt;=$E25),IF(T$5-$D25+1&lt;=ROUND(($E25-$D25+1)*$F25,0),2,IF(T$5&lt;CFG_CurWeek,3,1)),""))</f>
        <v/>
      </c>
      <c r="U25" s="66" t="str">
        <f aca="false">IF(OR($D25="",$E25=""),"",IF(AND(U$5&gt;=$D25,U$5&lt;=$E25),IF(U$5-$D25+1&lt;=ROUND(($E25-$D25+1)*$F25,0),2,IF(U$5&lt;CFG_CurWeek,3,1)),""))</f>
        <v/>
      </c>
      <c r="V25" s="66" t="str">
        <f aca="false">IF(OR($D25="",$E25=""),"",IF(AND(V$5&gt;=$D25,V$5&lt;=$E25),IF(V$5-$D25+1&lt;=ROUND(($E25-$D25+1)*$F25,0),2,IF(V$5&lt;CFG_CurWeek,3,1)),""))</f>
        <v/>
      </c>
      <c r="W25" s="66" t="str">
        <f aca="false">IF(OR($D25="",$E25=""),"",IF(AND(W$5&gt;=$D25,W$5&lt;=$E25),IF(W$5-$D25+1&lt;=ROUND(($E25-$D25+1)*$F25,0),2,IF(W$5&lt;CFG_CurWeek,3,1)),""))</f>
        <v/>
      </c>
      <c r="X25" s="66" t="str">
        <f aca="false">IF(OR($D25="",$E25=""),"",IF(AND(X$5&gt;=$D25,X$5&lt;=$E25),IF(X$5-$D25+1&lt;=ROUND(($E25-$D25+1)*$F25,0),2,IF(X$5&lt;CFG_CurWeek,3,1)),""))</f>
        <v/>
      </c>
      <c r="Y25" s="66" t="str">
        <f aca="false">IF(OR($D25="",$E25=""),"",IF(AND(Y$5&gt;=$D25,Y$5&lt;=$E25),IF(Y$5-$D25+1&lt;=ROUND(($E25-$D25+1)*$F25,0),2,IF(Y$5&lt;CFG_CurWeek,3,1)),""))</f>
        <v/>
      </c>
      <c r="Z25" s="66" t="str">
        <f aca="false">IF(OR($D25="",$E25=""),"",IF(AND(Z$5&gt;=$D25,Z$5&lt;=$E25),IF(Z$5-$D25+1&lt;=ROUND(($E25-$D25+1)*$F25,0),2,IF(Z$5&lt;CFG_CurWeek,3,1)),""))</f>
        <v/>
      </c>
      <c r="AA25" s="66" t="str">
        <f aca="false">IF(OR($D25="",$E25=""),"",IF(AND(AA$5&gt;=$D25,AA$5&lt;=$E25),IF(AA$5-$D25+1&lt;=ROUND(($E25-$D25+1)*$F25,0),2,IF(AA$5&lt;CFG_CurWeek,3,1)),""))</f>
        <v/>
      </c>
      <c r="AB25" s="66" t="str">
        <f aca="false">IF(OR($D25="",$E25=""),"",IF(AND(AB$5&gt;=$D25,AB$5&lt;=$E25),IF(AB$5-$D25+1&lt;=ROUND(($E25-$D25+1)*$F25,0),2,IF(AB$5&lt;CFG_CurWeek,3,1)),""))</f>
        <v/>
      </c>
      <c r="AC25" s="66" t="str">
        <f aca="false">IF(OR($D25="",$E25=""),"",IF(AND(AC$5&gt;=$D25,AC$5&lt;=$E25),IF(AC$5-$D25+1&lt;=ROUND(($E25-$D25+1)*$F25,0),2,IF(AC$5&lt;CFG_CurWeek,3,1)),""))</f>
        <v/>
      </c>
      <c r="AD25" s="66" t="str">
        <f aca="false">IF(OR($D25="",$E25=""),"",IF(AND(AD$5&gt;=$D25,AD$5&lt;=$E25),IF(AD$5-$D25+1&lt;=ROUND(($E25-$D25+1)*$F25,0),2,IF(AD$5&lt;CFG_CurWeek,3,1)),""))</f>
        <v/>
      </c>
      <c r="AE25" s="66" t="str">
        <f aca="false">IF(OR($D25="",$E25=""),"",IF(AND(AE$5&gt;=$D25,AE$5&lt;=$E25),IF(AE$5-$D25+1&lt;=ROUND(($E25-$D25+1)*$F25,0),2,IF(AE$5&lt;CFG_CurWeek,3,1)),""))</f>
        <v/>
      </c>
      <c r="AF25" s="66" t="str">
        <f aca="false">IF(OR($D25="",$E25=""),"",IF(AND(AF$5&gt;=$D25,AF$5&lt;=$E25),IF(AF$5-$D25+1&lt;=ROUND(($E25-$D25+1)*$F25,0),2,IF(AF$5&lt;CFG_CurWeek,3,1)),""))</f>
        <v/>
      </c>
      <c r="AG25" s="66" t="str">
        <f aca="false">IF(OR($D25="",$E25=""),"",IF(AND(AG$5&gt;=$D25,AG$5&lt;=$E25),IF(AG$5-$D25+1&lt;=ROUND(($E25-$D25+1)*$F25,0),2,IF(AG$5&lt;CFG_CurWeek,3,1)),""))</f>
        <v/>
      </c>
      <c r="AH25" s="66" t="str">
        <f aca="false">IF(OR($D25="",$E25=""),"",IF(AND(AH$5&gt;=$D25,AH$5&lt;=$E25),IF(AH$5-$D25+1&lt;=ROUND(($E25-$D25+1)*$F25,0),2,IF(AH$5&lt;CFG_CurWeek,3,1)),""))</f>
        <v/>
      </c>
      <c r="AI25" s="66" t="str">
        <f aca="false">IF(OR($D25="",$E25=""),"",IF(AND(AI$5&gt;=$D25,AI$5&lt;=$E25),IF(AI$5-$D25+1&lt;=ROUND(($E25-$D25+1)*$F25,0),2,IF(AI$5&lt;CFG_CurWeek,3,1)),""))</f>
        <v/>
      </c>
      <c r="AJ25" s="66" t="str">
        <f aca="false">IF(OR($D25="",$E25=""),"",IF(AND(AJ$5&gt;=$D25,AJ$5&lt;=$E25),IF(AJ$5-$D25+1&lt;=ROUND(($E25-$D25+1)*$F25,0),2,IF(AJ$5&lt;CFG_CurWeek,3,1)),""))</f>
        <v/>
      </c>
      <c r="AK25" s="66" t="str">
        <f aca="false">IF(OR($D25="",$E25=""),"",IF(AND(AK$5&gt;=$D25,AK$5&lt;=$E25),IF(AK$5-$D25+1&lt;=ROUND(($E25-$D25+1)*$F25,0),2,IF(AK$5&lt;CFG_CurWeek,3,1)),""))</f>
        <v/>
      </c>
      <c r="AL25" s="66" t="str">
        <f aca="false">IF(OR($D25="",$E25=""),"",IF(AND(AL$5&gt;=$D25,AL$5&lt;=$E25),IF(AL$5-$D25+1&lt;=ROUND(($E25-$D25+1)*$F25,0),2,IF(AL$5&lt;CFG_CurWeek,3,1)),""))</f>
        <v/>
      </c>
      <c r="AM25" s="66" t="str">
        <f aca="false">IF(OR($D25="",$E25=""),"",IF(AND(AM$5&gt;=$D25,AM$5&lt;=$E25),IF(AM$5-$D25+1&lt;=ROUND(($E25-$D25+1)*$F25,0),2,IF(AM$5&lt;CFG_CurWeek,3,1)),""))</f>
        <v/>
      </c>
      <c r="AN25" s="66" t="str">
        <f aca="false">IF(OR($D25="",$E25=""),"",IF(AND(AN$5&gt;=$D25,AN$5&lt;=$E25),IF(AN$5-$D25+1&lt;=ROUND(($E25-$D25+1)*$F25,0),2,IF(AN$5&lt;CFG_CurWeek,3,1)),""))</f>
        <v/>
      </c>
      <c r="AO25" s="66" t="str">
        <f aca="false">IF(OR($D25="",$E25=""),"",IF(AND(AO$5&gt;=$D25,AO$5&lt;=$E25),IF(AO$5-$D25+1&lt;=ROUND(($E25-$D25+1)*$F25,0),2,IF(AO$5&lt;CFG_CurWeek,3,1)),""))</f>
        <v/>
      </c>
    </row>
    <row r="26" customFormat="false" ht="15" hidden="false" customHeight="false" outlineLevel="0" collapsed="false">
      <c r="A26" s="63" t="str">
        <f aca="false">IF('01_WBS &amp; Master Plan'!A23="","",'01_WBS &amp; Master Plan'!A23)</f>
        <v>2.6</v>
      </c>
      <c r="B26" s="64" t="str">
        <f aca="false">IF('01_WBS &amp; Master Plan'!D23="","",'01_WBS &amp; Master Plan'!D23)</f>
        <v>Hàng đợi phát (queue): thêm, xóa, phát tiếp theo</v>
      </c>
      <c r="C26" s="63" t="str">
        <f aca="false">IF('01_WBS &amp; Master Plan'!E23="","",'01_WBS &amp; Master Plan'!E23)</f>
        <v>Nhật</v>
      </c>
      <c r="D26" s="63" t="n">
        <f aca="false">IF('01_WBS &amp; Master Plan'!H23="","",'01_WBS &amp; Master Plan'!H23)</f>
        <v>9</v>
      </c>
      <c r="E26" s="63" t="n">
        <f aca="false">IF('01_WBS &amp; Master Plan'!I23="","",'01_WBS &amp; Master Plan'!I23)</f>
        <v>9</v>
      </c>
      <c r="F26" s="65" t="n">
        <f aca="false">IF(B26="","",IF('01_WBS &amp; Master Plan'!K23="Done",1,IF('01_WBS &amp; Master Plan'!L23="",0,'01_WBS &amp; Master Plan'!L23)))</f>
        <v>0</v>
      </c>
      <c r="G26" s="63" t="str">
        <f aca="false">IF('01_WBS &amp; Master Plan'!K23="","",'01_WBS &amp; Master Plan'!K23)</f>
        <v>To Do</v>
      </c>
      <c r="H26" s="66" t="str">
        <f aca="false">IF(OR($D26="",$E26=""),"",IF(AND(H$5&gt;=$D26,H$5&lt;=$E26),IF(H$5-$D26+1&lt;=ROUND(($E26-$D26+1)*$F26,0),2,IF(H$5&lt;CFG_CurWeek,3,1)),""))</f>
        <v/>
      </c>
      <c r="I26" s="66" t="str">
        <f aca="false">IF(OR($D26="",$E26=""),"",IF(AND(I$5&gt;=$D26,I$5&lt;=$E26),IF(I$5-$D26+1&lt;=ROUND(($E26-$D26+1)*$F26,0),2,IF(I$5&lt;CFG_CurWeek,3,1)),""))</f>
        <v/>
      </c>
      <c r="J26" s="66" t="str">
        <f aca="false">IF(OR($D26="",$E26=""),"",IF(AND(J$5&gt;=$D26,J$5&lt;=$E26),IF(J$5-$D26+1&lt;=ROUND(($E26-$D26+1)*$F26,0),2,IF(J$5&lt;CFG_CurWeek,3,1)),""))</f>
        <v/>
      </c>
      <c r="K26" s="66" t="str">
        <f aca="false">IF(OR($D26="",$E26=""),"",IF(AND(K$5&gt;=$D26,K$5&lt;=$E26),IF(K$5-$D26+1&lt;=ROUND(($E26-$D26+1)*$F26,0),2,IF(K$5&lt;CFG_CurWeek,3,1)),""))</f>
        <v/>
      </c>
      <c r="L26" s="66" t="str">
        <f aca="false">IF(OR($D26="",$E26=""),"",IF(AND(L$5&gt;=$D26,L$5&lt;=$E26),IF(L$5-$D26+1&lt;=ROUND(($E26-$D26+1)*$F26,0),2,IF(L$5&lt;CFG_CurWeek,3,1)),""))</f>
        <v/>
      </c>
      <c r="M26" s="66" t="str">
        <f aca="false">IF(OR($D26="",$E26=""),"",IF(AND(M$5&gt;=$D26,M$5&lt;=$E26),IF(M$5-$D26+1&lt;=ROUND(($E26-$D26+1)*$F26,0),2,IF(M$5&lt;CFG_CurWeek,3,1)),""))</f>
        <v/>
      </c>
      <c r="N26" s="66" t="str">
        <f aca="false">IF(OR($D26="",$E26=""),"",IF(AND(N$5&gt;=$D26,N$5&lt;=$E26),IF(N$5-$D26+1&lt;=ROUND(($E26-$D26+1)*$F26,0),2,IF(N$5&lt;CFG_CurWeek,3,1)),""))</f>
        <v/>
      </c>
      <c r="O26" s="66" t="str">
        <f aca="false">IF(OR($D26="",$E26=""),"",IF(AND(O$5&gt;=$D26,O$5&lt;=$E26),IF(O$5-$D26+1&lt;=ROUND(($E26-$D26+1)*$F26,0),2,IF(O$5&lt;CFG_CurWeek,3,1)),""))</f>
        <v/>
      </c>
      <c r="P26" s="66" t="n">
        <f aca="false">IF(OR($D26="",$E26=""),"",IF(AND(P$5&gt;=$D26,P$5&lt;=$E26),IF(P$5-$D26+1&lt;=ROUND(($E26-$D26+1)*$F26,0),2,IF(P$5&lt;CFG_CurWeek,3,1)),""))</f>
        <v>1</v>
      </c>
      <c r="Q26" s="66" t="str">
        <f aca="false">IF(OR($D26="",$E26=""),"",IF(AND(Q$5&gt;=$D26,Q$5&lt;=$E26),IF(Q$5-$D26+1&lt;=ROUND(($E26-$D26+1)*$F26,0),2,IF(Q$5&lt;CFG_CurWeek,3,1)),""))</f>
        <v/>
      </c>
      <c r="R26" s="66" t="str">
        <f aca="false">IF(OR($D26="",$E26=""),"",IF(AND(R$5&gt;=$D26,R$5&lt;=$E26),IF(R$5-$D26+1&lt;=ROUND(($E26-$D26+1)*$F26,0),2,IF(R$5&lt;CFG_CurWeek,3,1)),""))</f>
        <v/>
      </c>
      <c r="S26" s="66" t="str">
        <f aca="false">IF(OR($D26="",$E26=""),"",IF(AND(S$5&gt;=$D26,S$5&lt;=$E26),IF(S$5-$D26+1&lt;=ROUND(($E26-$D26+1)*$F26,0),2,IF(S$5&lt;CFG_CurWeek,3,1)),""))</f>
        <v/>
      </c>
      <c r="T26" s="66" t="str">
        <f aca="false">IF(OR($D26="",$E26=""),"",IF(AND(T$5&gt;=$D26,T$5&lt;=$E26),IF(T$5-$D26+1&lt;=ROUND(($E26-$D26+1)*$F26,0),2,IF(T$5&lt;CFG_CurWeek,3,1)),""))</f>
        <v/>
      </c>
      <c r="U26" s="66" t="str">
        <f aca="false">IF(OR($D26="",$E26=""),"",IF(AND(U$5&gt;=$D26,U$5&lt;=$E26),IF(U$5-$D26+1&lt;=ROUND(($E26-$D26+1)*$F26,0),2,IF(U$5&lt;CFG_CurWeek,3,1)),""))</f>
        <v/>
      </c>
      <c r="V26" s="66" t="str">
        <f aca="false">IF(OR($D26="",$E26=""),"",IF(AND(V$5&gt;=$D26,V$5&lt;=$E26),IF(V$5-$D26+1&lt;=ROUND(($E26-$D26+1)*$F26,0),2,IF(V$5&lt;CFG_CurWeek,3,1)),""))</f>
        <v/>
      </c>
      <c r="W26" s="66" t="str">
        <f aca="false">IF(OR($D26="",$E26=""),"",IF(AND(W$5&gt;=$D26,W$5&lt;=$E26),IF(W$5-$D26+1&lt;=ROUND(($E26-$D26+1)*$F26,0),2,IF(W$5&lt;CFG_CurWeek,3,1)),""))</f>
        <v/>
      </c>
      <c r="X26" s="66" t="str">
        <f aca="false">IF(OR($D26="",$E26=""),"",IF(AND(X$5&gt;=$D26,X$5&lt;=$E26),IF(X$5-$D26+1&lt;=ROUND(($E26-$D26+1)*$F26,0),2,IF(X$5&lt;CFG_CurWeek,3,1)),""))</f>
        <v/>
      </c>
      <c r="Y26" s="66" t="str">
        <f aca="false">IF(OR($D26="",$E26=""),"",IF(AND(Y$5&gt;=$D26,Y$5&lt;=$E26),IF(Y$5-$D26+1&lt;=ROUND(($E26-$D26+1)*$F26,0),2,IF(Y$5&lt;CFG_CurWeek,3,1)),""))</f>
        <v/>
      </c>
      <c r="Z26" s="66" t="str">
        <f aca="false">IF(OR($D26="",$E26=""),"",IF(AND(Z$5&gt;=$D26,Z$5&lt;=$E26),IF(Z$5-$D26+1&lt;=ROUND(($E26-$D26+1)*$F26,0),2,IF(Z$5&lt;CFG_CurWeek,3,1)),""))</f>
        <v/>
      </c>
      <c r="AA26" s="66" t="str">
        <f aca="false">IF(OR($D26="",$E26=""),"",IF(AND(AA$5&gt;=$D26,AA$5&lt;=$E26),IF(AA$5-$D26+1&lt;=ROUND(($E26-$D26+1)*$F26,0),2,IF(AA$5&lt;CFG_CurWeek,3,1)),""))</f>
        <v/>
      </c>
      <c r="AB26" s="66" t="str">
        <f aca="false">IF(OR($D26="",$E26=""),"",IF(AND(AB$5&gt;=$D26,AB$5&lt;=$E26),IF(AB$5-$D26+1&lt;=ROUND(($E26-$D26+1)*$F26,0),2,IF(AB$5&lt;CFG_CurWeek,3,1)),""))</f>
        <v/>
      </c>
      <c r="AC26" s="66" t="str">
        <f aca="false">IF(OR($D26="",$E26=""),"",IF(AND(AC$5&gt;=$D26,AC$5&lt;=$E26),IF(AC$5-$D26+1&lt;=ROUND(($E26-$D26+1)*$F26,0),2,IF(AC$5&lt;CFG_CurWeek,3,1)),""))</f>
        <v/>
      </c>
      <c r="AD26" s="66" t="str">
        <f aca="false">IF(OR($D26="",$E26=""),"",IF(AND(AD$5&gt;=$D26,AD$5&lt;=$E26),IF(AD$5-$D26+1&lt;=ROUND(($E26-$D26+1)*$F26,0),2,IF(AD$5&lt;CFG_CurWeek,3,1)),""))</f>
        <v/>
      </c>
      <c r="AE26" s="66" t="str">
        <f aca="false">IF(OR($D26="",$E26=""),"",IF(AND(AE$5&gt;=$D26,AE$5&lt;=$E26),IF(AE$5-$D26+1&lt;=ROUND(($E26-$D26+1)*$F26,0),2,IF(AE$5&lt;CFG_CurWeek,3,1)),""))</f>
        <v/>
      </c>
      <c r="AF26" s="66" t="str">
        <f aca="false">IF(OR($D26="",$E26=""),"",IF(AND(AF$5&gt;=$D26,AF$5&lt;=$E26),IF(AF$5-$D26+1&lt;=ROUND(($E26-$D26+1)*$F26,0),2,IF(AF$5&lt;CFG_CurWeek,3,1)),""))</f>
        <v/>
      </c>
      <c r="AG26" s="66" t="str">
        <f aca="false">IF(OR($D26="",$E26=""),"",IF(AND(AG$5&gt;=$D26,AG$5&lt;=$E26),IF(AG$5-$D26+1&lt;=ROUND(($E26-$D26+1)*$F26,0),2,IF(AG$5&lt;CFG_CurWeek,3,1)),""))</f>
        <v/>
      </c>
      <c r="AH26" s="66" t="str">
        <f aca="false">IF(OR($D26="",$E26=""),"",IF(AND(AH$5&gt;=$D26,AH$5&lt;=$E26),IF(AH$5-$D26+1&lt;=ROUND(($E26-$D26+1)*$F26,0),2,IF(AH$5&lt;CFG_CurWeek,3,1)),""))</f>
        <v/>
      </c>
      <c r="AI26" s="66" t="str">
        <f aca="false">IF(OR($D26="",$E26=""),"",IF(AND(AI$5&gt;=$D26,AI$5&lt;=$E26),IF(AI$5-$D26+1&lt;=ROUND(($E26-$D26+1)*$F26,0),2,IF(AI$5&lt;CFG_CurWeek,3,1)),""))</f>
        <v/>
      </c>
      <c r="AJ26" s="66" t="str">
        <f aca="false">IF(OR($D26="",$E26=""),"",IF(AND(AJ$5&gt;=$D26,AJ$5&lt;=$E26),IF(AJ$5-$D26+1&lt;=ROUND(($E26-$D26+1)*$F26,0),2,IF(AJ$5&lt;CFG_CurWeek,3,1)),""))</f>
        <v/>
      </c>
      <c r="AK26" s="66" t="str">
        <f aca="false">IF(OR($D26="",$E26=""),"",IF(AND(AK$5&gt;=$D26,AK$5&lt;=$E26),IF(AK$5-$D26+1&lt;=ROUND(($E26-$D26+1)*$F26,0),2,IF(AK$5&lt;CFG_CurWeek,3,1)),""))</f>
        <v/>
      </c>
      <c r="AL26" s="66" t="str">
        <f aca="false">IF(OR($D26="",$E26=""),"",IF(AND(AL$5&gt;=$D26,AL$5&lt;=$E26),IF(AL$5-$D26+1&lt;=ROUND(($E26-$D26+1)*$F26,0),2,IF(AL$5&lt;CFG_CurWeek,3,1)),""))</f>
        <v/>
      </c>
      <c r="AM26" s="66" t="str">
        <f aca="false">IF(OR($D26="",$E26=""),"",IF(AND(AM$5&gt;=$D26,AM$5&lt;=$E26),IF(AM$5-$D26+1&lt;=ROUND(($E26-$D26+1)*$F26,0),2,IF(AM$5&lt;CFG_CurWeek,3,1)),""))</f>
        <v/>
      </c>
      <c r="AN26" s="66" t="str">
        <f aca="false">IF(OR($D26="",$E26=""),"",IF(AND(AN$5&gt;=$D26,AN$5&lt;=$E26),IF(AN$5-$D26+1&lt;=ROUND(($E26-$D26+1)*$F26,0),2,IF(AN$5&lt;CFG_CurWeek,3,1)),""))</f>
        <v/>
      </c>
      <c r="AO26" s="66" t="str">
        <f aca="false">IF(OR($D26="",$E26=""),"",IF(AND(AO$5&gt;=$D26,AO$5&lt;=$E26),IF(AO$5-$D26+1&lt;=ROUND(($E26-$D26+1)*$F26,0),2,IF(AO$5&lt;CFG_CurWeek,3,1)),""))</f>
        <v/>
      </c>
    </row>
    <row r="27" customFormat="false" ht="15" hidden="false" customHeight="false" outlineLevel="0" collapsed="false">
      <c r="A27" s="63" t="str">
        <f aca="false">IF('01_WBS &amp; Master Plan'!A24="","",'01_WBS &amp; Master Plan'!A24)</f>
        <v>2.7</v>
      </c>
      <c r="B27" s="64" t="str">
        <f aca="false">IF('01_WBS &amp; Master Plan'!D24="","",'01_WBS &amp; Master Plan'!D24)</f>
        <v>Kiểm thử player trên Chrome, Firefox, điện thoại</v>
      </c>
      <c r="C27" s="63" t="str">
        <f aca="false">IF('01_WBS &amp; Master Plan'!E24="","",'01_WBS &amp; Master Plan'!E24)</f>
        <v>Nhật</v>
      </c>
      <c r="D27" s="63" t="n">
        <f aca="false">IF('01_WBS &amp; Master Plan'!H24="","",'01_WBS &amp; Master Plan'!H24)</f>
        <v>9</v>
      </c>
      <c r="E27" s="63" t="n">
        <f aca="false">IF('01_WBS &amp; Master Plan'!I24="","",'01_WBS &amp; Master Plan'!I24)</f>
        <v>9</v>
      </c>
      <c r="F27" s="65" t="n">
        <f aca="false">IF(B27="","",IF('01_WBS &amp; Master Plan'!K24="Done",1,IF('01_WBS &amp; Master Plan'!L24="",0,'01_WBS &amp; Master Plan'!L24)))</f>
        <v>0</v>
      </c>
      <c r="G27" s="63" t="str">
        <f aca="false">IF('01_WBS &amp; Master Plan'!K24="","",'01_WBS &amp; Master Plan'!K24)</f>
        <v>To Do</v>
      </c>
      <c r="H27" s="66" t="str">
        <f aca="false">IF(OR($D27="",$E27=""),"",IF(AND(H$5&gt;=$D27,H$5&lt;=$E27),IF(H$5-$D27+1&lt;=ROUND(($E27-$D27+1)*$F27,0),2,IF(H$5&lt;CFG_CurWeek,3,1)),""))</f>
        <v/>
      </c>
      <c r="I27" s="66" t="str">
        <f aca="false">IF(OR($D27="",$E27=""),"",IF(AND(I$5&gt;=$D27,I$5&lt;=$E27),IF(I$5-$D27+1&lt;=ROUND(($E27-$D27+1)*$F27,0),2,IF(I$5&lt;CFG_CurWeek,3,1)),""))</f>
        <v/>
      </c>
      <c r="J27" s="66" t="str">
        <f aca="false">IF(OR($D27="",$E27=""),"",IF(AND(J$5&gt;=$D27,J$5&lt;=$E27),IF(J$5-$D27+1&lt;=ROUND(($E27-$D27+1)*$F27,0),2,IF(J$5&lt;CFG_CurWeek,3,1)),""))</f>
        <v/>
      </c>
      <c r="K27" s="66" t="str">
        <f aca="false">IF(OR($D27="",$E27=""),"",IF(AND(K$5&gt;=$D27,K$5&lt;=$E27),IF(K$5-$D27+1&lt;=ROUND(($E27-$D27+1)*$F27,0),2,IF(K$5&lt;CFG_CurWeek,3,1)),""))</f>
        <v/>
      </c>
      <c r="L27" s="66" t="str">
        <f aca="false">IF(OR($D27="",$E27=""),"",IF(AND(L$5&gt;=$D27,L$5&lt;=$E27),IF(L$5-$D27+1&lt;=ROUND(($E27-$D27+1)*$F27,0),2,IF(L$5&lt;CFG_CurWeek,3,1)),""))</f>
        <v/>
      </c>
      <c r="M27" s="66" t="str">
        <f aca="false">IF(OR($D27="",$E27=""),"",IF(AND(M$5&gt;=$D27,M$5&lt;=$E27),IF(M$5-$D27+1&lt;=ROUND(($E27-$D27+1)*$F27,0),2,IF(M$5&lt;CFG_CurWeek,3,1)),""))</f>
        <v/>
      </c>
      <c r="N27" s="66" t="str">
        <f aca="false">IF(OR($D27="",$E27=""),"",IF(AND(N$5&gt;=$D27,N$5&lt;=$E27),IF(N$5-$D27+1&lt;=ROUND(($E27-$D27+1)*$F27,0),2,IF(N$5&lt;CFG_CurWeek,3,1)),""))</f>
        <v/>
      </c>
      <c r="O27" s="66" t="str">
        <f aca="false">IF(OR($D27="",$E27=""),"",IF(AND(O$5&gt;=$D27,O$5&lt;=$E27),IF(O$5-$D27+1&lt;=ROUND(($E27-$D27+1)*$F27,0),2,IF(O$5&lt;CFG_CurWeek,3,1)),""))</f>
        <v/>
      </c>
      <c r="P27" s="66" t="n">
        <f aca="false">IF(OR($D27="",$E27=""),"",IF(AND(P$5&gt;=$D27,P$5&lt;=$E27),IF(P$5-$D27+1&lt;=ROUND(($E27-$D27+1)*$F27,0),2,IF(P$5&lt;CFG_CurWeek,3,1)),""))</f>
        <v>1</v>
      </c>
      <c r="Q27" s="66" t="str">
        <f aca="false">IF(OR($D27="",$E27=""),"",IF(AND(Q$5&gt;=$D27,Q$5&lt;=$E27),IF(Q$5-$D27+1&lt;=ROUND(($E27-$D27+1)*$F27,0),2,IF(Q$5&lt;CFG_CurWeek,3,1)),""))</f>
        <v/>
      </c>
      <c r="R27" s="66" t="str">
        <f aca="false">IF(OR($D27="",$E27=""),"",IF(AND(R$5&gt;=$D27,R$5&lt;=$E27),IF(R$5-$D27+1&lt;=ROUND(($E27-$D27+1)*$F27,0),2,IF(R$5&lt;CFG_CurWeek,3,1)),""))</f>
        <v/>
      </c>
      <c r="S27" s="66" t="str">
        <f aca="false">IF(OR($D27="",$E27=""),"",IF(AND(S$5&gt;=$D27,S$5&lt;=$E27),IF(S$5-$D27+1&lt;=ROUND(($E27-$D27+1)*$F27,0),2,IF(S$5&lt;CFG_CurWeek,3,1)),""))</f>
        <v/>
      </c>
      <c r="T27" s="66" t="str">
        <f aca="false">IF(OR($D27="",$E27=""),"",IF(AND(T$5&gt;=$D27,T$5&lt;=$E27),IF(T$5-$D27+1&lt;=ROUND(($E27-$D27+1)*$F27,0),2,IF(T$5&lt;CFG_CurWeek,3,1)),""))</f>
        <v/>
      </c>
      <c r="U27" s="66" t="str">
        <f aca="false">IF(OR($D27="",$E27=""),"",IF(AND(U$5&gt;=$D27,U$5&lt;=$E27),IF(U$5-$D27+1&lt;=ROUND(($E27-$D27+1)*$F27,0),2,IF(U$5&lt;CFG_CurWeek,3,1)),""))</f>
        <v/>
      </c>
      <c r="V27" s="66" t="str">
        <f aca="false">IF(OR($D27="",$E27=""),"",IF(AND(V$5&gt;=$D27,V$5&lt;=$E27),IF(V$5-$D27+1&lt;=ROUND(($E27-$D27+1)*$F27,0),2,IF(V$5&lt;CFG_CurWeek,3,1)),""))</f>
        <v/>
      </c>
      <c r="W27" s="66" t="str">
        <f aca="false">IF(OR($D27="",$E27=""),"",IF(AND(W$5&gt;=$D27,W$5&lt;=$E27),IF(W$5-$D27+1&lt;=ROUND(($E27-$D27+1)*$F27,0),2,IF(W$5&lt;CFG_CurWeek,3,1)),""))</f>
        <v/>
      </c>
      <c r="X27" s="66" t="str">
        <f aca="false">IF(OR($D27="",$E27=""),"",IF(AND(X$5&gt;=$D27,X$5&lt;=$E27),IF(X$5-$D27+1&lt;=ROUND(($E27-$D27+1)*$F27,0),2,IF(X$5&lt;CFG_CurWeek,3,1)),""))</f>
        <v/>
      </c>
      <c r="Y27" s="66" t="str">
        <f aca="false">IF(OR($D27="",$E27=""),"",IF(AND(Y$5&gt;=$D27,Y$5&lt;=$E27),IF(Y$5-$D27+1&lt;=ROUND(($E27-$D27+1)*$F27,0),2,IF(Y$5&lt;CFG_CurWeek,3,1)),""))</f>
        <v/>
      </c>
      <c r="Z27" s="66" t="str">
        <f aca="false">IF(OR($D27="",$E27=""),"",IF(AND(Z$5&gt;=$D27,Z$5&lt;=$E27),IF(Z$5-$D27+1&lt;=ROUND(($E27-$D27+1)*$F27,0),2,IF(Z$5&lt;CFG_CurWeek,3,1)),""))</f>
        <v/>
      </c>
      <c r="AA27" s="66" t="str">
        <f aca="false">IF(OR($D27="",$E27=""),"",IF(AND(AA$5&gt;=$D27,AA$5&lt;=$E27),IF(AA$5-$D27+1&lt;=ROUND(($E27-$D27+1)*$F27,0),2,IF(AA$5&lt;CFG_CurWeek,3,1)),""))</f>
        <v/>
      </c>
      <c r="AB27" s="66" t="str">
        <f aca="false">IF(OR($D27="",$E27=""),"",IF(AND(AB$5&gt;=$D27,AB$5&lt;=$E27),IF(AB$5-$D27+1&lt;=ROUND(($E27-$D27+1)*$F27,0),2,IF(AB$5&lt;CFG_CurWeek,3,1)),""))</f>
        <v/>
      </c>
      <c r="AC27" s="66" t="str">
        <f aca="false">IF(OR($D27="",$E27=""),"",IF(AND(AC$5&gt;=$D27,AC$5&lt;=$E27),IF(AC$5-$D27+1&lt;=ROUND(($E27-$D27+1)*$F27,0),2,IF(AC$5&lt;CFG_CurWeek,3,1)),""))</f>
        <v/>
      </c>
      <c r="AD27" s="66" t="str">
        <f aca="false">IF(OR($D27="",$E27=""),"",IF(AND(AD$5&gt;=$D27,AD$5&lt;=$E27),IF(AD$5-$D27+1&lt;=ROUND(($E27-$D27+1)*$F27,0),2,IF(AD$5&lt;CFG_CurWeek,3,1)),""))</f>
        <v/>
      </c>
      <c r="AE27" s="66" t="str">
        <f aca="false">IF(OR($D27="",$E27=""),"",IF(AND(AE$5&gt;=$D27,AE$5&lt;=$E27),IF(AE$5-$D27+1&lt;=ROUND(($E27-$D27+1)*$F27,0),2,IF(AE$5&lt;CFG_CurWeek,3,1)),""))</f>
        <v/>
      </c>
      <c r="AF27" s="66" t="str">
        <f aca="false">IF(OR($D27="",$E27=""),"",IF(AND(AF$5&gt;=$D27,AF$5&lt;=$E27),IF(AF$5-$D27+1&lt;=ROUND(($E27-$D27+1)*$F27,0),2,IF(AF$5&lt;CFG_CurWeek,3,1)),""))</f>
        <v/>
      </c>
      <c r="AG27" s="66" t="str">
        <f aca="false">IF(OR($D27="",$E27=""),"",IF(AND(AG$5&gt;=$D27,AG$5&lt;=$E27),IF(AG$5-$D27+1&lt;=ROUND(($E27-$D27+1)*$F27,0),2,IF(AG$5&lt;CFG_CurWeek,3,1)),""))</f>
        <v/>
      </c>
      <c r="AH27" s="66" t="str">
        <f aca="false">IF(OR($D27="",$E27=""),"",IF(AND(AH$5&gt;=$D27,AH$5&lt;=$E27),IF(AH$5-$D27+1&lt;=ROUND(($E27-$D27+1)*$F27,0),2,IF(AH$5&lt;CFG_CurWeek,3,1)),""))</f>
        <v/>
      </c>
      <c r="AI27" s="66" t="str">
        <f aca="false">IF(OR($D27="",$E27=""),"",IF(AND(AI$5&gt;=$D27,AI$5&lt;=$E27),IF(AI$5-$D27+1&lt;=ROUND(($E27-$D27+1)*$F27,0),2,IF(AI$5&lt;CFG_CurWeek,3,1)),""))</f>
        <v/>
      </c>
      <c r="AJ27" s="66" t="str">
        <f aca="false">IF(OR($D27="",$E27=""),"",IF(AND(AJ$5&gt;=$D27,AJ$5&lt;=$E27),IF(AJ$5-$D27+1&lt;=ROUND(($E27-$D27+1)*$F27,0),2,IF(AJ$5&lt;CFG_CurWeek,3,1)),""))</f>
        <v/>
      </c>
      <c r="AK27" s="66" t="str">
        <f aca="false">IF(OR($D27="",$E27=""),"",IF(AND(AK$5&gt;=$D27,AK$5&lt;=$E27),IF(AK$5-$D27+1&lt;=ROUND(($E27-$D27+1)*$F27,0),2,IF(AK$5&lt;CFG_CurWeek,3,1)),""))</f>
        <v/>
      </c>
      <c r="AL27" s="66" t="str">
        <f aca="false">IF(OR($D27="",$E27=""),"",IF(AND(AL$5&gt;=$D27,AL$5&lt;=$E27),IF(AL$5-$D27+1&lt;=ROUND(($E27-$D27+1)*$F27,0),2,IF(AL$5&lt;CFG_CurWeek,3,1)),""))</f>
        <v/>
      </c>
      <c r="AM27" s="66" t="str">
        <f aca="false">IF(OR($D27="",$E27=""),"",IF(AND(AM$5&gt;=$D27,AM$5&lt;=$E27),IF(AM$5-$D27+1&lt;=ROUND(($E27-$D27+1)*$F27,0),2,IF(AM$5&lt;CFG_CurWeek,3,1)),""))</f>
        <v/>
      </c>
      <c r="AN27" s="66" t="str">
        <f aca="false">IF(OR($D27="",$E27=""),"",IF(AND(AN$5&gt;=$D27,AN$5&lt;=$E27),IF(AN$5-$D27+1&lt;=ROUND(($E27-$D27+1)*$F27,0),2,IF(AN$5&lt;CFG_CurWeek,3,1)),""))</f>
        <v/>
      </c>
      <c r="AO27" s="66" t="str">
        <f aca="false">IF(OR($D27="",$E27=""),"",IF(AND(AO$5&gt;=$D27,AO$5&lt;=$E27),IF(AO$5-$D27+1&lt;=ROUND(($E27-$D27+1)*$F27,0),2,IF(AO$5&lt;CFG_CurWeek,3,1)),""))</f>
        <v/>
      </c>
    </row>
    <row r="28" customFormat="false" ht="15" hidden="false" customHeight="false" outlineLevel="0" collapsed="false">
      <c r="A28" s="63" t="str">
        <f aca="false">IF('01_WBS &amp; Master Plan'!A25="","",'01_WBS &amp; Master Plan'!A25)</f>
        <v>3.1</v>
      </c>
      <c r="B28" s="64" t="str">
        <f aca="false">IF('01_WBS &amp; Master Plan'!D25="","",'01_WBS &amp; Master Plan'!D25)</f>
        <v>Học React: component, props, state, hooks; khởi tạo project Vite</v>
      </c>
      <c r="C28" s="63" t="str">
        <f aca="false">IF('01_WBS &amp; Master Plan'!E25="","",'01_WBS &amp; Master Plan'!E25)</f>
        <v>Nhật</v>
      </c>
      <c r="D28" s="63" t="n">
        <f aca="false">IF('01_WBS &amp; Master Plan'!H25="","",'01_WBS &amp; Master Plan'!H25)</f>
        <v>10</v>
      </c>
      <c r="E28" s="63" t="n">
        <f aca="false">IF('01_WBS &amp; Master Plan'!I25="","",'01_WBS &amp; Master Plan'!I25)</f>
        <v>11</v>
      </c>
      <c r="F28" s="65" t="n">
        <f aca="false">IF(B28="","",IF('01_WBS &amp; Master Plan'!K25="Done",1,IF('01_WBS &amp; Master Plan'!L25="",0,'01_WBS &amp; Master Plan'!L25)))</f>
        <v>0</v>
      </c>
      <c r="G28" s="63" t="str">
        <f aca="false">IF('01_WBS &amp; Master Plan'!K25="","",'01_WBS &amp; Master Plan'!K25)</f>
        <v>To Do</v>
      </c>
      <c r="H28" s="66" t="str">
        <f aca="false">IF(OR($D28="",$E28=""),"",IF(AND(H$5&gt;=$D28,H$5&lt;=$E28),IF(H$5-$D28+1&lt;=ROUND(($E28-$D28+1)*$F28,0),2,IF(H$5&lt;CFG_CurWeek,3,1)),""))</f>
        <v/>
      </c>
      <c r="I28" s="66" t="str">
        <f aca="false">IF(OR($D28="",$E28=""),"",IF(AND(I$5&gt;=$D28,I$5&lt;=$E28),IF(I$5-$D28+1&lt;=ROUND(($E28-$D28+1)*$F28,0),2,IF(I$5&lt;CFG_CurWeek,3,1)),""))</f>
        <v/>
      </c>
      <c r="J28" s="66" t="str">
        <f aca="false">IF(OR($D28="",$E28=""),"",IF(AND(J$5&gt;=$D28,J$5&lt;=$E28),IF(J$5-$D28+1&lt;=ROUND(($E28-$D28+1)*$F28,0),2,IF(J$5&lt;CFG_CurWeek,3,1)),""))</f>
        <v/>
      </c>
      <c r="K28" s="66" t="str">
        <f aca="false">IF(OR($D28="",$E28=""),"",IF(AND(K$5&gt;=$D28,K$5&lt;=$E28),IF(K$5-$D28+1&lt;=ROUND(($E28-$D28+1)*$F28,0),2,IF(K$5&lt;CFG_CurWeek,3,1)),""))</f>
        <v/>
      </c>
      <c r="L28" s="66" t="str">
        <f aca="false">IF(OR($D28="",$E28=""),"",IF(AND(L$5&gt;=$D28,L$5&lt;=$E28),IF(L$5-$D28+1&lt;=ROUND(($E28-$D28+1)*$F28,0),2,IF(L$5&lt;CFG_CurWeek,3,1)),""))</f>
        <v/>
      </c>
      <c r="M28" s="66" t="str">
        <f aca="false">IF(OR($D28="",$E28=""),"",IF(AND(M$5&gt;=$D28,M$5&lt;=$E28),IF(M$5-$D28+1&lt;=ROUND(($E28-$D28+1)*$F28,0),2,IF(M$5&lt;CFG_CurWeek,3,1)),""))</f>
        <v/>
      </c>
      <c r="N28" s="66" t="str">
        <f aca="false">IF(OR($D28="",$E28=""),"",IF(AND(N$5&gt;=$D28,N$5&lt;=$E28),IF(N$5-$D28+1&lt;=ROUND(($E28-$D28+1)*$F28,0),2,IF(N$5&lt;CFG_CurWeek,3,1)),""))</f>
        <v/>
      </c>
      <c r="O28" s="66" t="str">
        <f aca="false">IF(OR($D28="",$E28=""),"",IF(AND(O$5&gt;=$D28,O$5&lt;=$E28),IF(O$5-$D28+1&lt;=ROUND(($E28-$D28+1)*$F28,0),2,IF(O$5&lt;CFG_CurWeek,3,1)),""))</f>
        <v/>
      </c>
      <c r="P28" s="66" t="str">
        <f aca="false">IF(OR($D28="",$E28=""),"",IF(AND(P$5&gt;=$D28,P$5&lt;=$E28),IF(P$5-$D28+1&lt;=ROUND(($E28-$D28+1)*$F28,0),2,IF(P$5&lt;CFG_CurWeek,3,1)),""))</f>
        <v/>
      </c>
      <c r="Q28" s="66" t="n">
        <f aca="false">IF(OR($D28="",$E28=""),"",IF(AND(Q$5&gt;=$D28,Q$5&lt;=$E28),IF(Q$5-$D28+1&lt;=ROUND(($E28-$D28+1)*$F28,0),2,IF(Q$5&lt;CFG_CurWeek,3,1)),""))</f>
        <v>1</v>
      </c>
      <c r="R28" s="66" t="n">
        <f aca="false">IF(OR($D28="",$E28=""),"",IF(AND(R$5&gt;=$D28,R$5&lt;=$E28),IF(R$5-$D28+1&lt;=ROUND(($E28-$D28+1)*$F28,0),2,IF(R$5&lt;CFG_CurWeek,3,1)),""))</f>
        <v>1</v>
      </c>
      <c r="S28" s="66" t="str">
        <f aca="false">IF(OR($D28="",$E28=""),"",IF(AND(S$5&gt;=$D28,S$5&lt;=$E28),IF(S$5-$D28+1&lt;=ROUND(($E28-$D28+1)*$F28,0),2,IF(S$5&lt;CFG_CurWeek,3,1)),""))</f>
        <v/>
      </c>
      <c r="T28" s="66" t="str">
        <f aca="false">IF(OR($D28="",$E28=""),"",IF(AND(T$5&gt;=$D28,T$5&lt;=$E28),IF(T$5-$D28+1&lt;=ROUND(($E28-$D28+1)*$F28,0),2,IF(T$5&lt;CFG_CurWeek,3,1)),""))</f>
        <v/>
      </c>
      <c r="U28" s="66" t="str">
        <f aca="false">IF(OR($D28="",$E28=""),"",IF(AND(U$5&gt;=$D28,U$5&lt;=$E28),IF(U$5-$D28+1&lt;=ROUND(($E28-$D28+1)*$F28,0),2,IF(U$5&lt;CFG_CurWeek,3,1)),""))</f>
        <v/>
      </c>
      <c r="V28" s="66" t="str">
        <f aca="false">IF(OR($D28="",$E28=""),"",IF(AND(V$5&gt;=$D28,V$5&lt;=$E28),IF(V$5-$D28+1&lt;=ROUND(($E28-$D28+1)*$F28,0),2,IF(V$5&lt;CFG_CurWeek,3,1)),""))</f>
        <v/>
      </c>
      <c r="W28" s="66" t="str">
        <f aca="false">IF(OR($D28="",$E28=""),"",IF(AND(W$5&gt;=$D28,W$5&lt;=$E28),IF(W$5-$D28+1&lt;=ROUND(($E28-$D28+1)*$F28,0),2,IF(W$5&lt;CFG_CurWeek,3,1)),""))</f>
        <v/>
      </c>
      <c r="X28" s="66" t="str">
        <f aca="false">IF(OR($D28="",$E28=""),"",IF(AND(X$5&gt;=$D28,X$5&lt;=$E28),IF(X$5-$D28+1&lt;=ROUND(($E28-$D28+1)*$F28,0),2,IF(X$5&lt;CFG_CurWeek,3,1)),""))</f>
        <v/>
      </c>
      <c r="Y28" s="66" t="str">
        <f aca="false">IF(OR($D28="",$E28=""),"",IF(AND(Y$5&gt;=$D28,Y$5&lt;=$E28),IF(Y$5-$D28+1&lt;=ROUND(($E28-$D28+1)*$F28,0),2,IF(Y$5&lt;CFG_CurWeek,3,1)),""))</f>
        <v/>
      </c>
      <c r="Z28" s="66" t="str">
        <f aca="false">IF(OR($D28="",$E28=""),"",IF(AND(Z$5&gt;=$D28,Z$5&lt;=$E28),IF(Z$5-$D28+1&lt;=ROUND(($E28-$D28+1)*$F28,0),2,IF(Z$5&lt;CFG_CurWeek,3,1)),""))</f>
        <v/>
      </c>
      <c r="AA28" s="66" t="str">
        <f aca="false">IF(OR($D28="",$E28=""),"",IF(AND(AA$5&gt;=$D28,AA$5&lt;=$E28),IF(AA$5-$D28+1&lt;=ROUND(($E28-$D28+1)*$F28,0),2,IF(AA$5&lt;CFG_CurWeek,3,1)),""))</f>
        <v/>
      </c>
      <c r="AB28" s="66" t="str">
        <f aca="false">IF(OR($D28="",$E28=""),"",IF(AND(AB$5&gt;=$D28,AB$5&lt;=$E28),IF(AB$5-$D28+1&lt;=ROUND(($E28-$D28+1)*$F28,0),2,IF(AB$5&lt;CFG_CurWeek,3,1)),""))</f>
        <v/>
      </c>
      <c r="AC28" s="66" t="str">
        <f aca="false">IF(OR($D28="",$E28=""),"",IF(AND(AC$5&gt;=$D28,AC$5&lt;=$E28),IF(AC$5-$D28+1&lt;=ROUND(($E28-$D28+1)*$F28,0),2,IF(AC$5&lt;CFG_CurWeek,3,1)),""))</f>
        <v/>
      </c>
      <c r="AD28" s="66" t="str">
        <f aca="false">IF(OR($D28="",$E28=""),"",IF(AND(AD$5&gt;=$D28,AD$5&lt;=$E28),IF(AD$5-$D28+1&lt;=ROUND(($E28-$D28+1)*$F28,0),2,IF(AD$5&lt;CFG_CurWeek,3,1)),""))</f>
        <v/>
      </c>
      <c r="AE28" s="66" t="str">
        <f aca="false">IF(OR($D28="",$E28=""),"",IF(AND(AE$5&gt;=$D28,AE$5&lt;=$E28),IF(AE$5-$D28+1&lt;=ROUND(($E28-$D28+1)*$F28,0),2,IF(AE$5&lt;CFG_CurWeek,3,1)),""))</f>
        <v/>
      </c>
      <c r="AF28" s="66" t="str">
        <f aca="false">IF(OR($D28="",$E28=""),"",IF(AND(AF$5&gt;=$D28,AF$5&lt;=$E28),IF(AF$5-$D28+1&lt;=ROUND(($E28-$D28+1)*$F28,0),2,IF(AF$5&lt;CFG_CurWeek,3,1)),""))</f>
        <v/>
      </c>
      <c r="AG28" s="66" t="str">
        <f aca="false">IF(OR($D28="",$E28=""),"",IF(AND(AG$5&gt;=$D28,AG$5&lt;=$E28),IF(AG$5-$D28+1&lt;=ROUND(($E28-$D28+1)*$F28,0),2,IF(AG$5&lt;CFG_CurWeek,3,1)),""))</f>
        <v/>
      </c>
      <c r="AH28" s="66" t="str">
        <f aca="false">IF(OR($D28="",$E28=""),"",IF(AND(AH$5&gt;=$D28,AH$5&lt;=$E28),IF(AH$5-$D28+1&lt;=ROUND(($E28-$D28+1)*$F28,0),2,IF(AH$5&lt;CFG_CurWeek,3,1)),""))</f>
        <v/>
      </c>
      <c r="AI28" s="66" t="str">
        <f aca="false">IF(OR($D28="",$E28=""),"",IF(AND(AI$5&gt;=$D28,AI$5&lt;=$E28),IF(AI$5-$D28+1&lt;=ROUND(($E28-$D28+1)*$F28,0),2,IF(AI$5&lt;CFG_CurWeek,3,1)),""))</f>
        <v/>
      </c>
      <c r="AJ28" s="66" t="str">
        <f aca="false">IF(OR($D28="",$E28=""),"",IF(AND(AJ$5&gt;=$D28,AJ$5&lt;=$E28),IF(AJ$5-$D28+1&lt;=ROUND(($E28-$D28+1)*$F28,0),2,IF(AJ$5&lt;CFG_CurWeek,3,1)),""))</f>
        <v/>
      </c>
      <c r="AK28" s="66" t="str">
        <f aca="false">IF(OR($D28="",$E28=""),"",IF(AND(AK$5&gt;=$D28,AK$5&lt;=$E28),IF(AK$5-$D28+1&lt;=ROUND(($E28-$D28+1)*$F28,0),2,IF(AK$5&lt;CFG_CurWeek,3,1)),""))</f>
        <v/>
      </c>
      <c r="AL28" s="66" t="str">
        <f aca="false">IF(OR($D28="",$E28=""),"",IF(AND(AL$5&gt;=$D28,AL$5&lt;=$E28),IF(AL$5-$D28+1&lt;=ROUND(($E28-$D28+1)*$F28,0),2,IF(AL$5&lt;CFG_CurWeek,3,1)),""))</f>
        <v/>
      </c>
      <c r="AM28" s="66" t="str">
        <f aca="false">IF(OR($D28="",$E28=""),"",IF(AND(AM$5&gt;=$D28,AM$5&lt;=$E28),IF(AM$5-$D28+1&lt;=ROUND(($E28-$D28+1)*$F28,0),2,IF(AM$5&lt;CFG_CurWeek,3,1)),""))</f>
        <v/>
      </c>
      <c r="AN28" s="66" t="str">
        <f aca="false">IF(OR($D28="",$E28=""),"",IF(AND(AN$5&gt;=$D28,AN$5&lt;=$E28),IF(AN$5-$D28+1&lt;=ROUND(($E28-$D28+1)*$F28,0),2,IF(AN$5&lt;CFG_CurWeek,3,1)),""))</f>
        <v/>
      </c>
      <c r="AO28" s="66" t="str">
        <f aca="false">IF(OR($D28="",$E28=""),"",IF(AND(AO$5&gt;=$D28,AO$5&lt;=$E28),IF(AO$5-$D28+1&lt;=ROUND(($E28-$D28+1)*$F28,0),2,IF(AO$5&lt;CFG_CurWeek,3,1)),""))</f>
        <v/>
      </c>
    </row>
    <row r="29" customFormat="false" ht="15" hidden="false" customHeight="false" outlineLevel="0" collapsed="false">
      <c r="A29" s="63" t="str">
        <f aca="false">IF('01_WBS &amp; Master Plan'!A26="","",'01_WBS &amp; Master Plan'!A26)</f>
        <v>3.2</v>
      </c>
      <c r="B29" s="64" t="str">
        <f aca="false">IF('01_WBS &amp; Master Plan'!D26="","",'01_WBS &amp; Master Plan'!D26)</f>
        <v>Cài Tailwind + React Router; layout chung Sidebar + Outlet + PlayerBar</v>
      </c>
      <c r="C29" s="63" t="str">
        <f aca="false">IF('01_WBS &amp; Master Plan'!E26="","",'01_WBS &amp; Master Plan'!E26)</f>
        <v>Nhật</v>
      </c>
      <c r="D29" s="63" t="n">
        <f aca="false">IF('01_WBS &amp; Master Plan'!H26="","",'01_WBS &amp; Master Plan'!H26)</f>
        <v>11</v>
      </c>
      <c r="E29" s="63" t="n">
        <f aca="false">IF('01_WBS &amp; Master Plan'!I26="","",'01_WBS &amp; Master Plan'!I26)</f>
        <v>11</v>
      </c>
      <c r="F29" s="65" t="n">
        <f aca="false">IF(B29="","",IF('01_WBS &amp; Master Plan'!K26="Done",1,IF('01_WBS &amp; Master Plan'!L26="",0,'01_WBS &amp; Master Plan'!L26)))</f>
        <v>0</v>
      </c>
      <c r="G29" s="63" t="str">
        <f aca="false">IF('01_WBS &amp; Master Plan'!K26="","",'01_WBS &amp; Master Plan'!K26)</f>
        <v>To Do</v>
      </c>
      <c r="H29" s="66" t="str">
        <f aca="false">IF(OR($D29="",$E29=""),"",IF(AND(H$5&gt;=$D29,H$5&lt;=$E29),IF(H$5-$D29+1&lt;=ROUND(($E29-$D29+1)*$F29,0),2,IF(H$5&lt;CFG_CurWeek,3,1)),""))</f>
        <v/>
      </c>
      <c r="I29" s="66" t="str">
        <f aca="false">IF(OR($D29="",$E29=""),"",IF(AND(I$5&gt;=$D29,I$5&lt;=$E29),IF(I$5-$D29+1&lt;=ROUND(($E29-$D29+1)*$F29,0),2,IF(I$5&lt;CFG_CurWeek,3,1)),""))</f>
        <v/>
      </c>
      <c r="J29" s="66" t="str">
        <f aca="false">IF(OR($D29="",$E29=""),"",IF(AND(J$5&gt;=$D29,J$5&lt;=$E29),IF(J$5-$D29+1&lt;=ROUND(($E29-$D29+1)*$F29,0),2,IF(J$5&lt;CFG_CurWeek,3,1)),""))</f>
        <v/>
      </c>
      <c r="K29" s="66" t="str">
        <f aca="false">IF(OR($D29="",$E29=""),"",IF(AND(K$5&gt;=$D29,K$5&lt;=$E29),IF(K$5-$D29+1&lt;=ROUND(($E29-$D29+1)*$F29,0),2,IF(K$5&lt;CFG_CurWeek,3,1)),""))</f>
        <v/>
      </c>
      <c r="L29" s="66" t="str">
        <f aca="false">IF(OR($D29="",$E29=""),"",IF(AND(L$5&gt;=$D29,L$5&lt;=$E29),IF(L$5-$D29+1&lt;=ROUND(($E29-$D29+1)*$F29,0),2,IF(L$5&lt;CFG_CurWeek,3,1)),""))</f>
        <v/>
      </c>
      <c r="M29" s="66" t="str">
        <f aca="false">IF(OR($D29="",$E29=""),"",IF(AND(M$5&gt;=$D29,M$5&lt;=$E29),IF(M$5-$D29+1&lt;=ROUND(($E29-$D29+1)*$F29,0),2,IF(M$5&lt;CFG_CurWeek,3,1)),""))</f>
        <v/>
      </c>
      <c r="N29" s="66" t="str">
        <f aca="false">IF(OR($D29="",$E29=""),"",IF(AND(N$5&gt;=$D29,N$5&lt;=$E29),IF(N$5-$D29+1&lt;=ROUND(($E29-$D29+1)*$F29,0),2,IF(N$5&lt;CFG_CurWeek,3,1)),""))</f>
        <v/>
      </c>
      <c r="O29" s="66" t="str">
        <f aca="false">IF(OR($D29="",$E29=""),"",IF(AND(O$5&gt;=$D29,O$5&lt;=$E29),IF(O$5-$D29+1&lt;=ROUND(($E29-$D29+1)*$F29,0),2,IF(O$5&lt;CFG_CurWeek,3,1)),""))</f>
        <v/>
      </c>
      <c r="P29" s="66" t="str">
        <f aca="false">IF(OR($D29="",$E29=""),"",IF(AND(P$5&gt;=$D29,P$5&lt;=$E29),IF(P$5-$D29+1&lt;=ROUND(($E29-$D29+1)*$F29,0),2,IF(P$5&lt;CFG_CurWeek,3,1)),""))</f>
        <v/>
      </c>
      <c r="Q29" s="66" t="str">
        <f aca="false">IF(OR($D29="",$E29=""),"",IF(AND(Q$5&gt;=$D29,Q$5&lt;=$E29),IF(Q$5-$D29+1&lt;=ROUND(($E29-$D29+1)*$F29,0),2,IF(Q$5&lt;CFG_CurWeek,3,1)),""))</f>
        <v/>
      </c>
      <c r="R29" s="66" t="n">
        <f aca="false">IF(OR($D29="",$E29=""),"",IF(AND(R$5&gt;=$D29,R$5&lt;=$E29),IF(R$5-$D29+1&lt;=ROUND(($E29-$D29+1)*$F29,0),2,IF(R$5&lt;CFG_CurWeek,3,1)),""))</f>
        <v>1</v>
      </c>
      <c r="S29" s="66" t="str">
        <f aca="false">IF(OR($D29="",$E29=""),"",IF(AND(S$5&gt;=$D29,S$5&lt;=$E29),IF(S$5-$D29+1&lt;=ROUND(($E29-$D29+1)*$F29,0),2,IF(S$5&lt;CFG_CurWeek,3,1)),""))</f>
        <v/>
      </c>
      <c r="T29" s="66" t="str">
        <f aca="false">IF(OR($D29="",$E29=""),"",IF(AND(T$5&gt;=$D29,T$5&lt;=$E29),IF(T$5-$D29+1&lt;=ROUND(($E29-$D29+1)*$F29,0),2,IF(T$5&lt;CFG_CurWeek,3,1)),""))</f>
        <v/>
      </c>
      <c r="U29" s="66" t="str">
        <f aca="false">IF(OR($D29="",$E29=""),"",IF(AND(U$5&gt;=$D29,U$5&lt;=$E29),IF(U$5-$D29+1&lt;=ROUND(($E29-$D29+1)*$F29,0),2,IF(U$5&lt;CFG_CurWeek,3,1)),""))</f>
        <v/>
      </c>
      <c r="V29" s="66" t="str">
        <f aca="false">IF(OR($D29="",$E29=""),"",IF(AND(V$5&gt;=$D29,V$5&lt;=$E29),IF(V$5-$D29+1&lt;=ROUND(($E29-$D29+1)*$F29,0),2,IF(V$5&lt;CFG_CurWeek,3,1)),""))</f>
        <v/>
      </c>
      <c r="W29" s="66" t="str">
        <f aca="false">IF(OR($D29="",$E29=""),"",IF(AND(W$5&gt;=$D29,W$5&lt;=$E29),IF(W$5-$D29+1&lt;=ROUND(($E29-$D29+1)*$F29,0),2,IF(W$5&lt;CFG_CurWeek,3,1)),""))</f>
        <v/>
      </c>
      <c r="X29" s="66" t="str">
        <f aca="false">IF(OR($D29="",$E29=""),"",IF(AND(X$5&gt;=$D29,X$5&lt;=$E29),IF(X$5-$D29+1&lt;=ROUND(($E29-$D29+1)*$F29,0),2,IF(X$5&lt;CFG_CurWeek,3,1)),""))</f>
        <v/>
      </c>
      <c r="Y29" s="66" t="str">
        <f aca="false">IF(OR($D29="",$E29=""),"",IF(AND(Y$5&gt;=$D29,Y$5&lt;=$E29),IF(Y$5-$D29+1&lt;=ROUND(($E29-$D29+1)*$F29,0),2,IF(Y$5&lt;CFG_CurWeek,3,1)),""))</f>
        <v/>
      </c>
      <c r="Z29" s="66" t="str">
        <f aca="false">IF(OR($D29="",$E29=""),"",IF(AND(Z$5&gt;=$D29,Z$5&lt;=$E29),IF(Z$5-$D29+1&lt;=ROUND(($E29-$D29+1)*$F29,0),2,IF(Z$5&lt;CFG_CurWeek,3,1)),""))</f>
        <v/>
      </c>
      <c r="AA29" s="66" t="str">
        <f aca="false">IF(OR($D29="",$E29=""),"",IF(AND(AA$5&gt;=$D29,AA$5&lt;=$E29),IF(AA$5-$D29+1&lt;=ROUND(($E29-$D29+1)*$F29,0),2,IF(AA$5&lt;CFG_CurWeek,3,1)),""))</f>
        <v/>
      </c>
      <c r="AB29" s="66" t="str">
        <f aca="false">IF(OR($D29="",$E29=""),"",IF(AND(AB$5&gt;=$D29,AB$5&lt;=$E29),IF(AB$5-$D29+1&lt;=ROUND(($E29-$D29+1)*$F29,0),2,IF(AB$5&lt;CFG_CurWeek,3,1)),""))</f>
        <v/>
      </c>
      <c r="AC29" s="66" t="str">
        <f aca="false">IF(OR($D29="",$E29=""),"",IF(AND(AC$5&gt;=$D29,AC$5&lt;=$E29),IF(AC$5-$D29+1&lt;=ROUND(($E29-$D29+1)*$F29,0),2,IF(AC$5&lt;CFG_CurWeek,3,1)),""))</f>
        <v/>
      </c>
      <c r="AD29" s="66" t="str">
        <f aca="false">IF(OR($D29="",$E29=""),"",IF(AND(AD$5&gt;=$D29,AD$5&lt;=$E29),IF(AD$5-$D29+1&lt;=ROUND(($E29-$D29+1)*$F29,0),2,IF(AD$5&lt;CFG_CurWeek,3,1)),""))</f>
        <v/>
      </c>
      <c r="AE29" s="66" t="str">
        <f aca="false">IF(OR($D29="",$E29=""),"",IF(AND(AE$5&gt;=$D29,AE$5&lt;=$E29),IF(AE$5-$D29+1&lt;=ROUND(($E29-$D29+1)*$F29,0),2,IF(AE$5&lt;CFG_CurWeek,3,1)),""))</f>
        <v/>
      </c>
      <c r="AF29" s="66" t="str">
        <f aca="false">IF(OR($D29="",$E29=""),"",IF(AND(AF$5&gt;=$D29,AF$5&lt;=$E29),IF(AF$5-$D29+1&lt;=ROUND(($E29-$D29+1)*$F29,0),2,IF(AF$5&lt;CFG_CurWeek,3,1)),""))</f>
        <v/>
      </c>
      <c r="AG29" s="66" t="str">
        <f aca="false">IF(OR($D29="",$E29=""),"",IF(AND(AG$5&gt;=$D29,AG$5&lt;=$E29),IF(AG$5-$D29+1&lt;=ROUND(($E29-$D29+1)*$F29,0),2,IF(AG$5&lt;CFG_CurWeek,3,1)),""))</f>
        <v/>
      </c>
      <c r="AH29" s="66" t="str">
        <f aca="false">IF(OR($D29="",$E29=""),"",IF(AND(AH$5&gt;=$D29,AH$5&lt;=$E29),IF(AH$5-$D29+1&lt;=ROUND(($E29-$D29+1)*$F29,0),2,IF(AH$5&lt;CFG_CurWeek,3,1)),""))</f>
        <v/>
      </c>
      <c r="AI29" s="66" t="str">
        <f aca="false">IF(OR($D29="",$E29=""),"",IF(AND(AI$5&gt;=$D29,AI$5&lt;=$E29),IF(AI$5-$D29+1&lt;=ROUND(($E29-$D29+1)*$F29,0),2,IF(AI$5&lt;CFG_CurWeek,3,1)),""))</f>
        <v/>
      </c>
      <c r="AJ29" s="66" t="str">
        <f aca="false">IF(OR($D29="",$E29=""),"",IF(AND(AJ$5&gt;=$D29,AJ$5&lt;=$E29),IF(AJ$5-$D29+1&lt;=ROUND(($E29-$D29+1)*$F29,0),2,IF(AJ$5&lt;CFG_CurWeek,3,1)),""))</f>
        <v/>
      </c>
      <c r="AK29" s="66" t="str">
        <f aca="false">IF(OR($D29="",$E29=""),"",IF(AND(AK$5&gt;=$D29,AK$5&lt;=$E29),IF(AK$5-$D29+1&lt;=ROUND(($E29-$D29+1)*$F29,0),2,IF(AK$5&lt;CFG_CurWeek,3,1)),""))</f>
        <v/>
      </c>
      <c r="AL29" s="66" t="str">
        <f aca="false">IF(OR($D29="",$E29=""),"",IF(AND(AL$5&gt;=$D29,AL$5&lt;=$E29),IF(AL$5-$D29+1&lt;=ROUND(($E29-$D29+1)*$F29,0),2,IF(AL$5&lt;CFG_CurWeek,3,1)),""))</f>
        <v/>
      </c>
      <c r="AM29" s="66" t="str">
        <f aca="false">IF(OR($D29="",$E29=""),"",IF(AND(AM$5&gt;=$D29,AM$5&lt;=$E29),IF(AM$5-$D29+1&lt;=ROUND(($E29-$D29+1)*$F29,0),2,IF(AM$5&lt;CFG_CurWeek,3,1)),""))</f>
        <v/>
      </c>
      <c r="AN29" s="66" t="str">
        <f aca="false">IF(OR($D29="",$E29=""),"",IF(AND(AN$5&gt;=$D29,AN$5&lt;=$E29),IF(AN$5-$D29+1&lt;=ROUND(($E29-$D29+1)*$F29,0),2,IF(AN$5&lt;CFG_CurWeek,3,1)),""))</f>
        <v/>
      </c>
      <c r="AO29" s="66" t="str">
        <f aca="false">IF(OR($D29="",$E29=""),"",IF(AND(AO$5&gt;=$D29,AO$5&lt;=$E29),IF(AO$5-$D29+1&lt;=ROUND(($E29-$D29+1)*$F29,0),2,IF(AO$5&lt;CFG_CurWeek,3,1)),""))</f>
        <v/>
      </c>
    </row>
    <row r="30" customFormat="false" ht="15" hidden="false" customHeight="false" outlineLevel="0" collapsed="false">
      <c r="A30" s="63" t="str">
        <f aca="false">IF('01_WBS &amp; Master Plan'!A27="","",'01_WBS &amp; Master Plan'!A27)</f>
        <v>3.3</v>
      </c>
      <c r="B30" s="64" t="str">
        <f aca="false">IF('01_WBS &amp; Master Plan'!D27="","",'01_WBS &amp; Master Plan'!D27)</f>
        <v>Chuyển player sang React: store Zustand (bài hiện tại, queue, trạng thái), hook usePlayer</v>
      </c>
      <c r="C30" s="63" t="str">
        <f aca="false">IF('01_WBS &amp; Master Plan'!E27="","",'01_WBS &amp; Master Plan'!E27)</f>
        <v>Nhật</v>
      </c>
      <c r="D30" s="63" t="n">
        <f aca="false">IF('01_WBS &amp; Master Plan'!H27="","",'01_WBS &amp; Master Plan'!H27)</f>
        <v>11</v>
      </c>
      <c r="E30" s="63" t="n">
        <f aca="false">IF('01_WBS &amp; Master Plan'!I27="","",'01_WBS &amp; Master Plan'!I27)</f>
        <v>12</v>
      </c>
      <c r="F30" s="65" t="n">
        <f aca="false">IF(B30="","",IF('01_WBS &amp; Master Plan'!K27="Done",1,IF('01_WBS &amp; Master Plan'!L27="",0,'01_WBS &amp; Master Plan'!L27)))</f>
        <v>0</v>
      </c>
      <c r="G30" s="63" t="str">
        <f aca="false">IF('01_WBS &amp; Master Plan'!K27="","",'01_WBS &amp; Master Plan'!K27)</f>
        <v>To Do</v>
      </c>
      <c r="H30" s="66" t="str">
        <f aca="false">IF(OR($D30="",$E30=""),"",IF(AND(H$5&gt;=$D30,H$5&lt;=$E30),IF(H$5-$D30+1&lt;=ROUND(($E30-$D30+1)*$F30,0),2,IF(H$5&lt;CFG_CurWeek,3,1)),""))</f>
        <v/>
      </c>
      <c r="I30" s="66" t="str">
        <f aca="false">IF(OR($D30="",$E30=""),"",IF(AND(I$5&gt;=$D30,I$5&lt;=$E30),IF(I$5-$D30+1&lt;=ROUND(($E30-$D30+1)*$F30,0),2,IF(I$5&lt;CFG_CurWeek,3,1)),""))</f>
        <v/>
      </c>
      <c r="J30" s="66" t="str">
        <f aca="false">IF(OR($D30="",$E30=""),"",IF(AND(J$5&gt;=$D30,J$5&lt;=$E30),IF(J$5-$D30+1&lt;=ROUND(($E30-$D30+1)*$F30,0),2,IF(J$5&lt;CFG_CurWeek,3,1)),""))</f>
        <v/>
      </c>
      <c r="K30" s="66" t="str">
        <f aca="false">IF(OR($D30="",$E30=""),"",IF(AND(K$5&gt;=$D30,K$5&lt;=$E30),IF(K$5-$D30+1&lt;=ROUND(($E30-$D30+1)*$F30,0),2,IF(K$5&lt;CFG_CurWeek,3,1)),""))</f>
        <v/>
      </c>
      <c r="L30" s="66" t="str">
        <f aca="false">IF(OR($D30="",$E30=""),"",IF(AND(L$5&gt;=$D30,L$5&lt;=$E30),IF(L$5-$D30+1&lt;=ROUND(($E30-$D30+1)*$F30,0),2,IF(L$5&lt;CFG_CurWeek,3,1)),""))</f>
        <v/>
      </c>
      <c r="M30" s="66" t="str">
        <f aca="false">IF(OR($D30="",$E30=""),"",IF(AND(M$5&gt;=$D30,M$5&lt;=$E30),IF(M$5-$D30+1&lt;=ROUND(($E30-$D30+1)*$F30,0),2,IF(M$5&lt;CFG_CurWeek,3,1)),""))</f>
        <v/>
      </c>
      <c r="N30" s="66" t="str">
        <f aca="false">IF(OR($D30="",$E30=""),"",IF(AND(N$5&gt;=$D30,N$5&lt;=$E30),IF(N$5-$D30+1&lt;=ROUND(($E30-$D30+1)*$F30,0),2,IF(N$5&lt;CFG_CurWeek,3,1)),""))</f>
        <v/>
      </c>
      <c r="O30" s="66" t="str">
        <f aca="false">IF(OR($D30="",$E30=""),"",IF(AND(O$5&gt;=$D30,O$5&lt;=$E30),IF(O$5-$D30+1&lt;=ROUND(($E30-$D30+1)*$F30,0),2,IF(O$5&lt;CFG_CurWeek,3,1)),""))</f>
        <v/>
      </c>
      <c r="P30" s="66" t="str">
        <f aca="false">IF(OR($D30="",$E30=""),"",IF(AND(P$5&gt;=$D30,P$5&lt;=$E30),IF(P$5-$D30+1&lt;=ROUND(($E30-$D30+1)*$F30,0),2,IF(P$5&lt;CFG_CurWeek,3,1)),""))</f>
        <v/>
      </c>
      <c r="Q30" s="66" t="str">
        <f aca="false">IF(OR($D30="",$E30=""),"",IF(AND(Q$5&gt;=$D30,Q$5&lt;=$E30),IF(Q$5-$D30+1&lt;=ROUND(($E30-$D30+1)*$F30,0),2,IF(Q$5&lt;CFG_CurWeek,3,1)),""))</f>
        <v/>
      </c>
      <c r="R30" s="66" t="n">
        <f aca="false">IF(OR($D30="",$E30=""),"",IF(AND(R$5&gt;=$D30,R$5&lt;=$E30),IF(R$5-$D30+1&lt;=ROUND(($E30-$D30+1)*$F30,0),2,IF(R$5&lt;CFG_CurWeek,3,1)),""))</f>
        <v>1</v>
      </c>
      <c r="S30" s="66" t="n">
        <f aca="false">IF(OR($D30="",$E30=""),"",IF(AND(S$5&gt;=$D30,S$5&lt;=$E30),IF(S$5-$D30+1&lt;=ROUND(($E30-$D30+1)*$F30,0),2,IF(S$5&lt;CFG_CurWeek,3,1)),""))</f>
        <v>1</v>
      </c>
      <c r="T30" s="66" t="str">
        <f aca="false">IF(OR($D30="",$E30=""),"",IF(AND(T$5&gt;=$D30,T$5&lt;=$E30),IF(T$5-$D30+1&lt;=ROUND(($E30-$D30+1)*$F30,0),2,IF(T$5&lt;CFG_CurWeek,3,1)),""))</f>
        <v/>
      </c>
      <c r="U30" s="66" t="str">
        <f aca="false">IF(OR($D30="",$E30=""),"",IF(AND(U$5&gt;=$D30,U$5&lt;=$E30),IF(U$5-$D30+1&lt;=ROUND(($E30-$D30+1)*$F30,0),2,IF(U$5&lt;CFG_CurWeek,3,1)),""))</f>
        <v/>
      </c>
      <c r="V30" s="66" t="str">
        <f aca="false">IF(OR($D30="",$E30=""),"",IF(AND(V$5&gt;=$D30,V$5&lt;=$E30),IF(V$5-$D30+1&lt;=ROUND(($E30-$D30+1)*$F30,0),2,IF(V$5&lt;CFG_CurWeek,3,1)),""))</f>
        <v/>
      </c>
      <c r="W30" s="66" t="str">
        <f aca="false">IF(OR($D30="",$E30=""),"",IF(AND(W$5&gt;=$D30,W$5&lt;=$E30),IF(W$5-$D30+1&lt;=ROUND(($E30-$D30+1)*$F30,0),2,IF(W$5&lt;CFG_CurWeek,3,1)),""))</f>
        <v/>
      </c>
      <c r="X30" s="66" t="str">
        <f aca="false">IF(OR($D30="",$E30=""),"",IF(AND(X$5&gt;=$D30,X$5&lt;=$E30),IF(X$5-$D30+1&lt;=ROUND(($E30-$D30+1)*$F30,0),2,IF(X$5&lt;CFG_CurWeek,3,1)),""))</f>
        <v/>
      </c>
      <c r="Y30" s="66" t="str">
        <f aca="false">IF(OR($D30="",$E30=""),"",IF(AND(Y$5&gt;=$D30,Y$5&lt;=$E30),IF(Y$5-$D30+1&lt;=ROUND(($E30-$D30+1)*$F30,0),2,IF(Y$5&lt;CFG_CurWeek,3,1)),""))</f>
        <v/>
      </c>
      <c r="Z30" s="66" t="str">
        <f aca="false">IF(OR($D30="",$E30=""),"",IF(AND(Z$5&gt;=$D30,Z$5&lt;=$E30),IF(Z$5-$D30+1&lt;=ROUND(($E30-$D30+1)*$F30,0),2,IF(Z$5&lt;CFG_CurWeek,3,1)),""))</f>
        <v/>
      </c>
      <c r="AA30" s="66" t="str">
        <f aca="false">IF(OR($D30="",$E30=""),"",IF(AND(AA$5&gt;=$D30,AA$5&lt;=$E30),IF(AA$5-$D30+1&lt;=ROUND(($E30-$D30+1)*$F30,0),2,IF(AA$5&lt;CFG_CurWeek,3,1)),""))</f>
        <v/>
      </c>
      <c r="AB30" s="66" t="str">
        <f aca="false">IF(OR($D30="",$E30=""),"",IF(AND(AB$5&gt;=$D30,AB$5&lt;=$E30),IF(AB$5-$D30+1&lt;=ROUND(($E30-$D30+1)*$F30,0),2,IF(AB$5&lt;CFG_CurWeek,3,1)),""))</f>
        <v/>
      </c>
      <c r="AC30" s="66" t="str">
        <f aca="false">IF(OR($D30="",$E30=""),"",IF(AND(AC$5&gt;=$D30,AC$5&lt;=$E30),IF(AC$5-$D30+1&lt;=ROUND(($E30-$D30+1)*$F30,0),2,IF(AC$5&lt;CFG_CurWeek,3,1)),""))</f>
        <v/>
      </c>
      <c r="AD30" s="66" t="str">
        <f aca="false">IF(OR($D30="",$E30=""),"",IF(AND(AD$5&gt;=$D30,AD$5&lt;=$E30),IF(AD$5-$D30+1&lt;=ROUND(($E30-$D30+1)*$F30,0),2,IF(AD$5&lt;CFG_CurWeek,3,1)),""))</f>
        <v/>
      </c>
      <c r="AE30" s="66" t="str">
        <f aca="false">IF(OR($D30="",$E30=""),"",IF(AND(AE$5&gt;=$D30,AE$5&lt;=$E30),IF(AE$5-$D30+1&lt;=ROUND(($E30-$D30+1)*$F30,0),2,IF(AE$5&lt;CFG_CurWeek,3,1)),""))</f>
        <v/>
      </c>
      <c r="AF30" s="66" t="str">
        <f aca="false">IF(OR($D30="",$E30=""),"",IF(AND(AF$5&gt;=$D30,AF$5&lt;=$E30),IF(AF$5-$D30+1&lt;=ROUND(($E30-$D30+1)*$F30,0),2,IF(AF$5&lt;CFG_CurWeek,3,1)),""))</f>
        <v/>
      </c>
      <c r="AG30" s="66" t="str">
        <f aca="false">IF(OR($D30="",$E30=""),"",IF(AND(AG$5&gt;=$D30,AG$5&lt;=$E30),IF(AG$5-$D30+1&lt;=ROUND(($E30-$D30+1)*$F30,0),2,IF(AG$5&lt;CFG_CurWeek,3,1)),""))</f>
        <v/>
      </c>
      <c r="AH30" s="66" t="str">
        <f aca="false">IF(OR($D30="",$E30=""),"",IF(AND(AH$5&gt;=$D30,AH$5&lt;=$E30),IF(AH$5-$D30+1&lt;=ROUND(($E30-$D30+1)*$F30,0),2,IF(AH$5&lt;CFG_CurWeek,3,1)),""))</f>
        <v/>
      </c>
      <c r="AI30" s="66" t="str">
        <f aca="false">IF(OR($D30="",$E30=""),"",IF(AND(AI$5&gt;=$D30,AI$5&lt;=$E30),IF(AI$5-$D30+1&lt;=ROUND(($E30-$D30+1)*$F30,0),2,IF(AI$5&lt;CFG_CurWeek,3,1)),""))</f>
        <v/>
      </c>
      <c r="AJ30" s="66" t="str">
        <f aca="false">IF(OR($D30="",$E30=""),"",IF(AND(AJ$5&gt;=$D30,AJ$5&lt;=$E30),IF(AJ$5-$D30+1&lt;=ROUND(($E30-$D30+1)*$F30,0),2,IF(AJ$5&lt;CFG_CurWeek,3,1)),""))</f>
        <v/>
      </c>
      <c r="AK30" s="66" t="str">
        <f aca="false">IF(OR($D30="",$E30=""),"",IF(AND(AK$5&gt;=$D30,AK$5&lt;=$E30),IF(AK$5-$D30+1&lt;=ROUND(($E30-$D30+1)*$F30,0),2,IF(AK$5&lt;CFG_CurWeek,3,1)),""))</f>
        <v/>
      </c>
      <c r="AL30" s="66" t="str">
        <f aca="false">IF(OR($D30="",$E30=""),"",IF(AND(AL$5&gt;=$D30,AL$5&lt;=$E30),IF(AL$5-$D30+1&lt;=ROUND(($E30-$D30+1)*$F30,0),2,IF(AL$5&lt;CFG_CurWeek,3,1)),""))</f>
        <v/>
      </c>
      <c r="AM30" s="66" t="str">
        <f aca="false">IF(OR($D30="",$E30=""),"",IF(AND(AM$5&gt;=$D30,AM$5&lt;=$E30),IF(AM$5-$D30+1&lt;=ROUND(($E30-$D30+1)*$F30,0),2,IF(AM$5&lt;CFG_CurWeek,3,1)),""))</f>
        <v/>
      </c>
      <c r="AN30" s="66" t="str">
        <f aca="false">IF(OR($D30="",$E30=""),"",IF(AND(AN$5&gt;=$D30,AN$5&lt;=$E30),IF(AN$5-$D30+1&lt;=ROUND(($E30-$D30+1)*$F30,0),2,IF(AN$5&lt;CFG_CurWeek,3,1)),""))</f>
        <v/>
      </c>
      <c r="AO30" s="66" t="str">
        <f aca="false">IF(OR($D30="",$E30=""),"",IF(AND(AO$5&gt;=$D30,AO$5&lt;=$E30),IF(AO$5-$D30+1&lt;=ROUND(($E30-$D30+1)*$F30,0),2,IF(AO$5&lt;CFG_CurWeek,3,1)),""))</f>
        <v/>
      </c>
    </row>
    <row r="31" customFormat="false" ht="15" hidden="false" customHeight="false" outlineLevel="0" collapsed="false">
      <c r="A31" s="63" t="str">
        <f aca="false">IF('01_WBS &amp; Master Plan'!A28="","",'01_WBS &amp; Master Plan'!A28)</f>
        <v>3.4</v>
      </c>
      <c r="B31" s="64" t="str">
        <f aca="false">IF('01_WBS &amp; Master Plan'!D28="","",'01_WBS &amp; Master Plan'!D28)</f>
        <v>Trang Home, Album, Nghệ sĩ, Thể loại với dữ liệu mock</v>
      </c>
      <c r="C31" s="63" t="str">
        <f aca="false">IF('01_WBS &amp; Master Plan'!E28="","",'01_WBS &amp; Master Plan'!E28)</f>
        <v>Nhật</v>
      </c>
      <c r="D31" s="63" t="n">
        <f aca="false">IF('01_WBS &amp; Master Plan'!H28="","",'01_WBS &amp; Master Plan'!H28)</f>
        <v>12</v>
      </c>
      <c r="E31" s="63" t="n">
        <f aca="false">IF('01_WBS &amp; Master Plan'!I28="","",'01_WBS &amp; Master Plan'!I28)</f>
        <v>13</v>
      </c>
      <c r="F31" s="65" t="n">
        <f aca="false">IF(B31="","",IF('01_WBS &amp; Master Plan'!K28="Done",1,IF('01_WBS &amp; Master Plan'!L28="",0,'01_WBS &amp; Master Plan'!L28)))</f>
        <v>0</v>
      </c>
      <c r="G31" s="63" t="str">
        <f aca="false">IF('01_WBS &amp; Master Plan'!K28="","",'01_WBS &amp; Master Plan'!K28)</f>
        <v>To Do</v>
      </c>
      <c r="H31" s="66" t="str">
        <f aca="false">IF(OR($D31="",$E31=""),"",IF(AND(H$5&gt;=$D31,H$5&lt;=$E31),IF(H$5-$D31+1&lt;=ROUND(($E31-$D31+1)*$F31,0),2,IF(H$5&lt;CFG_CurWeek,3,1)),""))</f>
        <v/>
      </c>
      <c r="I31" s="66" t="str">
        <f aca="false">IF(OR($D31="",$E31=""),"",IF(AND(I$5&gt;=$D31,I$5&lt;=$E31),IF(I$5-$D31+1&lt;=ROUND(($E31-$D31+1)*$F31,0),2,IF(I$5&lt;CFG_CurWeek,3,1)),""))</f>
        <v/>
      </c>
      <c r="J31" s="66" t="str">
        <f aca="false">IF(OR($D31="",$E31=""),"",IF(AND(J$5&gt;=$D31,J$5&lt;=$E31),IF(J$5-$D31+1&lt;=ROUND(($E31-$D31+1)*$F31,0),2,IF(J$5&lt;CFG_CurWeek,3,1)),""))</f>
        <v/>
      </c>
      <c r="K31" s="66" t="str">
        <f aca="false">IF(OR($D31="",$E31=""),"",IF(AND(K$5&gt;=$D31,K$5&lt;=$E31),IF(K$5-$D31+1&lt;=ROUND(($E31-$D31+1)*$F31,0),2,IF(K$5&lt;CFG_CurWeek,3,1)),""))</f>
        <v/>
      </c>
      <c r="L31" s="66" t="str">
        <f aca="false">IF(OR($D31="",$E31=""),"",IF(AND(L$5&gt;=$D31,L$5&lt;=$E31),IF(L$5-$D31+1&lt;=ROUND(($E31-$D31+1)*$F31,0),2,IF(L$5&lt;CFG_CurWeek,3,1)),""))</f>
        <v/>
      </c>
      <c r="M31" s="66" t="str">
        <f aca="false">IF(OR($D31="",$E31=""),"",IF(AND(M$5&gt;=$D31,M$5&lt;=$E31),IF(M$5-$D31+1&lt;=ROUND(($E31-$D31+1)*$F31,0),2,IF(M$5&lt;CFG_CurWeek,3,1)),""))</f>
        <v/>
      </c>
      <c r="N31" s="66" t="str">
        <f aca="false">IF(OR($D31="",$E31=""),"",IF(AND(N$5&gt;=$D31,N$5&lt;=$E31),IF(N$5-$D31+1&lt;=ROUND(($E31-$D31+1)*$F31,0),2,IF(N$5&lt;CFG_CurWeek,3,1)),""))</f>
        <v/>
      </c>
      <c r="O31" s="66" t="str">
        <f aca="false">IF(OR($D31="",$E31=""),"",IF(AND(O$5&gt;=$D31,O$5&lt;=$E31),IF(O$5-$D31+1&lt;=ROUND(($E31-$D31+1)*$F31,0),2,IF(O$5&lt;CFG_CurWeek,3,1)),""))</f>
        <v/>
      </c>
      <c r="P31" s="66" t="str">
        <f aca="false">IF(OR($D31="",$E31=""),"",IF(AND(P$5&gt;=$D31,P$5&lt;=$E31),IF(P$5-$D31+1&lt;=ROUND(($E31-$D31+1)*$F31,0),2,IF(P$5&lt;CFG_CurWeek,3,1)),""))</f>
        <v/>
      </c>
      <c r="Q31" s="66" t="str">
        <f aca="false">IF(OR($D31="",$E31=""),"",IF(AND(Q$5&gt;=$D31,Q$5&lt;=$E31),IF(Q$5-$D31+1&lt;=ROUND(($E31-$D31+1)*$F31,0),2,IF(Q$5&lt;CFG_CurWeek,3,1)),""))</f>
        <v/>
      </c>
      <c r="R31" s="66" t="str">
        <f aca="false">IF(OR($D31="",$E31=""),"",IF(AND(R$5&gt;=$D31,R$5&lt;=$E31),IF(R$5-$D31+1&lt;=ROUND(($E31-$D31+1)*$F31,0),2,IF(R$5&lt;CFG_CurWeek,3,1)),""))</f>
        <v/>
      </c>
      <c r="S31" s="66" t="n">
        <f aca="false">IF(OR($D31="",$E31=""),"",IF(AND(S$5&gt;=$D31,S$5&lt;=$E31),IF(S$5-$D31+1&lt;=ROUND(($E31-$D31+1)*$F31,0),2,IF(S$5&lt;CFG_CurWeek,3,1)),""))</f>
        <v>1</v>
      </c>
      <c r="T31" s="66" t="n">
        <f aca="false">IF(OR($D31="",$E31=""),"",IF(AND(T$5&gt;=$D31,T$5&lt;=$E31),IF(T$5-$D31+1&lt;=ROUND(($E31-$D31+1)*$F31,0),2,IF(T$5&lt;CFG_CurWeek,3,1)),""))</f>
        <v>1</v>
      </c>
      <c r="U31" s="66" t="str">
        <f aca="false">IF(OR($D31="",$E31=""),"",IF(AND(U$5&gt;=$D31,U$5&lt;=$E31),IF(U$5-$D31+1&lt;=ROUND(($E31-$D31+1)*$F31,0),2,IF(U$5&lt;CFG_CurWeek,3,1)),""))</f>
        <v/>
      </c>
      <c r="V31" s="66" t="str">
        <f aca="false">IF(OR($D31="",$E31=""),"",IF(AND(V$5&gt;=$D31,V$5&lt;=$E31),IF(V$5-$D31+1&lt;=ROUND(($E31-$D31+1)*$F31,0),2,IF(V$5&lt;CFG_CurWeek,3,1)),""))</f>
        <v/>
      </c>
      <c r="W31" s="66" t="str">
        <f aca="false">IF(OR($D31="",$E31=""),"",IF(AND(W$5&gt;=$D31,W$5&lt;=$E31),IF(W$5-$D31+1&lt;=ROUND(($E31-$D31+1)*$F31,0),2,IF(W$5&lt;CFG_CurWeek,3,1)),""))</f>
        <v/>
      </c>
      <c r="X31" s="66" t="str">
        <f aca="false">IF(OR($D31="",$E31=""),"",IF(AND(X$5&gt;=$D31,X$5&lt;=$E31),IF(X$5-$D31+1&lt;=ROUND(($E31-$D31+1)*$F31,0),2,IF(X$5&lt;CFG_CurWeek,3,1)),""))</f>
        <v/>
      </c>
      <c r="Y31" s="66" t="str">
        <f aca="false">IF(OR($D31="",$E31=""),"",IF(AND(Y$5&gt;=$D31,Y$5&lt;=$E31),IF(Y$5-$D31+1&lt;=ROUND(($E31-$D31+1)*$F31,0),2,IF(Y$5&lt;CFG_CurWeek,3,1)),""))</f>
        <v/>
      </c>
      <c r="Z31" s="66" t="str">
        <f aca="false">IF(OR($D31="",$E31=""),"",IF(AND(Z$5&gt;=$D31,Z$5&lt;=$E31),IF(Z$5-$D31+1&lt;=ROUND(($E31-$D31+1)*$F31,0),2,IF(Z$5&lt;CFG_CurWeek,3,1)),""))</f>
        <v/>
      </c>
      <c r="AA31" s="66" t="str">
        <f aca="false">IF(OR($D31="",$E31=""),"",IF(AND(AA$5&gt;=$D31,AA$5&lt;=$E31),IF(AA$5-$D31+1&lt;=ROUND(($E31-$D31+1)*$F31,0),2,IF(AA$5&lt;CFG_CurWeek,3,1)),""))</f>
        <v/>
      </c>
      <c r="AB31" s="66" t="str">
        <f aca="false">IF(OR($D31="",$E31=""),"",IF(AND(AB$5&gt;=$D31,AB$5&lt;=$E31),IF(AB$5-$D31+1&lt;=ROUND(($E31-$D31+1)*$F31,0),2,IF(AB$5&lt;CFG_CurWeek,3,1)),""))</f>
        <v/>
      </c>
      <c r="AC31" s="66" t="str">
        <f aca="false">IF(OR($D31="",$E31=""),"",IF(AND(AC$5&gt;=$D31,AC$5&lt;=$E31),IF(AC$5-$D31+1&lt;=ROUND(($E31-$D31+1)*$F31,0),2,IF(AC$5&lt;CFG_CurWeek,3,1)),""))</f>
        <v/>
      </c>
      <c r="AD31" s="66" t="str">
        <f aca="false">IF(OR($D31="",$E31=""),"",IF(AND(AD$5&gt;=$D31,AD$5&lt;=$E31),IF(AD$5-$D31+1&lt;=ROUND(($E31-$D31+1)*$F31,0),2,IF(AD$5&lt;CFG_CurWeek,3,1)),""))</f>
        <v/>
      </c>
      <c r="AE31" s="66" t="str">
        <f aca="false">IF(OR($D31="",$E31=""),"",IF(AND(AE$5&gt;=$D31,AE$5&lt;=$E31),IF(AE$5-$D31+1&lt;=ROUND(($E31-$D31+1)*$F31,0),2,IF(AE$5&lt;CFG_CurWeek,3,1)),""))</f>
        <v/>
      </c>
      <c r="AF31" s="66" t="str">
        <f aca="false">IF(OR($D31="",$E31=""),"",IF(AND(AF$5&gt;=$D31,AF$5&lt;=$E31),IF(AF$5-$D31+1&lt;=ROUND(($E31-$D31+1)*$F31,0),2,IF(AF$5&lt;CFG_CurWeek,3,1)),""))</f>
        <v/>
      </c>
      <c r="AG31" s="66" t="str">
        <f aca="false">IF(OR($D31="",$E31=""),"",IF(AND(AG$5&gt;=$D31,AG$5&lt;=$E31),IF(AG$5-$D31+1&lt;=ROUND(($E31-$D31+1)*$F31,0),2,IF(AG$5&lt;CFG_CurWeek,3,1)),""))</f>
        <v/>
      </c>
      <c r="AH31" s="66" t="str">
        <f aca="false">IF(OR($D31="",$E31=""),"",IF(AND(AH$5&gt;=$D31,AH$5&lt;=$E31),IF(AH$5-$D31+1&lt;=ROUND(($E31-$D31+1)*$F31,0),2,IF(AH$5&lt;CFG_CurWeek,3,1)),""))</f>
        <v/>
      </c>
      <c r="AI31" s="66" t="str">
        <f aca="false">IF(OR($D31="",$E31=""),"",IF(AND(AI$5&gt;=$D31,AI$5&lt;=$E31),IF(AI$5-$D31+1&lt;=ROUND(($E31-$D31+1)*$F31,0),2,IF(AI$5&lt;CFG_CurWeek,3,1)),""))</f>
        <v/>
      </c>
      <c r="AJ31" s="66" t="str">
        <f aca="false">IF(OR($D31="",$E31=""),"",IF(AND(AJ$5&gt;=$D31,AJ$5&lt;=$E31),IF(AJ$5-$D31+1&lt;=ROUND(($E31-$D31+1)*$F31,0),2,IF(AJ$5&lt;CFG_CurWeek,3,1)),""))</f>
        <v/>
      </c>
      <c r="AK31" s="66" t="str">
        <f aca="false">IF(OR($D31="",$E31=""),"",IF(AND(AK$5&gt;=$D31,AK$5&lt;=$E31),IF(AK$5-$D31+1&lt;=ROUND(($E31-$D31+1)*$F31,0),2,IF(AK$5&lt;CFG_CurWeek,3,1)),""))</f>
        <v/>
      </c>
      <c r="AL31" s="66" t="str">
        <f aca="false">IF(OR($D31="",$E31=""),"",IF(AND(AL$5&gt;=$D31,AL$5&lt;=$E31),IF(AL$5-$D31+1&lt;=ROUND(($E31-$D31+1)*$F31,0),2,IF(AL$5&lt;CFG_CurWeek,3,1)),""))</f>
        <v/>
      </c>
      <c r="AM31" s="66" t="str">
        <f aca="false">IF(OR($D31="",$E31=""),"",IF(AND(AM$5&gt;=$D31,AM$5&lt;=$E31),IF(AM$5-$D31+1&lt;=ROUND(($E31-$D31+1)*$F31,0),2,IF(AM$5&lt;CFG_CurWeek,3,1)),""))</f>
        <v/>
      </c>
      <c r="AN31" s="66" t="str">
        <f aca="false">IF(OR($D31="",$E31=""),"",IF(AND(AN$5&gt;=$D31,AN$5&lt;=$E31),IF(AN$5-$D31+1&lt;=ROUND(($E31-$D31+1)*$F31,0),2,IF(AN$5&lt;CFG_CurWeek,3,1)),""))</f>
        <v/>
      </c>
      <c r="AO31" s="66" t="str">
        <f aca="false">IF(OR($D31="",$E31=""),"",IF(AND(AO$5&gt;=$D31,AO$5&lt;=$E31),IF(AO$5-$D31+1&lt;=ROUND(($E31-$D31+1)*$F31,0),2,IF(AO$5&lt;CFG_CurWeek,3,1)),""))</f>
        <v/>
      </c>
    </row>
    <row r="32" customFormat="false" ht="15" hidden="false" customHeight="false" outlineLevel="0" collapsed="false">
      <c r="A32" s="63" t="str">
        <f aca="false">IF('01_WBS &amp; Master Plan'!A29="","",'01_WBS &amp; Master Plan'!A29)</f>
        <v>3.5</v>
      </c>
      <c r="B32" s="64" t="str">
        <f aca="false">IF('01_WBS &amp; Master Plan'!D29="","",'01_WBS &amp; Master Plan'!D29)</f>
        <v>Trang Tìm kiếm: lọc theo tên bài/nghệ sĩ phía frontend</v>
      </c>
      <c r="C32" s="63" t="str">
        <f aca="false">IF('01_WBS &amp; Master Plan'!E29="","",'01_WBS &amp; Master Plan'!E29)</f>
        <v>Nhật</v>
      </c>
      <c r="D32" s="63" t="n">
        <f aca="false">IF('01_WBS &amp; Master Plan'!H29="","",'01_WBS &amp; Master Plan'!H29)</f>
        <v>13</v>
      </c>
      <c r="E32" s="63" t="n">
        <f aca="false">IF('01_WBS &amp; Master Plan'!I29="","",'01_WBS &amp; Master Plan'!I29)</f>
        <v>13</v>
      </c>
      <c r="F32" s="65" t="n">
        <f aca="false">IF(B32="","",IF('01_WBS &amp; Master Plan'!K29="Done",1,IF('01_WBS &amp; Master Plan'!L29="",0,'01_WBS &amp; Master Plan'!L29)))</f>
        <v>0</v>
      </c>
      <c r="G32" s="63" t="str">
        <f aca="false">IF('01_WBS &amp; Master Plan'!K29="","",'01_WBS &amp; Master Plan'!K29)</f>
        <v>To Do</v>
      </c>
      <c r="H32" s="66" t="str">
        <f aca="false">IF(OR($D32="",$E32=""),"",IF(AND(H$5&gt;=$D32,H$5&lt;=$E32),IF(H$5-$D32+1&lt;=ROUND(($E32-$D32+1)*$F32,0),2,IF(H$5&lt;CFG_CurWeek,3,1)),""))</f>
        <v/>
      </c>
      <c r="I32" s="66" t="str">
        <f aca="false">IF(OR($D32="",$E32=""),"",IF(AND(I$5&gt;=$D32,I$5&lt;=$E32),IF(I$5-$D32+1&lt;=ROUND(($E32-$D32+1)*$F32,0),2,IF(I$5&lt;CFG_CurWeek,3,1)),""))</f>
        <v/>
      </c>
      <c r="J32" s="66" t="str">
        <f aca="false">IF(OR($D32="",$E32=""),"",IF(AND(J$5&gt;=$D32,J$5&lt;=$E32),IF(J$5-$D32+1&lt;=ROUND(($E32-$D32+1)*$F32,0),2,IF(J$5&lt;CFG_CurWeek,3,1)),""))</f>
        <v/>
      </c>
      <c r="K32" s="66" t="str">
        <f aca="false">IF(OR($D32="",$E32=""),"",IF(AND(K$5&gt;=$D32,K$5&lt;=$E32),IF(K$5-$D32+1&lt;=ROUND(($E32-$D32+1)*$F32,0),2,IF(K$5&lt;CFG_CurWeek,3,1)),""))</f>
        <v/>
      </c>
      <c r="L32" s="66" t="str">
        <f aca="false">IF(OR($D32="",$E32=""),"",IF(AND(L$5&gt;=$D32,L$5&lt;=$E32),IF(L$5-$D32+1&lt;=ROUND(($E32-$D32+1)*$F32,0),2,IF(L$5&lt;CFG_CurWeek,3,1)),""))</f>
        <v/>
      </c>
      <c r="M32" s="66" t="str">
        <f aca="false">IF(OR($D32="",$E32=""),"",IF(AND(M$5&gt;=$D32,M$5&lt;=$E32),IF(M$5-$D32+1&lt;=ROUND(($E32-$D32+1)*$F32,0),2,IF(M$5&lt;CFG_CurWeek,3,1)),""))</f>
        <v/>
      </c>
      <c r="N32" s="66" t="str">
        <f aca="false">IF(OR($D32="",$E32=""),"",IF(AND(N$5&gt;=$D32,N$5&lt;=$E32),IF(N$5-$D32+1&lt;=ROUND(($E32-$D32+1)*$F32,0),2,IF(N$5&lt;CFG_CurWeek,3,1)),""))</f>
        <v/>
      </c>
      <c r="O32" s="66" t="str">
        <f aca="false">IF(OR($D32="",$E32=""),"",IF(AND(O$5&gt;=$D32,O$5&lt;=$E32),IF(O$5-$D32+1&lt;=ROUND(($E32-$D32+1)*$F32,0),2,IF(O$5&lt;CFG_CurWeek,3,1)),""))</f>
        <v/>
      </c>
      <c r="P32" s="66" t="str">
        <f aca="false">IF(OR($D32="",$E32=""),"",IF(AND(P$5&gt;=$D32,P$5&lt;=$E32),IF(P$5-$D32+1&lt;=ROUND(($E32-$D32+1)*$F32,0),2,IF(P$5&lt;CFG_CurWeek,3,1)),""))</f>
        <v/>
      </c>
      <c r="Q32" s="66" t="str">
        <f aca="false">IF(OR($D32="",$E32=""),"",IF(AND(Q$5&gt;=$D32,Q$5&lt;=$E32),IF(Q$5-$D32+1&lt;=ROUND(($E32-$D32+1)*$F32,0),2,IF(Q$5&lt;CFG_CurWeek,3,1)),""))</f>
        <v/>
      </c>
      <c r="R32" s="66" t="str">
        <f aca="false">IF(OR($D32="",$E32=""),"",IF(AND(R$5&gt;=$D32,R$5&lt;=$E32),IF(R$5-$D32+1&lt;=ROUND(($E32-$D32+1)*$F32,0),2,IF(R$5&lt;CFG_CurWeek,3,1)),""))</f>
        <v/>
      </c>
      <c r="S32" s="66" t="str">
        <f aca="false">IF(OR($D32="",$E32=""),"",IF(AND(S$5&gt;=$D32,S$5&lt;=$E32),IF(S$5-$D32+1&lt;=ROUND(($E32-$D32+1)*$F32,0),2,IF(S$5&lt;CFG_CurWeek,3,1)),""))</f>
        <v/>
      </c>
      <c r="T32" s="66" t="n">
        <f aca="false">IF(OR($D32="",$E32=""),"",IF(AND(T$5&gt;=$D32,T$5&lt;=$E32),IF(T$5-$D32+1&lt;=ROUND(($E32-$D32+1)*$F32,0),2,IF(T$5&lt;CFG_CurWeek,3,1)),""))</f>
        <v>1</v>
      </c>
      <c r="U32" s="66" t="str">
        <f aca="false">IF(OR($D32="",$E32=""),"",IF(AND(U$5&gt;=$D32,U$5&lt;=$E32),IF(U$5-$D32+1&lt;=ROUND(($E32-$D32+1)*$F32,0),2,IF(U$5&lt;CFG_CurWeek,3,1)),""))</f>
        <v/>
      </c>
      <c r="V32" s="66" t="str">
        <f aca="false">IF(OR($D32="",$E32=""),"",IF(AND(V$5&gt;=$D32,V$5&lt;=$E32),IF(V$5-$D32+1&lt;=ROUND(($E32-$D32+1)*$F32,0),2,IF(V$5&lt;CFG_CurWeek,3,1)),""))</f>
        <v/>
      </c>
      <c r="W32" s="66" t="str">
        <f aca="false">IF(OR($D32="",$E32=""),"",IF(AND(W$5&gt;=$D32,W$5&lt;=$E32),IF(W$5-$D32+1&lt;=ROUND(($E32-$D32+1)*$F32,0),2,IF(W$5&lt;CFG_CurWeek,3,1)),""))</f>
        <v/>
      </c>
      <c r="X32" s="66" t="str">
        <f aca="false">IF(OR($D32="",$E32=""),"",IF(AND(X$5&gt;=$D32,X$5&lt;=$E32),IF(X$5-$D32+1&lt;=ROUND(($E32-$D32+1)*$F32,0),2,IF(X$5&lt;CFG_CurWeek,3,1)),""))</f>
        <v/>
      </c>
      <c r="Y32" s="66" t="str">
        <f aca="false">IF(OR($D32="",$E32=""),"",IF(AND(Y$5&gt;=$D32,Y$5&lt;=$E32),IF(Y$5-$D32+1&lt;=ROUND(($E32-$D32+1)*$F32,0),2,IF(Y$5&lt;CFG_CurWeek,3,1)),""))</f>
        <v/>
      </c>
      <c r="Z32" s="66" t="str">
        <f aca="false">IF(OR($D32="",$E32=""),"",IF(AND(Z$5&gt;=$D32,Z$5&lt;=$E32),IF(Z$5-$D32+1&lt;=ROUND(($E32-$D32+1)*$F32,0),2,IF(Z$5&lt;CFG_CurWeek,3,1)),""))</f>
        <v/>
      </c>
      <c r="AA32" s="66" t="str">
        <f aca="false">IF(OR($D32="",$E32=""),"",IF(AND(AA$5&gt;=$D32,AA$5&lt;=$E32),IF(AA$5-$D32+1&lt;=ROUND(($E32-$D32+1)*$F32,0),2,IF(AA$5&lt;CFG_CurWeek,3,1)),""))</f>
        <v/>
      </c>
      <c r="AB32" s="66" t="str">
        <f aca="false">IF(OR($D32="",$E32=""),"",IF(AND(AB$5&gt;=$D32,AB$5&lt;=$E32),IF(AB$5-$D32+1&lt;=ROUND(($E32-$D32+1)*$F32,0),2,IF(AB$5&lt;CFG_CurWeek,3,1)),""))</f>
        <v/>
      </c>
      <c r="AC32" s="66" t="str">
        <f aca="false">IF(OR($D32="",$E32=""),"",IF(AND(AC$5&gt;=$D32,AC$5&lt;=$E32),IF(AC$5-$D32+1&lt;=ROUND(($E32-$D32+1)*$F32,0),2,IF(AC$5&lt;CFG_CurWeek,3,1)),""))</f>
        <v/>
      </c>
      <c r="AD32" s="66" t="str">
        <f aca="false">IF(OR($D32="",$E32=""),"",IF(AND(AD$5&gt;=$D32,AD$5&lt;=$E32),IF(AD$5-$D32+1&lt;=ROUND(($E32-$D32+1)*$F32,0),2,IF(AD$5&lt;CFG_CurWeek,3,1)),""))</f>
        <v/>
      </c>
      <c r="AE32" s="66" t="str">
        <f aca="false">IF(OR($D32="",$E32=""),"",IF(AND(AE$5&gt;=$D32,AE$5&lt;=$E32),IF(AE$5-$D32+1&lt;=ROUND(($E32-$D32+1)*$F32,0),2,IF(AE$5&lt;CFG_CurWeek,3,1)),""))</f>
        <v/>
      </c>
      <c r="AF32" s="66" t="str">
        <f aca="false">IF(OR($D32="",$E32=""),"",IF(AND(AF$5&gt;=$D32,AF$5&lt;=$E32),IF(AF$5-$D32+1&lt;=ROUND(($E32-$D32+1)*$F32,0),2,IF(AF$5&lt;CFG_CurWeek,3,1)),""))</f>
        <v/>
      </c>
      <c r="AG32" s="66" t="str">
        <f aca="false">IF(OR($D32="",$E32=""),"",IF(AND(AG$5&gt;=$D32,AG$5&lt;=$E32),IF(AG$5-$D32+1&lt;=ROUND(($E32-$D32+1)*$F32,0),2,IF(AG$5&lt;CFG_CurWeek,3,1)),""))</f>
        <v/>
      </c>
      <c r="AH32" s="66" t="str">
        <f aca="false">IF(OR($D32="",$E32=""),"",IF(AND(AH$5&gt;=$D32,AH$5&lt;=$E32),IF(AH$5-$D32+1&lt;=ROUND(($E32-$D32+1)*$F32,0),2,IF(AH$5&lt;CFG_CurWeek,3,1)),""))</f>
        <v/>
      </c>
      <c r="AI32" s="66" t="str">
        <f aca="false">IF(OR($D32="",$E32=""),"",IF(AND(AI$5&gt;=$D32,AI$5&lt;=$E32),IF(AI$5-$D32+1&lt;=ROUND(($E32-$D32+1)*$F32,0),2,IF(AI$5&lt;CFG_CurWeek,3,1)),""))</f>
        <v/>
      </c>
      <c r="AJ32" s="66" t="str">
        <f aca="false">IF(OR($D32="",$E32=""),"",IF(AND(AJ$5&gt;=$D32,AJ$5&lt;=$E32),IF(AJ$5-$D32+1&lt;=ROUND(($E32-$D32+1)*$F32,0),2,IF(AJ$5&lt;CFG_CurWeek,3,1)),""))</f>
        <v/>
      </c>
      <c r="AK32" s="66" t="str">
        <f aca="false">IF(OR($D32="",$E32=""),"",IF(AND(AK$5&gt;=$D32,AK$5&lt;=$E32),IF(AK$5-$D32+1&lt;=ROUND(($E32-$D32+1)*$F32,0),2,IF(AK$5&lt;CFG_CurWeek,3,1)),""))</f>
        <v/>
      </c>
      <c r="AL32" s="66" t="str">
        <f aca="false">IF(OR($D32="",$E32=""),"",IF(AND(AL$5&gt;=$D32,AL$5&lt;=$E32),IF(AL$5-$D32+1&lt;=ROUND(($E32-$D32+1)*$F32,0),2,IF(AL$5&lt;CFG_CurWeek,3,1)),""))</f>
        <v/>
      </c>
      <c r="AM32" s="66" t="str">
        <f aca="false">IF(OR($D32="",$E32=""),"",IF(AND(AM$5&gt;=$D32,AM$5&lt;=$E32),IF(AM$5-$D32+1&lt;=ROUND(($E32-$D32+1)*$F32,0),2,IF(AM$5&lt;CFG_CurWeek,3,1)),""))</f>
        <v/>
      </c>
      <c r="AN32" s="66" t="str">
        <f aca="false">IF(OR($D32="",$E32=""),"",IF(AND(AN$5&gt;=$D32,AN$5&lt;=$E32),IF(AN$5-$D32+1&lt;=ROUND(($E32-$D32+1)*$F32,0),2,IF(AN$5&lt;CFG_CurWeek,3,1)),""))</f>
        <v/>
      </c>
      <c r="AO32" s="66" t="str">
        <f aca="false">IF(OR($D32="",$E32=""),"",IF(AND(AO$5&gt;=$D32,AO$5&lt;=$E32),IF(AO$5-$D32+1&lt;=ROUND(($E32-$D32+1)*$F32,0),2,IF(AO$5&lt;CFG_CurWeek,3,1)),""))</f>
        <v/>
      </c>
    </row>
    <row r="33" customFormat="false" ht="15" hidden="false" customHeight="false" outlineLevel="0" collapsed="false">
      <c r="A33" s="63" t="str">
        <f aca="false">IF('01_WBS &amp; Master Plan'!A30="","",'01_WBS &amp; Master Plan'!A30)</f>
        <v>3.6</v>
      </c>
      <c r="B33" s="64" t="str">
        <f aca="false">IF('01_WBS &amp; Master Plan'!D30="","",'01_WBS &amp; Master Plan'!D30)</f>
        <v>Media Session API: điều khiển từ màn hình khóa / tai nghe</v>
      </c>
      <c r="C33" s="63" t="str">
        <f aca="false">IF('01_WBS &amp; Master Plan'!E30="","",'01_WBS &amp; Master Plan'!E30)</f>
        <v>Nhật</v>
      </c>
      <c r="D33" s="63" t="n">
        <f aca="false">IF('01_WBS &amp; Master Plan'!H30="","",'01_WBS &amp; Master Plan'!H30)</f>
        <v>13</v>
      </c>
      <c r="E33" s="63" t="n">
        <f aca="false">IF('01_WBS &amp; Master Plan'!I30="","",'01_WBS &amp; Master Plan'!I30)</f>
        <v>13</v>
      </c>
      <c r="F33" s="65" t="n">
        <f aca="false">IF(B33="","",IF('01_WBS &amp; Master Plan'!K30="Done",1,IF('01_WBS &amp; Master Plan'!L30="",0,'01_WBS &amp; Master Plan'!L30)))</f>
        <v>0</v>
      </c>
      <c r="G33" s="63" t="str">
        <f aca="false">IF('01_WBS &amp; Master Plan'!K30="","",'01_WBS &amp; Master Plan'!K30)</f>
        <v>To Do</v>
      </c>
      <c r="H33" s="66" t="str">
        <f aca="false">IF(OR($D33="",$E33=""),"",IF(AND(H$5&gt;=$D33,H$5&lt;=$E33),IF(H$5-$D33+1&lt;=ROUND(($E33-$D33+1)*$F33,0),2,IF(H$5&lt;CFG_CurWeek,3,1)),""))</f>
        <v/>
      </c>
      <c r="I33" s="66" t="str">
        <f aca="false">IF(OR($D33="",$E33=""),"",IF(AND(I$5&gt;=$D33,I$5&lt;=$E33),IF(I$5-$D33+1&lt;=ROUND(($E33-$D33+1)*$F33,0),2,IF(I$5&lt;CFG_CurWeek,3,1)),""))</f>
        <v/>
      </c>
      <c r="J33" s="66" t="str">
        <f aca="false">IF(OR($D33="",$E33=""),"",IF(AND(J$5&gt;=$D33,J$5&lt;=$E33),IF(J$5-$D33+1&lt;=ROUND(($E33-$D33+1)*$F33,0),2,IF(J$5&lt;CFG_CurWeek,3,1)),""))</f>
        <v/>
      </c>
      <c r="K33" s="66" t="str">
        <f aca="false">IF(OR($D33="",$E33=""),"",IF(AND(K$5&gt;=$D33,K$5&lt;=$E33),IF(K$5-$D33+1&lt;=ROUND(($E33-$D33+1)*$F33,0),2,IF(K$5&lt;CFG_CurWeek,3,1)),""))</f>
        <v/>
      </c>
      <c r="L33" s="66" t="str">
        <f aca="false">IF(OR($D33="",$E33=""),"",IF(AND(L$5&gt;=$D33,L$5&lt;=$E33),IF(L$5-$D33+1&lt;=ROUND(($E33-$D33+1)*$F33,0),2,IF(L$5&lt;CFG_CurWeek,3,1)),""))</f>
        <v/>
      </c>
      <c r="M33" s="66" t="str">
        <f aca="false">IF(OR($D33="",$E33=""),"",IF(AND(M$5&gt;=$D33,M$5&lt;=$E33),IF(M$5-$D33+1&lt;=ROUND(($E33-$D33+1)*$F33,0),2,IF(M$5&lt;CFG_CurWeek,3,1)),""))</f>
        <v/>
      </c>
      <c r="N33" s="66" t="str">
        <f aca="false">IF(OR($D33="",$E33=""),"",IF(AND(N$5&gt;=$D33,N$5&lt;=$E33),IF(N$5-$D33+1&lt;=ROUND(($E33-$D33+1)*$F33,0),2,IF(N$5&lt;CFG_CurWeek,3,1)),""))</f>
        <v/>
      </c>
      <c r="O33" s="66" t="str">
        <f aca="false">IF(OR($D33="",$E33=""),"",IF(AND(O$5&gt;=$D33,O$5&lt;=$E33),IF(O$5-$D33+1&lt;=ROUND(($E33-$D33+1)*$F33,0),2,IF(O$5&lt;CFG_CurWeek,3,1)),""))</f>
        <v/>
      </c>
      <c r="P33" s="66" t="str">
        <f aca="false">IF(OR($D33="",$E33=""),"",IF(AND(P$5&gt;=$D33,P$5&lt;=$E33),IF(P$5-$D33+1&lt;=ROUND(($E33-$D33+1)*$F33,0),2,IF(P$5&lt;CFG_CurWeek,3,1)),""))</f>
        <v/>
      </c>
      <c r="Q33" s="66" t="str">
        <f aca="false">IF(OR($D33="",$E33=""),"",IF(AND(Q$5&gt;=$D33,Q$5&lt;=$E33),IF(Q$5-$D33+1&lt;=ROUND(($E33-$D33+1)*$F33,0),2,IF(Q$5&lt;CFG_CurWeek,3,1)),""))</f>
        <v/>
      </c>
      <c r="R33" s="66" t="str">
        <f aca="false">IF(OR($D33="",$E33=""),"",IF(AND(R$5&gt;=$D33,R$5&lt;=$E33),IF(R$5-$D33+1&lt;=ROUND(($E33-$D33+1)*$F33,0),2,IF(R$5&lt;CFG_CurWeek,3,1)),""))</f>
        <v/>
      </c>
      <c r="S33" s="66" t="str">
        <f aca="false">IF(OR($D33="",$E33=""),"",IF(AND(S$5&gt;=$D33,S$5&lt;=$E33),IF(S$5-$D33+1&lt;=ROUND(($E33-$D33+1)*$F33,0),2,IF(S$5&lt;CFG_CurWeek,3,1)),""))</f>
        <v/>
      </c>
      <c r="T33" s="66" t="n">
        <f aca="false">IF(OR($D33="",$E33=""),"",IF(AND(T$5&gt;=$D33,T$5&lt;=$E33),IF(T$5-$D33+1&lt;=ROUND(($E33-$D33+1)*$F33,0),2,IF(T$5&lt;CFG_CurWeek,3,1)),""))</f>
        <v>1</v>
      </c>
      <c r="U33" s="66" t="str">
        <f aca="false">IF(OR($D33="",$E33=""),"",IF(AND(U$5&gt;=$D33,U$5&lt;=$E33),IF(U$5-$D33+1&lt;=ROUND(($E33-$D33+1)*$F33,0),2,IF(U$5&lt;CFG_CurWeek,3,1)),""))</f>
        <v/>
      </c>
      <c r="V33" s="66" t="str">
        <f aca="false">IF(OR($D33="",$E33=""),"",IF(AND(V$5&gt;=$D33,V$5&lt;=$E33),IF(V$5-$D33+1&lt;=ROUND(($E33-$D33+1)*$F33,0),2,IF(V$5&lt;CFG_CurWeek,3,1)),""))</f>
        <v/>
      </c>
      <c r="W33" s="66" t="str">
        <f aca="false">IF(OR($D33="",$E33=""),"",IF(AND(W$5&gt;=$D33,W$5&lt;=$E33),IF(W$5-$D33+1&lt;=ROUND(($E33-$D33+1)*$F33,0),2,IF(W$5&lt;CFG_CurWeek,3,1)),""))</f>
        <v/>
      </c>
      <c r="X33" s="66" t="str">
        <f aca="false">IF(OR($D33="",$E33=""),"",IF(AND(X$5&gt;=$D33,X$5&lt;=$E33),IF(X$5-$D33+1&lt;=ROUND(($E33-$D33+1)*$F33,0),2,IF(X$5&lt;CFG_CurWeek,3,1)),""))</f>
        <v/>
      </c>
      <c r="Y33" s="66" t="str">
        <f aca="false">IF(OR($D33="",$E33=""),"",IF(AND(Y$5&gt;=$D33,Y$5&lt;=$E33),IF(Y$5-$D33+1&lt;=ROUND(($E33-$D33+1)*$F33,0),2,IF(Y$5&lt;CFG_CurWeek,3,1)),""))</f>
        <v/>
      </c>
      <c r="Z33" s="66" t="str">
        <f aca="false">IF(OR($D33="",$E33=""),"",IF(AND(Z$5&gt;=$D33,Z$5&lt;=$E33),IF(Z$5-$D33+1&lt;=ROUND(($E33-$D33+1)*$F33,0),2,IF(Z$5&lt;CFG_CurWeek,3,1)),""))</f>
        <v/>
      </c>
      <c r="AA33" s="66" t="str">
        <f aca="false">IF(OR($D33="",$E33=""),"",IF(AND(AA$5&gt;=$D33,AA$5&lt;=$E33),IF(AA$5-$D33+1&lt;=ROUND(($E33-$D33+1)*$F33,0),2,IF(AA$5&lt;CFG_CurWeek,3,1)),""))</f>
        <v/>
      </c>
      <c r="AB33" s="66" t="str">
        <f aca="false">IF(OR($D33="",$E33=""),"",IF(AND(AB$5&gt;=$D33,AB$5&lt;=$E33),IF(AB$5-$D33+1&lt;=ROUND(($E33-$D33+1)*$F33,0),2,IF(AB$5&lt;CFG_CurWeek,3,1)),""))</f>
        <v/>
      </c>
      <c r="AC33" s="66" t="str">
        <f aca="false">IF(OR($D33="",$E33=""),"",IF(AND(AC$5&gt;=$D33,AC$5&lt;=$E33),IF(AC$5-$D33+1&lt;=ROUND(($E33-$D33+1)*$F33,0),2,IF(AC$5&lt;CFG_CurWeek,3,1)),""))</f>
        <v/>
      </c>
      <c r="AD33" s="66" t="str">
        <f aca="false">IF(OR($D33="",$E33=""),"",IF(AND(AD$5&gt;=$D33,AD$5&lt;=$E33),IF(AD$5-$D33+1&lt;=ROUND(($E33-$D33+1)*$F33,0),2,IF(AD$5&lt;CFG_CurWeek,3,1)),""))</f>
        <v/>
      </c>
      <c r="AE33" s="66" t="str">
        <f aca="false">IF(OR($D33="",$E33=""),"",IF(AND(AE$5&gt;=$D33,AE$5&lt;=$E33),IF(AE$5-$D33+1&lt;=ROUND(($E33-$D33+1)*$F33,0),2,IF(AE$5&lt;CFG_CurWeek,3,1)),""))</f>
        <v/>
      </c>
      <c r="AF33" s="66" t="str">
        <f aca="false">IF(OR($D33="",$E33=""),"",IF(AND(AF$5&gt;=$D33,AF$5&lt;=$E33),IF(AF$5-$D33+1&lt;=ROUND(($E33-$D33+1)*$F33,0),2,IF(AF$5&lt;CFG_CurWeek,3,1)),""))</f>
        <v/>
      </c>
      <c r="AG33" s="66" t="str">
        <f aca="false">IF(OR($D33="",$E33=""),"",IF(AND(AG$5&gt;=$D33,AG$5&lt;=$E33),IF(AG$5-$D33+1&lt;=ROUND(($E33-$D33+1)*$F33,0),2,IF(AG$5&lt;CFG_CurWeek,3,1)),""))</f>
        <v/>
      </c>
      <c r="AH33" s="66" t="str">
        <f aca="false">IF(OR($D33="",$E33=""),"",IF(AND(AH$5&gt;=$D33,AH$5&lt;=$E33),IF(AH$5-$D33+1&lt;=ROUND(($E33-$D33+1)*$F33,0),2,IF(AH$5&lt;CFG_CurWeek,3,1)),""))</f>
        <v/>
      </c>
      <c r="AI33" s="66" t="str">
        <f aca="false">IF(OR($D33="",$E33=""),"",IF(AND(AI$5&gt;=$D33,AI$5&lt;=$E33),IF(AI$5-$D33+1&lt;=ROUND(($E33-$D33+1)*$F33,0),2,IF(AI$5&lt;CFG_CurWeek,3,1)),""))</f>
        <v/>
      </c>
      <c r="AJ33" s="66" t="str">
        <f aca="false">IF(OR($D33="",$E33=""),"",IF(AND(AJ$5&gt;=$D33,AJ$5&lt;=$E33),IF(AJ$5-$D33+1&lt;=ROUND(($E33-$D33+1)*$F33,0),2,IF(AJ$5&lt;CFG_CurWeek,3,1)),""))</f>
        <v/>
      </c>
      <c r="AK33" s="66" t="str">
        <f aca="false">IF(OR($D33="",$E33=""),"",IF(AND(AK$5&gt;=$D33,AK$5&lt;=$E33),IF(AK$5-$D33+1&lt;=ROUND(($E33-$D33+1)*$F33,0),2,IF(AK$5&lt;CFG_CurWeek,3,1)),""))</f>
        <v/>
      </c>
      <c r="AL33" s="66" t="str">
        <f aca="false">IF(OR($D33="",$E33=""),"",IF(AND(AL$5&gt;=$D33,AL$5&lt;=$E33),IF(AL$5-$D33+1&lt;=ROUND(($E33-$D33+1)*$F33,0),2,IF(AL$5&lt;CFG_CurWeek,3,1)),""))</f>
        <v/>
      </c>
      <c r="AM33" s="66" t="str">
        <f aca="false">IF(OR($D33="",$E33=""),"",IF(AND(AM$5&gt;=$D33,AM$5&lt;=$E33),IF(AM$5-$D33+1&lt;=ROUND(($E33-$D33+1)*$F33,0),2,IF(AM$5&lt;CFG_CurWeek,3,1)),""))</f>
        <v/>
      </c>
      <c r="AN33" s="66" t="str">
        <f aca="false">IF(OR($D33="",$E33=""),"",IF(AND(AN$5&gt;=$D33,AN$5&lt;=$E33),IF(AN$5-$D33+1&lt;=ROUND(($E33-$D33+1)*$F33,0),2,IF(AN$5&lt;CFG_CurWeek,3,1)),""))</f>
        <v/>
      </c>
      <c r="AO33" s="66" t="str">
        <f aca="false">IF(OR($D33="",$E33=""),"",IF(AND(AO$5&gt;=$D33,AO$5&lt;=$E33),IF(AO$5-$D33+1&lt;=ROUND(($E33-$D33+1)*$F33,0),2,IF(AO$5&lt;CFG_CurWeek,3,1)),""))</f>
        <v/>
      </c>
    </row>
    <row r="34" customFormat="false" ht="15" hidden="false" customHeight="false" outlineLevel="0" collapsed="false">
      <c r="A34" s="63" t="str">
        <f aca="false">IF('01_WBS &amp; Master Plan'!A31="","",'01_WBS &amp; Master Plan'!A31)</f>
        <v>3.7</v>
      </c>
      <c r="B34" s="64" t="str">
        <f aca="false">IF('01_WBS &amp; Master Plan'!D31="","",'01_WBS &amp; Master Plan'!D31)</f>
        <v>Kiểm thử: nhạc phát liên tục khi chuyển trang</v>
      </c>
      <c r="C34" s="63" t="str">
        <f aca="false">IF('01_WBS &amp; Master Plan'!E31="","",'01_WBS &amp; Master Plan'!E31)</f>
        <v>Nhật</v>
      </c>
      <c r="D34" s="63" t="n">
        <f aca="false">IF('01_WBS &amp; Master Plan'!H31="","",'01_WBS &amp; Master Plan'!H31)</f>
        <v>13</v>
      </c>
      <c r="E34" s="63" t="n">
        <f aca="false">IF('01_WBS &amp; Master Plan'!I31="","",'01_WBS &amp; Master Plan'!I31)</f>
        <v>13</v>
      </c>
      <c r="F34" s="65" t="n">
        <f aca="false">IF(B34="","",IF('01_WBS &amp; Master Plan'!K31="Done",1,IF('01_WBS &amp; Master Plan'!L31="",0,'01_WBS &amp; Master Plan'!L31)))</f>
        <v>0</v>
      </c>
      <c r="G34" s="63" t="str">
        <f aca="false">IF('01_WBS &amp; Master Plan'!K31="","",'01_WBS &amp; Master Plan'!K31)</f>
        <v>To Do</v>
      </c>
      <c r="H34" s="66" t="str">
        <f aca="false">IF(OR($D34="",$E34=""),"",IF(AND(H$5&gt;=$D34,H$5&lt;=$E34),IF(H$5-$D34+1&lt;=ROUND(($E34-$D34+1)*$F34,0),2,IF(H$5&lt;CFG_CurWeek,3,1)),""))</f>
        <v/>
      </c>
      <c r="I34" s="66" t="str">
        <f aca="false">IF(OR($D34="",$E34=""),"",IF(AND(I$5&gt;=$D34,I$5&lt;=$E34),IF(I$5-$D34+1&lt;=ROUND(($E34-$D34+1)*$F34,0),2,IF(I$5&lt;CFG_CurWeek,3,1)),""))</f>
        <v/>
      </c>
      <c r="J34" s="66" t="str">
        <f aca="false">IF(OR($D34="",$E34=""),"",IF(AND(J$5&gt;=$D34,J$5&lt;=$E34),IF(J$5-$D34+1&lt;=ROUND(($E34-$D34+1)*$F34,0),2,IF(J$5&lt;CFG_CurWeek,3,1)),""))</f>
        <v/>
      </c>
      <c r="K34" s="66" t="str">
        <f aca="false">IF(OR($D34="",$E34=""),"",IF(AND(K$5&gt;=$D34,K$5&lt;=$E34),IF(K$5-$D34+1&lt;=ROUND(($E34-$D34+1)*$F34,0),2,IF(K$5&lt;CFG_CurWeek,3,1)),""))</f>
        <v/>
      </c>
      <c r="L34" s="66" t="str">
        <f aca="false">IF(OR($D34="",$E34=""),"",IF(AND(L$5&gt;=$D34,L$5&lt;=$E34),IF(L$5-$D34+1&lt;=ROUND(($E34-$D34+1)*$F34,0),2,IF(L$5&lt;CFG_CurWeek,3,1)),""))</f>
        <v/>
      </c>
      <c r="M34" s="66" t="str">
        <f aca="false">IF(OR($D34="",$E34=""),"",IF(AND(M$5&gt;=$D34,M$5&lt;=$E34),IF(M$5-$D34+1&lt;=ROUND(($E34-$D34+1)*$F34,0),2,IF(M$5&lt;CFG_CurWeek,3,1)),""))</f>
        <v/>
      </c>
      <c r="N34" s="66" t="str">
        <f aca="false">IF(OR($D34="",$E34=""),"",IF(AND(N$5&gt;=$D34,N$5&lt;=$E34),IF(N$5-$D34+1&lt;=ROUND(($E34-$D34+1)*$F34,0),2,IF(N$5&lt;CFG_CurWeek,3,1)),""))</f>
        <v/>
      </c>
      <c r="O34" s="66" t="str">
        <f aca="false">IF(OR($D34="",$E34=""),"",IF(AND(O$5&gt;=$D34,O$5&lt;=$E34),IF(O$5-$D34+1&lt;=ROUND(($E34-$D34+1)*$F34,0),2,IF(O$5&lt;CFG_CurWeek,3,1)),""))</f>
        <v/>
      </c>
      <c r="P34" s="66" t="str">
        <f aca="false">IF(OR($D34="",$E34=""),"",IF(AND(P$5&gt;=$D34,P$5&lt;=$E34),IF(P$5-$D34+1&lt;=ROUND(($E34-$D34+1)*$F34,0),2,IF(P$5&lt;CFG_CurWeek,3,1)),""))</f>
        <v/>
      </c>
      <c r="Q34" s="66" t="str">
        <f aca="false">IF(OR($D34="",$E34=""),"",IF(AND(Q$5&gt;=$D34,Q$5&lt;=$E34),IF(Q$5-$D34+1&lt;=ROUND(($E34-$D34+1)*$F34,0),2,IF(Q$5&lt;CFG_CurWeek,3,1)),""))</f>
        <v/>
      </c>
      <c r="R34" s="66" t="str">
        <f aca="false">IF(OR($D34="",$E34=""),"",IF(AND(R$5&gt;=$D34,R$5&lt;=$E34),IF(R$5-$D34+1&lt;=ROUND(($E34-$D34+1)*$F34,0),2,IF(R$5&lt;CFG_CurWeek,3,1)),""))</f>
        <v/>
      </c>
      <c r="S34" s="66" t="str">
        <f aca="false">IF(OR($D34="",$E34=""),"",IF(AND(S$5&gt;=$D34,S$5&lt;=$E34),IF(S$5-$D34+1&lt;=ROUND(($E34-$D34+1)*$F34,0),2,IF(S$5&lt;CFG_CurWeek,3,1)),""))</f>
        <v/>
      </c>
      <c r="T34" s="66" t="n">
        <f aca="false">IF(OR($D34="",$E34=""),"",IF(AND(T$5&gt;=$D34,T$5&lt;=$E34),IF(T$5-$D34+1&lt;=ROUND(($E34-$D34+1)*$F34,0),2,IF(T$5&lt;CFG_CurWeek,3,1)),""))</f>
        <v>1</v>
      </c>
      <c r="U34" s="66" t="str">
        <f aca="false">IF(OR($D34="",$E34=""),"",IF(AND(U$5&gt;=$D34,U$5&lt;=$E34),IF(U$5-$D34+1&lt;=ROUND(($E34-$D34+1)*$F34,0),2,IF(U$5&lt;CFG_CurWeek,3,1)),""))</f>
        <v/>
      </c>
      <c r="V34" s="66" t="str">
        <f aca="false">IF(OR($D34="",$E34=""),"",IF(AND(V$5&gt;=$D34,V$5&lt;=$E34),IF(V$5-$D34+1&lt;=ROUND(($E34-$D34+1)*$F34,0),2,IF(V$5&lt;CFG_CurWeek,3,1)),""))</f>
        <v/>
      </c>
      <c r="W34" s="66" t="str">
        <f aca="false">IF(OR($D34="",$E34=""),"",IF(AND(W$5&gt;=$D34,W$5&lt;=$E34),IF(W$5-$D34+1&lt;=ROUND(($E34-$D34+1)*$F34,0),2,IF(W$5&lt;CFG_CurWeek,3,1)),""))</f>
        <v/>
      </c>
      <c r="X34" s="66" t="str">
        <f aca="false">IF(OR($D34="",$E34=""),"",IF(AND(X$5&gt;=$D34,X$5&lt;=$E34),IF(X$5-$D34+1&lt;=ROUND(($E34-$D34+1)*$F34,0),2,IF(X$5&lt;CFG_CurWeek,3,1)),""))</f>
        <v/>
      </c>
      <c r="Y34" s="66" t="str">
        <f aca="false">IF(OR($D34="",$E34=""),"",IF(AND(Y$5&gt;=$D34,Y$5&lt;=$E34),IF(Y$5-$D34+1&lt;=ROUND(($E34-$D34+1)*$F34,0),2,IF(Y$5&lt;CFG_CurWeek,3,1)),""))</f>
        <v/>
      </c>
      <c r="Z34" s="66" t="str">
        <f aca="false">IF(OR($D34="",$E34=""),"",IF(AND(Z$5&gt;=$D34,Z$5&lt;=$E34),IF(Z$5-$D34+1&lt;=ROUND(($E34-$D34+1)*$F34,0),2,IF(Z$5&lt;CFG_CurWeek,3,1)),""))</f>
        <v/>
      </c>
      <c r="AA34" s="66" t="str">
        <f aca="false">IF(OR($D34="",$E34=""),"",IF(AND(AA$5&gt;=$D34,AA$5&lt;=$E34),IF(AA$5-$D34+1&lt;=ROUND(($E34-$D34+1)*$F34,0),2,IF(AA$5&lt;CFG_CurWeek,3,1)),""))</f>
        <v/>
      </c>
      <c r="AB34" s="66" t="str">
        <f aca="false">IF(OR($D34="",$E34=""),"",IF(AND(AB$5&gt;=$D34,AB$5&lt;=$E34),IF(AB$5-$D34+1&lt;=ROUND(($E34-$D34+1)*$F34,0),2,IF(AB$5&lt;CFG_CurWeek,3,1)),""))</f>
        <v/>
      </c>
      <c r="AC34" s="66" t="str">
        <f aca="false">IF(OR($D34="",$E34=""),"",IF(AND(AC$5&gt;=$D34,AC$5&lt;=$E34),IF(AC$5-$D34+1&lt;=ROUND(($E34-$D34+1)*$F34,0),2,IF(AC$5&lt;CFG_CurWeek,3,1)),""))</f>
        <v/>
      </c>
      <c r="AD34" s="66" t="str">
        <f aca="false">IF(OR($D34="",$E34=""),"",IF(AND(AD$5&gt;=$D34,AD$5&lt;=$E34),IF(AD$5-$D34+1&lt;=ROUND(($E34-$D34+1)*$F34,0),2,IF(AD$5&lt;CFG_CurWeek,3,1)),""))</f>
        <v/>
      </c>
      <c r="AE34" s="66" t="str">
        <f aca="false">IF(OR($D34="",$E34=""),"",IF(AND(AE$5&gt;=$D34,AE$5&lt;=$E34),IF(AE$5-$D34+1&lt;=ROUND(($E34-$D34+1)*$F34,0),2,IF(AE$5&lt;CFG_CurWeek,3,1)),""))</f>
        <v/>
      </c>
      <c r="AF34" s="66" t="str">
        <f aca="false">IF(OR($D34="",$E34=""),"",IF(AND(AF$5&gt;=$D34,AF$5&lt;=$E34),IF(AF$5-$D34+1&lt;=ROUND(($E34-$D34+1)*$F34,0),2,IF(AF$5&lt;CFG_CurWeek,3,1)),""))</f>
        <v/>
      </c>
      <c r="AG34" s="66" t="str">
        <f aca="false">IF(OR($D34="",$E34=""),"",IF(AND(AG$5&gt;=$D34,AG$5&lt;=$E34),IF(AG$5-$D34+1&lt;=ROUND(($E34-$D34+1)*$F34,0),2,IF(AG$5&lt;CFG_CurWeek,3,1)),""))</f>
        <v/>
      </c>
      <c r="AH34" s="66" t="str">
        <f aca="false">IF(OR($D34="",$E34=""),"",IF(AND(AH$5&gt;=$D34,AH$5&lt;=$E34),IF(AH$5-$D34+1&lt;=ROUND(($E34-$D34+1)*$F34,0),2,IF(AH$5&lt;CFG_CurWeek,3,1)),""))</f>
        <v/>
      </c>
      <c r="AI34" s="66" t="str">
        <f aca="false">IF(OR($D34="",$E34=""),"",IF(AND(AI$5&gt;=$D34,AI$5&lt;=$E34),IF(AI$5-$D34+1&lt;=ROUND(($E34-$D34+1)*$F34,0),2,IF(AI$5&lt;CFG_CurWeek,3,1)),""))</f>
        <v/>
      </c>
      <c r="AJ34" s="66" t="str">
        <f aca="false">IF(OR($D34="",$E34=""),"",IF(AND(AJ$5&gt;=$D34,AJ$5&lt;=$E34),IF(AJ$5-$D34+1&lt;=ROUND(($E34-$D34+1)*$F34,0),2,IF(AJ$5&lt;CFG_CurWeek,3,1)),""))</f>
        <v/>
      </c>
      <c r="AK34" s="66" t="str">
        <f aca="false">IF(OR($D34="",$E34=""),"",IF(AND(AK$5&gt;=$D34,AK$5&lt;=$E34),IF(AK$5-$D34+1&lt;=ROUND(($E34-$D34+1)*$F34,0),2,IF(AK$5&lt;CFG_CurWeek,3,1)),""))</f>
        <v/>
      </c>
      <c r="AL34" s="66" t="str">
        <f aca="false">IF(OR($D34="",$E34=""),"",IF(AND(AL$5&gt;=$D34,AL$5&lt;=$E34),IF(AL$5-$D34+1&lt;=ROUND(($E34-$D34+1)*$F34,0),2,IF(AL$5&lt;CFG_CurWeek,3,1)),""))</f>
        <v/>
      </c>
      <c r="AM34" s="66" t="str">
        <f aca="false">IF(OR($D34="",$E34=""),"",IF(AND(AM$5&gt;=$D34,AM$5&lt;=$E34),IF(AM$5-$D34+1&lt;=ROUND(($E34-$D34+1)*$F34,0),2,IF(AM$5&lt;CFG_CurWeek,3,1)),""))</f>
        <v/>
      </c>
      <c r="AN34" s="66" t="str">
        <f aca="false">IF(OR($D34="",$E34=""),"",IF(AND(AN$5&gt;=$D34,AN$5&lt;=$E34),IF(AN$5-$D34+1&lt;=ROUND(($E34-$D34+1)*$F34,0),2,IF(AN$5&lt;CFG_CurWeek,3,1)),""))</f>
        <v/>
      </c>
      <c r="AO34" s="66" t="str">
        <f aca="false">IF(OR($D34="",$E34=""),"",IF(AND(AO$5&gt;=$D34,AO$5&lt;=$E34),IF(AO$5-$D34+1&lt;=ROUND(($E34-$D34+1)*$F34,0),2,IF(AO$5&lt;CFG_CurWeek,3,1)),""))</f>
        <v/>
      </c>
    </row>
    <row r="35" customFormat="false" ht="15" hidden="false" customHeight="false" outlineLevel="0" collapsed="false">
      <c r="A35" s="63" t="str">
        <f aca="false">IF('01_WBS &amp; Master Plan'!A32="","",'01_WBS &amp; Master Plan'!A32)</f>
        <v>4.1</v>
      </c>
      <c r="B35" s="64" t="str">
        <f aca="false">IF('01_WBS &amp; Master Plan'!D32="","",'01_WBS &amp; Master Plan'!D32)</f>
        <v>Học Node.js, Express, REST API, middleware</v>
      </c>
      <c r="C35" s="63" t="str">
        <f aca="false">IF('01_WBS &amp; Master Plan'!E32="","",'01_WBS &amp; Master Plan'!E32)</f>
        <v>Nhật</v>
      </c>
      <c r="D35" s="63" t="n">
        <f aca="false">IF('01_WBS &amp; Master Plan'!H32="","",'01_WBS &amp; Master Plan'!H32)</f>
        <v>14</v>
      </c>
      <c r="E35" s="63" t="n">
        <f aca="false">IF('01_WBS &amp; Master Plan'!I32="","",'01_WBS &amp; Master Plan'!I32)</f>
        <v>14</v>
      </c>
      <c r="F35" s="65" t="n">
        <f aca="false">IF(B35="","",IF('01_WBS &amp; Master Plan'!K32="Done",1,IF('01_WBS &amp; Master Plan'!L32="",0,'01_WBS &amp; Master Plan'!L32)))</f>
        <v>0</v>
      </c>
      <c r="G35" s="63" t="str">
        <f aca="false">IF('01_WBS &amp; Master Plan'!K32="","",'01_WBS &amp; Master Plan'!K32)</f>
        <v>To Do</v>
      </c>
      <c r="H35" s="66" t="str">
        <f aca="false">IF(OR($D35="",$E35=""),"",IF(AND(H$5&gt;=$D35,H$5&lt;=$E35),IF(H$5-$D35+1&lt;=ROUND(($E35-$D35+1)*$F35,0),2,IF(H$5&lt;CFG_CurWeek,3,1)),""))</f>
        <v/>
      </c>
      <c r="I35" s="66" t="str">
        <f aca="false">IF(OR($D35="",$E35=""),"",IF(AND(I$5&gt;=$D35,I$5&lt;=$E35),IF(I$5-$D35+1&lt;=ROUND(($E35-$D35+1)*$F35,0),2,IF(I$5&lt;CFG_CurWeek,3,1)),""))</f>
        <v/>
      </c>
      <c r="J35" s="66" t="str">
        <f aca="false">IF(OR($D35="",$E35=""),"",IF(AND(J$5&gt;=$D35,J$5&lt;=$E35),IF(J$5-$D35+1&lt;=ROUND(($E35-$D35+1)*$F35,0),2,IF(J$5&lt;CFG_CurWeek,3,1)),""))</f>
        <v/>
      </c>
      <c r="K35" s="66" t="str">
        <f aca="false">IF(OR($D35="",$E35=""),"",IF(AND(K$5&gt;=$D35,K$5&lt;=$E35),IF(K$5-$D35+1&lt;=ROUND(($E35-$D35+1)*$F35,0),2,IF(K$5&lt;CFG_CurWeek,3,1)),""))</f>
        <v/>
      </c>
      <c r="L35" s="66" t="str">
        <f aca="false">IF(OR($D35="",$E35=""),"",IF(AND(L$5&gt;=$D35,L$5&lt;=$E35),IF(L$5-$D35+1&lt;=ROUND(($E35-$D35+1)*$F35,0),2,IF(L$5&lt;CFG_CurWeek,3,1)),""))</f>
        <v/>
      </c>
      <c r="M35" s="66" t="str">
        <f aca="false">IF(OR($D35="",$E35=""),"",IF(AND(M$5&gt;=$D35,M$5&lt;=$E35),IF(M$5-$D35+1&lt;=ROUND(($E35-$D35+1)*$F35,0),2,IF(M$5&lt;CFG_CurWeek,3,1)),""))</f>
        <v/>
      </c>
      <c r="N35" s="66" t="str">
        <f aca="false">IF(OR($D35="",$E35=""),"",IF(AND(N$5&gt;=$D35,N$5&lt;=$E35),IF(N$5-$D35+1&lt;=ROUND(($E35-$D35+1)*$F35,0),2,IF(N$5&lt;CFG_CurWeek,3,1)),""))</f>
        <v/>
      </c>
      <c r="O35" s="66" t="str">
        <f aca="false">IF(OR($D35="",$E35=""),"",IF(AND(O$5&gt;=$D35,O$5&lt;=$E35),IF(O$5-$D35+1&lt;=ROUND(($E35-$D35+1)*$F35,0),2,IF(O$5&lt;CFG_CurWeek,3,1)),""))</f>
        <v/>
      </c>
      <c r="P35" s="66" t="str">
        <f aca="false">IF(OR($D35="",$E35=""),"",IF(AND(P$5&gt;=$D35,P$5&lt;=$E35),IF(P$5-$D35+1&lt;=ROUND(($E35-$D35+1)*$F35,0),2,IF(P$5&lt;CFG_CurWeek,3,1)),""))</f>
        <v/>
      </c>
      <c r="Q35" s="66" t="str">
        <f aca="false">IF(OR($D35="",$E35=""),"",IF(AND(Q$5&gt;=$D35,Q$5&lt;=$E35),IF(Q$5-$D35+1&lt;=ROUND(($E35-$D35+1)*$F35,0),2,IF(Q$5&lt;CFG_CurWeek,3,1)),""))</f>
        <v/>
      </c>
      <c r="R35" s="66" t="str">
        <f aca="false">IF(OR($D35="",$E35=""),"",IF(AND(R$5&gt;=$D35,R$5&lt;=$E35),IF(R$5-$D35+1&lt;=ROUND(($E35-$D35+1)*$F35,0),2,IF(R$5&lt;CFG_CurWeek,3,1)),""))</f>
        <v/>
      </c>
      <c r="S35" s="66" t="str">
        <f aca="false">IF(OR($D35="",$E35=""),"",IF(AND(S$5&gt;=$D35,S$5&lt;=$E35),IF(S$5-$D35+1&lt;=ROUND(($E35-$D35+1)*$F35,0),2,IF(S$5&lt;CFG_CurWeek,3,1)),""))</f>
        <v/>
      </c>
      <c r="T35" s="66" t="str">
        <f aca="false">IF(OR($D35="",$E35=""),"",IF(AND(T$5&gt;=$D35,T$5&lt;=$E35),IF(T$5-$D35+1&lt;=ROUND(($E35-$D35+1)*$F35,0),2,IF(T$5&lt;CFG_CurWeek,3,1)),""))</f>
        <v/>
      </c>
      <c r="U35" s="66" t="n">
        <f aca="false">IF(OR($D35="",$E35=""),"",IF(AND(U$5&gt;=$D35,U$5&lt;=$E35),IF(U$5-$D35+1&lt;=ROUND(($E35-$D35+1)*$F35,0),2,IF(U$5&lt;CFG_CurWeek,3,1)),""))</f>
        <v>1</v>
      </c>
      <c r="V35" s="66" t="str">
        <f aca="false">IF(OR($D35="",$E35=""),"",IF(AND(V$5&gt;=$D35,V$5&lt;=$E35),IF(V$5-$D35+1&lt;=ROUND(($E35-$D35+1)*$F35,0),2,IF(V$5&lt;CFG_CurWeek,3,1)),""))</f>
        <v/>
      </c>
      <c r="W35" s="66" t="str">
        <f aca="false">IF(OR($D35="",$E35=""),"",IF(AND(W$5&gt;=$D35,W$5&lt;=$E35),IF(W$5-$D35+1&lt;=ROUND(($E35-$D35+1)*$F35,0),2,IF(W$5&lt;CFG_CurWeek,3,1)),""))</f>
        <v/>
      </c>
      <c r="X35" s="66" t="str">
        <f aca="false">IF(OR($D35="",$E35=""),"",IF(AND(X$5&gt;=$D35,X$5&lt;=$E35),IF(X$5-$D35+1&lt;=ROUND(($E35-$D35+1)*$F35,0),2,IF(X$5&lt;CFG_CurWeek,3,1)),""))</f>
        <v/>
      </c>
      <c r="Y35" s="66" t="str">
        <f aca="false">IF(OR($D35="",$E35=""),"",IF(AND(Y$5&gt;=$D35,Y$5&lt;=$E35),IF(Y$5-$D35+1&lt;=ROUND(($E35-$D35+1)*$F35,0),2,IF(Y$5&lt;CFG_CurWeek,3,1)),""))</f>
        <v/>
      </c>
      <c r="Z35" s="66" t="str">
        <f aca="false">IF(OR($D35="",$E35=""),"",IF(AND(Z$5&gt;=$D35,Z$5&lt;=$E35),IF(Z$5-$D35+1&lt;=ROUND(($E35-$D35+1)*$F35,0),2,IF(Z$5&lt;CFG_CurWeek,3,1)),""))</f>
        <v/>
      </c>
      <c r="AA35" s="66" t="str">
        <f aca="false">IF(OR($D35="",$E35=""),"",IF(AND(AA$5&gt;=$D35,AA$5&lt;=$E35),IF(AA$5-$D35+1&lt;=ROUND(($E35-$D35+1)*$F35,0),2,IF(AA$5&lt;CFG_CurWeek,3,1)),""))</f>
        <v/>
      </c>
      <c r="AB35" s="66" t="str">
        <f aca="false">IF(OR($D35="",$E35=""),"",IF(AND(AB$5&gt;=$D35,AB$5&lt;=$E35),IF(AB$5-$D35+1&lt;=ROUND(($E35-$D35+1)*$F35,0),2,IF(AB$5&lt;CFG_CurWeek,3,1)),""))</f>
        <v/>
      </c>
      <c r="AC35" s="66" t="str">
        <f aca="false">IF(OR($D35="",$E35=""),"",IF(AND(AC$5&gt;=$D35,AC$5&lt;=$E35),IF(AC$5-$D35+1&lt;=ROUND(($E35-$D35+1)*$F35,0),2,IF(AC$5&lt;CFG_CurWeek,3,1)),""))</f>
        <v/>
      </c>
      <c r="AD35" s="66" t="str">
        <f aca="false">IF(OR($D35="",$E35=""),"",IF(AND(AD$5&gt;=$D35,AD$5&lt;=$E35),IF(AD$5-$D35+1&lt;=ROUND(($E35-$D35+1)*$F35,0),2,IF(AD$5&lt;CFG_CurWeek,3,1)),""))</f>
        <v/>
      </c>
      <c r="AE35" s="66" t="str">
        <f aca="false">IF(OR($D35="",$E35=""),"",IF(AND(AE$5&gt;=$D35,AE$5&lt;=$E35),IF(AE$5-$D35+1&lt;=ROUND(($E35-$D35+1)*$F35,0),2,IF(AE$5&lt;CFG_CurWeek,3,1)),""))</f>
        <v/>
      </c>
      <c r="AF35" s="66" t="str">
        <f aca="false">IF(OR($D35="",$E35=""),"",IF(AND(AF$5&gt;=$D35,AF$5&lt;=$E35),IF(AF$5-$D35+1&lt;=ROUND(($E35-$D35+1)*$F35,0),2,IF(AF$5&lt;CFG_CurWeek,3,1)),""))</f>
        <v/>
      </c>
      <c r="AG35" s="66" t="str">
        <f aca="false">IF(OR($D35="",$E35=""),"",IF(AND(AG$5&gt;=$D35,AG$5&lt;=$E35),IF(AG$5-$D35+1&lt;=ROUND(($E35-$D35+1)*$F35,0),2,IF(AG$5&lt;CFG_CurWeek,3,1)),""))</f>
        <v/>
      </c>
      <c r="AH35" s="66" t="str">
        <f aca="false">IF(OR($D35="",$E35=""),"",IF(AND(AH$5&gt;=$D35,AH$5&lt;=$E35),IF(AH$5-$D35+1&lt;=ROUND(($E35-$D35+1)*$F35,0),2,IF(AH$5&lt;CFG_CurWeek,3,1)),""))</f>
        <v/>
      </c>
      <c r="AI35" s="66" t="str">
        <f aca="false">IF(OR($D35="",$E35=""),"",IF(AND(AI$5&gt;=$D35,AI$5&lt;=$E35),IF(AI$5-$D35+1&lt;=ROUND(($E35-$D35+1)*$F35,0),2,IF(AI$5&lt;CFG_CurWeek,3,1)),""))</f>
        <v/>
      </c>
      <c r="AJ35" s="66" t="str">
        <f aca="false">IF(OR($D35="",$E35=""),"",IF(AND(AJ$5&gt;=$D35,AJ$5&lt;=$E35),IF(AJ$5-$D35+1&lt;=ROUND(($E35-$D35+1)*$F35,0),2,IF(AJ$5&lt;CFG_CurWeek,3,1)),""))</f>
        <v/>
      </c>
      <c r="AK35" s="66" t="str">
        <f aca="false">IF(OR($D35="",$E35=""),"",IF(AND(AK$5&gt;=$D35,AK$5&lt;=$E35),IF(AK$5-$D35+1&lt;=ROUND(($E35-$D35+1)*$F35,0),2,IF(AK$5&lt;CFG_CurWeek,3,1)),""))</f>
        <v/>
      </c>
      <c r="AL35" s="66" t="str">
        <f aca="false">IF(OR($D35="",$E35=""),"",IF(AND(AL$5&gt;=$D35,AL$5&lt;=$E35),IF(AL$5-$D35+1&lt;=ROUND(($E35-$D35+1)*$F35,0),2,IF(AL$5&lt;CFG_CurWeek,3,1)),""))</f>
        <v/>
      </c>
      <c r="AM35" s="66" t="str">
        <f aca="false">IF(OR($D35="",$E35=""),"",IF(AND(AM$5&gt;=$D35,AM$5&lt;=$E35),IF(AM$5-$D35+1&lt;=ROUND(($E35-$D35+1)*$F35,0),2,IF(AM$5&lt;CFG_CurWeek,3,1)),""))</f>
        <v/>
      </c>
      <c r="AN35" s="66" t="str">
        <f aca="false">IF(OR($D35="",$E35=""),"",IF(AND(AN$5&gt;=$D35,AN$5&lt;=$E35),IF(AN$5-$D35+1&lt;=ROUND(($E35-$D35+1)*$F35,0),2,IF(AN$5&lt;CFG_CurWeek,3,1)),""))</f>
        <v/>
      </c>
      <c r="AO35" s="66" t="str">
        <f aca="false">IF(OR($D35="",$E35=""),"",IF(AND(AO$5&gt;=$D35,AO$5&lt;=$E35),IF(AO$5-$D35+1&lt;=ROUND(($E35-$D35+1)*$F35,0),2,IF(AO$5&lt;CFG_CurWeek,3,1)),""))</f>
        <v/>
      </c>
    </row>
    <row r="36" customFormat="false" ht="15" hidden="false" customHeight="false" outlineLevel="0" collapsed="false">
      <c r="A36" s="63" t="str">
        <f aca="false">IF('01_WBS &amp; Master Plan'!A33="","",'01_WBS &amp; Master Plan'!A33)</f>
        <v>4.2</v>
      </c>
      <c r="B36" s="64" t="str">
        <f aca="false">IF('01_WBS &amp; Master Plan'!D33="","",'01_WBS &amp; Master Plan'!D33)</f>
        <v>Khởi tạo server/: routes-controllers-services, .env, CORS, xử lý lỗi tập trung</v>
      </c>
      <c r="C36" s="63" t="str">
        <f aca="false">IF('01_WBS &amp; Master Plan'!E33="","",'01_WBS &amp; Master Plan'!E33)</f>
        <v>Nhật</v>
      </c>
      <c r="D36" s="63" t="n">
        <f aca="false">IF('01_WBS &amp; Master Plan'!H33="","",'01_WBS &amp; Master Plan'!H33)</f>
        <v>14</v>
      </c>
      <c r="E36" s="63" t="n">
        <f aca="false">IF('01_WBS &amp; Master Plan'!I33="","",'01_WBS &amp; Master Plan'!I33)</f>
        <v>15</v>
      </c>
      <c r="F36" s="65" t="n">
        <f aca="false">IF(B36="","",IF('01_WBS &amp; Master Plan'!K33="Done",1,IF('01_WBS &amp; Master Plan'!L33="",0,'01_WBS &amp; Master Plan'!L33)))</f>
        <v>0</v>
      </c>
      <c r="G36" s="63" t="str">
        <f aca="false">IF('01_WBS &amp; Master Plan'!K33="","",'01_WBS &amp; Master Plan'!K33)</f>
        <v>To Do</v>
      </c>
      <c r="H36" s="66" t="str">
        <f aca="false">IF(OR($D36="",$E36=""),"",IF(AND(H$5&gt;=$D36,H$5&lt;=$E36),IF(H$5-$D36+1&lt;=ROUND(($E36-$D36+1)*$F36,0),2,IF(H$5&lt;CFG_CurWeek,3,1)),""))</f>
        <v/>
      </c>
      <c r="I36" s="66" t="str">
        <f aca="false">IF(OR($D36="",$E36=""),"",IF(AND(I$5&gt;=$D36,I$5&lt;=$E36),IF(I$5-$D36+1&lt;=ROUND(($E36-$D36+1)*$F36,0),2,IF(I$5&lt;CFG_CurWeek,3,1)),""))</f>
        <v/>
      </c>
      <c r="J36" s="66" t="str">
        <f aca="false">IF(OR($D36="",$E36=""),"",IF(AND(J$5&gt;=$D36,J$5&lt;=$E36),IF(J$5-$D36+1&lt;=ROUND(($E36-$D36+1)*$F36,0),2,IF(J$5&lt;CFG_CurWeek,3,1)),""))</f>
        <v/>
      </c>
      <c r="K36" s="66" t="str">
        <f aca="false">IF(OR($D36="",$E36=""),"",IF(AND(K$5&gt;=$D36,K$5&lt;=$E36),IF(K$5-$D36+1&lt;=ROUND(($E36-$D36+1)*$F36,0),2,IF(K$5&lt;CFG_CurWeek,3,1)),""))</f>
        <v/>
      </c>
      <c r="L36" s="66" t="str">
        <f aca="false">IF(OR($D36="",$E36=""),"",IF(AND(L$5&gt;=$D36,L$5&lt;=$E36),IF(L$5-$D36+1&lt;=ROUND(($E36-$D36+1)*$F36,0),2,IF(L$5&lt;CFG_CurWeek,3,1)),""))</f>
        <v/>
      </c>
      <c r="M36" s="66" t="str">
        <f aca="false">IF(OR($D36="",$E36=""),"",IF(AND(M$5&gt;=$D36,M$5&lt;=$E36),IF(M$5-$D36+1&lt;=ROUND(($E36-$D36+1)*$F36,0),2,IF(M$5&lt;CFG_CurWeek,3,1)),""))</f>
        <v/>
      </c>
      <c r="N36" s="66" t="str">
        <f aca="false">IF(OR($D36="",$E36=""),"",IF(AND(N$5&gt;=$D36,N$5&lt;=$E36),IF(N$5-$D36+1&lt;=ROUND(($E36-$D36+1)*$F36,0),2,IF(N$5&lt;CFG_CurWeek,3,1)),""))</f>
        <v/>
      </c>
      <c r="O36" s="66" t="str">
        <f aca="false">IF(OR($D36="",$E36=""),"",IF(AND(O$5&gt;=$D36,O$5&lt;=$E36),IF(O$5-$D36+1&lt;=ROUND(($E36-$D36+1)*$F36,0),2,IF(O$5&lt;CFG_CurWeek,3,1)),""))</f>
        <v/>
      </c>
      <c r="P36" s="66" t="str">
        <f aca="false">IF(OR($D36="",$E36=""),"",IF(AND(P$5&gt;=$D36,P$5&lt;=$E36),IF(P$5-$D36+1&lt;=ROUND(($E36-$D36+1)*$F36,0),2,IF(P$5&lt;CFG_CurWeek,3,1)),""))</f>
        <v/>
      </c>
      <c r="Q36" s="66" t="str">
        <f aca="false">IF(OR($D36="",$E36=""),"",IF(AND(Q$5&gt;=$D36,Q$5&lt;=$E36),IF(Q$5-$D36+1&lt;=ROUND(($E36-$D36+1)*$F36,0),2,IF(Q$5&lt;CFG_CurWeek,3,1)),""))</f>
        <v/>
      </c>
      <c r="R36" s="66" t="str">
        <f aca="false">IF(OR($D36="",$E36=""),"",IF(AND(R$5&gt;=$D36,R$5&lt;=$E36),IF(R$5-$D36+1&lt;=ROUND(($E36-$D36+1)*$F36,0),2,IF(R$5&lt;CFG_CurWeek,3,1)),""))</f>
        <v/>
      </c>
      <c r="S36" s="66" t="str">
        <f aca="false">IF(OR($D36="",$E36=""),"",IF(AND(S$5&gt;=$D36,S$5&lt;=$E36),IF(S$5-$D36+1&lt;=ROUND(($E36-$D36+1)*$F36,0),2,IF(S$5&lt;CFG_CurWeek,3,1)),""))</f>
        <v/>
      </c>
      <c r="T36" s="66" t="str">
        <f aca="false">IF(OR($D36="",$E36=""),"",IF(AND(T$5&gt;=$D36,T$5&lt;=$E36),IF(T$5-$D36+1&lt;=ROUND(($E36-$D36+1)*$F36,0),2,IF(T$5&lt;CFG_CurWeek,3,1)),""))</f>
        <v/>
      </c>
      <c r="U36" s="66" t="n">
        <f aca="false">IF(OR($D36="",$E36=""),"",IF(AND(U$5&gt;=$D36,U$5&lt;=$E36),IF(U$5-$D36+1&lt;=ROUND(($E36-$D36+1)*$F36,0),2,IF(U$5&lt;CFG_CurWeek,3,1)),""))</f>
        <v>1</v>
      </c>
      <c r="V36" s="66" t="n">
        <f aca="false">IF(OR($D36="",$E36=""),"",IF(AND(V$5&gt;=$D36,V$5&lt;=$E36),IF(V$5-$D36+1&lt;=ROUND(($E36-$D36+1)*$F36,0),2,IF(V$5&lt;CFG_CurWeek,3,1)),""))</f>
        <v>1</v>
      </c>
      <c r="W36" s="66" t="str">
        <f aca="false">IF(OR($D36="",$E36=""),"",IF(AND(W$5&gt;=$D36,W$5&lt;=$E36),IF(W$5-$D36+1&lt;=ROUND(($E36-$D36+1)*$F36,0),2,IF(W$5&lt;CFG_CurWeek,3,1)),""))</f>
        <v/>
      </c>
      <c r="X36" s="66" t="str">
        <f aca="false">IF(OR($D36="",$E36=""),"",IF(AND(X$5&gt;=$D36,X$5&lt;=$E36),IF(X$5-$D36+1&lt;=ROUND(($E36-$D36+1)*$F36,0),2,IF(X$5&lt;CFG_CurWeek,3,1)),""))</f>
        <v/>
      </c>
      <c r="Y36" s="66" t="str">
        <f aca="false">IF(OR($D36="",$E36=""),"",IF(AND(Y$5&gt;=$D36,Y$5&lt;=$E36),IF(Y$5-$D36+1&lt;=ROUND(($E36-$D36+1)*$F36,0),2,IF(Y$5&lt;CFG_CurWeek,3,1)),""))</f>
        <v/>
      </c>
      <c r="Z36" s="66" t="str">
        <f aca="false">IF(OR($D36="",$E36=""),"",IF(AND(Z$5&gt;=$D36,Z$5&lt;=$E36),IF(Z$5-$D36+1&lt;=ROUND(($E36-$D36+1)*$F36,0),2,IF(Z$5&lt;CFG_CurWeek,3,1)),""))</f>
        <v/>
      </c>
      <c r="AA36" s="66" t="str">
        <f aca="false">IF(OR($D36="",$E36=""),"",IF(AND(AA$5&gt;=$D36,AA$5&lt;=$E36),IF(AA$5-$D36+1&lt;=ROUND(($E36-$D36+1)*$F36,0),2,IF(AA$5&lt;CFG_CurWeek,3,1)),""))</f>
        <v/>
      </c>
      <c r="AB36" s="66" t="str">
        <f aca="false">IF(OR($D36="",$E36=""),"",IF(AND(AB$5&gt;=$D36,AB$5&lt;=$E36),IF(AB$5-$D36+1&lt;=ROUND(($E36-$D36+1)*$F36,0),2,IF(AB$5&lt;CFG_CurWeek,3,1)),""))</f>
        <v/>
      </c>
      <c r="AC36" s="66" t="str">
        <f aca="false">IF(OR($D36="",$E36=""),"",IF(AND(AC$5&gt;=$D36,AC$5&lt;=$E36),IF(AC$5-$D36+1&lt;=ROUND(($E36-$D36+1)*$F36,0),2,IF(AC$5&lt;CFG_CurWeek,3,1)),""))</f>
        <v/>
      </c>
      <c r="AD36" s="66" t="str">
        <f aca="false">IF(OR($D36="",$E36=""),"",IF(AND(AD$5&gt;=$D36,AD$5&lt;=$E36),IF(AD$5-$D36+1&lt;=ROUND(($E36-$D36+1)*$F36,0),2,IF(AD$5&lt;CFG_CurWeek,3,1)),""))</f>
        <v/>
      </c>
      <c r="AE36" s="66" t="str">
        <f aca="false">IF(OR($D36="",$E36=""),"",IF(AND(AE$5&gt;=$D36,AE$5&lt;=$E36),IF(AE$5-$D36+1&lt;=ROUND(($E36-$D36+1)*$F36,0),2,IF(AE$5&lt;CFG_CurWeek,3,1)),""))</f>
        <v/>
      </c>
      <c r="AF36" s="66" t="str">
        <f aca="false">IF(OR($D36="",$E36=""),"",IF(AND(AF$5&gt;=$D36,AF$5&lt;=$E36),IF(AF$5-$D36+1&lt;=ROUND(($E36-$D36+1)*$F36,0),2,IF(AF$5&lt;CFG_CurWeek,3,1)),""))</f>
        <v/>
      </c>
      <c r="AG36" s="66" t="str">
        <f aca="false">IF(OR($D36="",$E36=""),"",IF(AND(AG$5&gt;=$D36,AG$5&lt;=$E36),IF(AG$5-$D36+1&lt;=ROUND(($E36-$D36+1)*$F36,0),2,IF(AG$5&lt;CFG_CurWeek,3,1)),""))</f>
        <v/>
      </c>
      <c r="AH36" s="66" t="str">
        <f aca="false">IF(OR($D36="",$E36=""),"",IF(AND(AH$5&gt;=$D36,AH$5&lt;=$E36),IF(AH$5-$D36+1&lt;=ROUND(($E36-$D36+1)*$F36,0),2,IF(AH$5&lt;CFG_CurWeek,3,1)),""))</f>
        <v/>
      </c>
      <c r="AI36" s="66" t="str">
        <f aca="false">IF(OR($D36="",$E36=""),"",IF(AND(AI$5&gt;=$D36,AI$5&lt;=$E36),IF(AI$5-$D36+1&lt;=ROUND(($E36-$D36+1)*$F36,0),2,IF(AI$5&lt;CFG_CurWeek,3,1)),""))</f>
        <v/>
      </c>
      <c r="AJ36" s="66" t="str">
        <f aca="false">IF(OR($D36="",$E36=""),"",IF(AND(AJ$5&gt;=$D36,AJ$5&lt;=$E36),IF(AJ$5-$D36+1&lt;=ROUND(($E36-$D36+1)*$F36,0),2,IF(AJ$5&lt;CFG_CurWeek,3,1)),""))</f>
        <v/>
      </c>
      <c r="AK36" s="66" t="str">
        <f aca="false">IF(OR($D36="",$E36=""),"",IF(AND(AK$5&gt;=$D36,AK$5&lt;=$E36),IF(AK$5-$D36+1&lt;=ROUND(($E36-$D36+1)*$F36,0),2,IF(AK$5&lt;CFG_CurWeek,3,1)),""))</f>
        <v/>
      </c>
      <c r="AL36" s="66" t="str">
        <f aca="false">IF(OR($D36="",$E36=""),"",IF(AND(AL$5&gt;=$D36,AL$5&lt;=$E36),IF(AL$5-$D36+1&lt;=ROUND(($E36-$D36+1)*$F36,0),2,IF(AL$5&lt;CFG_CurWeek,3,1)),""))</f>
        <v/>
      </c>
      <c r="AM36" s="66" t="str">
        <f aca="false">IF(OR($D36="",$E36=""),"",IF(AND(AM$5&gt;=$D36,AM$5&lt;=$E36),IF(AM$5-$D36+1&lt;=ROUND(($E36-$D36+1)*$F36,0),2,IF(AM$5&lt;CFG_CurWeek,3,1)),""))</f>
        <v/>
      </c>
      <c r="AN36" s="66" t="str">
        <f aca="false">IF(OR($D36="",$E36=""),"",IF(AND(AN$5&gt;=$D36,AN$5&lt;=$E36),IF(AN$5-$D36+1&lt;=ROUND(($E36-$D36+1)*$F36,0),2,IF(AN$5&lt;CFG_CurWeek,3,1)),""))</f>
        <v/>
      </c>
      <c r="AO36" s="66" t="str">
        <f aca="false">IF(OR($D36="",$E36=""),"",IF(AND(AO$5&gt;=$D36,AO$5&lt;=$E36),IF(AO$5-$D36+1&lt;=ROUND(($E36-$D36+1)*$F36,0),2,IF(AO$5&lt;CFG_CurWeek,3,1)),""))</f>
        <v/>
      </c>
    </row>
    <row r="37" customFormat="false" ht="15" hidden="false" customHeight="false" outlineLevel="0" collapsed="false">
      <c r="A37" s="63" t="str">
        <f aca="false">IF('01_WBS &amp; Master Plan'!A34="","",'01_WBS &amp; Master Plan'!A34)</f>
        <v>4.3</v>
      </c>
      <c r="B37" s="64" t="str">
        <f aca="false">IF('01_WBS &amp; Master Plan'!D34="","",'01_WBS &amp; Master Plan'!D34)</f>
        <v>API catalog: GET /songs, /songs/:id, /albums, /artists (dữ liệu tạm trong code)</v>
      </c>
      <c r="C37" s="63" t="str">
        <f aca="false">IF('01_WBS &amp; Master Plan'!E34="","",'01_WBS &amp; Master Plan'!E34)</f>
        <v>Nhật</v>
      </c>
      <c r="D37" s="63" t="n">
        <f aca="false">IF('01_WBS &amp; Master Plan'!H34="","",'01_WBS &amp; Master Plan'!H34)</f>
        <v>15</v>
      </c>
      <c r="E37" s="63" t="n">
        <f aca="false">IF('01_WBS &amp; Master Plan'!I34="","",'01_WBS &amp; Master Plan'!I34)</f>
        <v>15</v>
      </c>
      <c r="F37" s="65" t="n">
        <f aca="false">IF(B37="","",IF('01_WBS &amp; Master Plan'!K34="Done",1,IF('01_WBS &amp; Master Plan'!L34="",0,'01_WBS &amp; Master Plan'!L34)))</f>
        <v>0</v>
      </c>
      <c r="G37" s="63" t="str">
        <f aca="false">IF('01_WBS &amp; Master Plan'!K34="","",'01_WBS &amp; Master Plan'!K34)</f>
        <v>To Do</v>
      </c>
      <c r="H37" s="66" t="str">
        <f aca="false">IF(OR($D37="",$E37=""),"",IF(AND(H$5&gt;=$D37,H$5&lt;=$E37),IF(H$5-$D37+1&lt;=ROUND(($E37-$D37+1)*$F37,0),2,IF(H$5&lt;CFG_CurWeek,3,1)),""))</f>
        <v/>
      </c>
      <c r="I37" s="66" t="str">
        <f aca="false">IF(OR($D37="",$E37=""),"",IF(AND(I$5&gt;=$D37,I$5&lt;=$E37),IF(I$5-$D37+1&lt;=ROUND(($E37-$D37+1)*$F37,0),2,IF(I$5&lt;CFG_CurWeek,3,1)),""))</f>
        <v/>
      </c>
      <c r="J37" s="66" t="str">
        <f aca="false">IF(OR($D37="",$E37=""),"",IF(AND(J$5&gt;=$D37,J$5&lt;=$E37),IF(J$5-$D37+1&lt;=ROUND(($E37-$D37+1)*$F37,0),2,IF(J$5&lt;CFG_CurWeek,3,1)),""))</f>
        <v/>
      </c>
      <c r="K37" s="66" t="str">
        <f aca="false">IF(OR($D37="",$E37=""),"",IF(AND(K$5&gt;=$D37,K$5&lt;=$E37),IF(K$5-$D37+1&lt;=ROUND(($E37-$D37+1)*$F37,0),2,IF(K$5&lt;CFG_CurWeek,3,1)),""))</f>
        <v/>
      </c>
      <c r="L37" s="66" t="str">
        <f aca="false">IF(OR($D37="",$E37=""),"",IF(AND(L$5&gt;=$D37,L$5&lt;=$E37),IF(L$5-$D37+1&lt;=ROUND(($E37-$D37+1)*$F37,0),2,IF(L$5&lt;CFG_CurWeek,3,1)),""))</f>
        <v/>
      </c>
      <c r="M37" s="66" t="str">
        <f aca="false">IF(OR($D37="",$E37=""),"",IF(AND(M$5&gt;=$D37,M$5&lt;=$E37),IF(M$5-$D37+1&lt;=ROUND(($E37-$D37+1)*$F37,0),2,IF(M$5&lt;CFG_CurWeek,3,1)),""))</f>
        <v/>
      </c>
      <c r="N37" s="66" t="str">
        <f aca="false">IF(OR($D37="",$E37=""),"",IF(AND(N$5&gt;=$D37,N$5&lt;=$E37),IF(N$5-$D37+1&lt;=ROUND(($E37-$D37+1)*$F37,0),2,IF(N$5&lt;CFG_CurWeek,3,1)),""))</f>
        <v/>
      </c>
      <c r="O37" s="66" t="str">
        <f aca="false">IF(OR($D37="",$E37=""),"",IF(AND(O$5&gt;=$D37,O$5&lt;=$E37),IF(O$5-$D37+1&lt;=ROUND(($E37-$D37+1)*$F37,0),2,IF(O$5&lt;CFG_CurWeek,3,1)),""))</f>
        <v/>
      </c>
      <c r="P37" s="66" t="str">
        <f aca="false">IF(OR($D37="",$E37=""),"",IF(AND(P$5&gt;=$D37,P$5&lt;=$E37),IF(P$5-$D37+1&lt;=ROUND(($E37-$D37+1)*$F37,0),2,IF(P$5&lt;CFG_CurWeek,3,1)),""))</f>
        <v/>
      </c>
      <c r="Q37" s="66" t="str">
        <f aca="false">IF(OR($D37="",$E37=""),"",IF(AND(Q$5&gt;=$D37,Q$5&lt;=$E37),IF(Q$5-$D37+1&lt;=ROUND(($E37-$D37+1)*$F37,0),2,IF(Q$5&lt;CFG_CurWeek,3,1)),""))</f>
        <v/>
      </c>
      <c r="R37" s="66" t="str">
        <f aca="false">IF(OR($D37="",$E37=""),"",IF(AND(R$5&gt;=$D37,R$5&lt;=$E37),IF(R$5-$D37+1&lt;=ROUND(($E37-$D37+1)*$F37,0),2,IF(R$5&lt;CFG_CurWeek,3,1)),""))</f>
        <v/>
      </c>
      <c r="S37" s="66" t="str">
        <f aca="false">IF(OR($D37="",$E37=""),"",IF(AND(S$5&gt;=$D37,S$5&lt;=$E37),IF(S$5-$D37+1&lt;=ROUND(($E37-$D37+1)*$F37,0),2,IF(S$5&lt;CFG_CurWeek,3,1)),""))</f>
        <v/>
      </c>
      <c r="T37" s="66" t="str">
        <f aca="false">IF(OR($D37="",$E37=""),"",IF(AND(T$5&gt;=$D37,T$5&lt;=$E37),IF(T$5-$D37+1&lt;=ROUND(($E37-$D37+1)*$F37,0),2,IF(T$5&lt;CFG_CurWeek,3,1)),""))</f>
        <v/>
      </c>
      <c r="U37" s="66" t="str">
        <f aca="false">IF(OR($D37="",$E37=""),"",IF(AND(U$5&gt;=$D37,U$5&lt;=$E37),IF(U$5-$D37+1&lt;=ROUND(($E37-$D37+1)*$F37,0),2,IF(U$5&lt;CFG_CurWeek,3,1)),""))</f>
        <v/>
      </c>
      <c r="V37" s="66" t="n">
        <f aca="false">IF(OR($D37="",$E37=""),"",IF(AND(V$5&gt;=$D37,V$5&lt;=$E37),IF(V$5-$D37+1&lt;=ROUND(($E37-$D37+1)*$F37,0),2,IF(V$5&lt;CFG_CurWeek,3,1)),""))</f>
        <v>1</v>
      </c>
      <c r="W37" s="66" t="str">
        <f aca="false">IF(OR($D37="",$E37=""),"",IF(AND(W$5&gt;=$D37,W$5&lt;=$E37),IF(W$5-$D37+1&lt;=ROUND(($E37-$D37+1)*$F37,0),2,IF(W$5&lt;CFG_CurWeek,3,1)),""))</f>
        <v/>
      </c>
      <c r="X37" s="66" t="str">
        <f aca="false">IF(OR($D37="",$E37=""),"",IF(AND(X$5&gt;=$D37,X$5&lt;=$E37),IF(X$5-$D37+1&lt;=ROUND(($E37-$D37+1)*$F37,0),2,IF(X$5&lt;CFG_CurWeek,3,1)),""))</f>
        <v/>
      </c>
      <c r="Y37" s="66" t="str">
        <f aca="false">IF(OR($D37="",$E37=""),"",IF(AND(Y$5&gt;=$D37,Y$5&lt;=$E37),IF(Y$5-$D37+1&lt;=ROUND(($E37-$D37+1)*$F37,0),2,IF(Y$5&lt;CFG_CurWeek,3,1)),""))</f>
        <v/>
      </c>
      <c r="Z37" s="66" t="str">
        <f aca="false">IF(OR($D37="",$E37=""),"",IF(AND(Z$5&gt;=$D37,Z$5&lt;=$E37),IF(Z$5-$D37+1&lt;=ROUND(($E37-$D37+1)*$F37,0),2,IF(Z$5&lt;CFG_CurWeek,3,1)),""))</f>
        <v/>
      </c>
      <c r="AA37" s="66" t="str">
        <f aca="false">IF(OR($D37="",$E37=""),"",IF(AND(AA$5&gt;=$D37,AA$5&lt;=$E37),IF(AA$5-$D37+1&lt;=ROUND(($E37-$D37+1)*$F37,0),2,IF(AA$5&lt;CFG_CurWeek,3,1)),""))</f>
        <v/>
      </c>
      <c r="AB37" s="66" t="str">
        <f aca="false">IF(OR($D37="",$E37=""),"",IF(AND(AB$5&gt;=$D37,AB$5&lt;=$E37),IF(AB$5-$D37+1&lt;=ROUND(($E37-$D37+1)*$F37,0),2,IF(AB$5&lt;CFG_CurWeek,3,1)),""))</f>
        <v/>
      </c>
      <c r="AC37" s="66" t="str">
        <f aca="false">IF(OR($D37="",$E37=""),"",IF(AND(AC$5&gt;=$D37,AC$5&lt;=$E37),IF(AC$5-$D37+1&lt;=ROUND(($E37-$D37+1)*$F37,0),2,IF(AC$5&lt;CFG_CurWeek,3,1)),""))</f>
        <v/>
      </c>
      <c r="AD37" s="66" t="str">
        <f aca="false">IF(OR($D37="",$E37=""),"",IF(AND(AD$5&gt;=$D37,AD$5&lt;=$E37),IF(AD$5-$D37+1&lt;=ROUND(($E37-$D37+1)*$F37,0),2,IF(AD$5&lt;CFG_CurWeek,3,1)),""))</f>
        <v/>
      </c>
      <c r="AE37" s="66" t="str">
        <f aca="false">IF(OR($D37="",$E37=""),"",IF(AND(AE$5&gt;=$D37,AE$5&lt;=$E37),IF(AE$5-$D37+1&lt;=ROUND(($E37-$D37+1)*$F37,0),2,IF(AE$5&lt;CFG_CurWeek,3,1)),""))</f>
        <v/>
      </c>
      <c r="AF37" s="66" t="str">
        <f aca="false">IF(OR($D37="",$E37=""),"",IF(AND(AF$5&gt;=$D37,AF$5&lt;=$E37),IF(AF$5-$D37+1&lt;=ROUND(($E37-$D37+1)*$F37,0),2,IF(AF$5&lt;CFG_CurWeek,3,1)),""))</f>
        <v/>
      </c>
      <c r="AG37" s="66" t="str">
        <f aca="false">IF(OR($D37="",$E37=""),"",IF(AND(AG$5&gt;=$D37,AG$5&lt;=$E37),IF(AG$5-$D37+1&lt;=ROUND(($E37-$D37+1)*$F37,0),2,IF(AG$5&lt;CFG_CurWeek,3,1)),""))</f>
        <v/>
      </c>
      <c r="AH37" s="66" t="str">
        <f aca="false">IF(OR($D37="",$E37=""),"",IF(AND(AH$5&gt;=$D37,AH$5&lt;=$E37),IF(AH$5-$D37+1&lt;=ROUND(($E37-$D37+1)*$F37,0),2,IF(AH$5&lt;CFG_CurWeek,3,1)),""))</f>
        <v/>
      </c>
      <c r="AI37" s="66" t="str">
        <f aca="false">IF(OR($D37="",$E37=""),"",IF(AND(AI$5&gt;=$D37,AI$5&lt;=$E37),IF(AI$5-$D37+1&lt;=ROUND(($E37-$D37+1)*$F37,0),2,IF(AI$5&lt;CFG_CurWeek,3,1)),""))</f>
        <v/>
      </c>
      <c r="AJ37" s="66" t="str">
        <f aca="false">IF(OR($D37="",$E37=""),"",IF(AND(AJ$5&gt;=$D37,AJ$5&lt;=$E37),IF(AJ$5-$D37+1&lt;=ROUND(($E37-$D37+1)*$F37,0),2,IF(AJ$5&lt;CFG_CurWeek,3,1)),""))</f>
        <v/>
      </c>
      <c r="AK37" s="66" t="str">
        <f aca="false">IF(OR($D37="",$E37=""),"",IF(AND(AK$5&gt;=$D37,AK$5&lt;=$E37),IF(AK$5-$D37+1&lt;=ROUND(($E37-$D37+1)*$F37,0),2,IF(AK$5&lt;CFG_CurWeek,3,1)),""))</f>
        <v/>
      </c>
      <c r="AL37" s="66" t="str">
        <f aca="false">IF(OR($D37="",$E37=""),"",IF(AND(AL$5&gt;=$D37,AL$5&lt;=$E37),IF(AL$5-$D37+1&lt;=ROUND(($E37-$D37+1)*$F37,0),2,IF(AL$5&lt;CFG_CurWeek,3,1)),""))</f>
        <v/>
      </c>
      <c r="AM37" s="66" t="str">
        <f aca="false">IF(OR($D37="",$E37=""),"",IF(AND(AM$5&gt;=$D37,AM$5&lt;=$E37),IF(AM$5-$D37+1&lt;=ROUND(($E37-$D37+1)*$F37,0),2,IF(AM$5&lt;CFG_CurWeek,3,1)),""))</f>
        <v/>
      </c>
      <c r="AN37" s="66" t="str">
        <f aca="false">IF(OR($D37="",$E37=""),"",IF(AND(AN$5&gt;=$D37,AN$5&lt;=$E37),IF(AN$5-$D37+1&lt;=ROUND(($E37-$D37+1)*$F37,0),2,IF(AN$5&lt;CFG_CurWeek,3,1)),""))</f>
        <v/>
      </c>
      <c r="AO37" s="66" t="str">
        <f aca="false">IF(OR($D37="",$E37=""),"",IF(AND(AO$5&gt;=$D37,AO$5&lt;=$E37),IF(AO$5-$D37+1&lt;=ROUND(($E37-$D37+1)*$F37,0),2,IF(AO$5&lt;CFG_CurWeek,3,1)),""))</f>
        <v/>
      </c>
    </row>
    <row r="38" customFormat="false" ht="15" hidden="false" customHeight="false" outlineLevel="0" collapsed="false">
      <c r="A38" s="63" t="str">
        <f aca="false">IF('01_WBS &amp; Master Plan'!A35="","",'01_WBS &amp; Master Plan'!A35)</f>
        <v>4.4</v>
      </c>
      <c r="B38" s="64" t="str">
        <f aca="false">IF('01_WBS &amp; Master Plan'!D35="","",'01_WBS &amp; Master Plan'!D35)</f>
        <v>API stream mp3 hỗ trợ HTTP Range (206 Partial Content)</v>
      </c>
      <c r="C38" s="63" t="str">
        <f aca="false">IF('01_WBS &amp; Master Plan'!E35="","",'01_WBS &amp; Master Plan'!E35)</f>
        <v>Nhật</v>
      </c>
      <c r="D38" s="63" t="n">
        <f aca="false">IF('01_WBS &amp; Master Plan'!H35="","",'01_WBS &amp; Master Plan'!H35)</f>
        <v>15</v>
      </c>
      <c r="E38" s="63" t="n">
        <f aca="false">IF('01_WBS &amp; Master Plan'!I35="","",'01_WBS &amp; Master Plan'!I35)</f>
        <v>16</v>
      </c>
      <c r="F38" s="65" t="n">
        <f aca="false">IF(B38="","",IF('01_WBS &amp; Master Plan'!K35="Done",1,IF('01_WBS &amp; Master Plan'!L35="",0,'01_WBS &amp; Master Plan'!L35)))</f>
        <v>0</v>
      </c>
      <c r="G38" s="63" t="str">
        <f aca="false">IF('01_WBS &amp; Master Plan'!K35="","",'01_WBS &amp; Master Plan'!K35)</f>
        <v>To Do</v>
      </c>
      <c r="H38" s="66" t="str">
        <f aca="false">IF(OR($D38="",$E38=""),"",IF(AND(H$5&gt;=$D38,H$5&lt;=$E38),IF(H$5-$D38+1&lt;=ROUND(($E38-$D38+1)*$F38,0),2,IF(H$5&lt;CFG_CurWeek,3,1)),""))</f>
        <v/>
      </c>
      <c r="I38" s="66" t="str">
        <f aca="false">IF(OR($D38="",$E38=""),"",IF(AND(I$5&gt;=$D38,I$5&lt;=$E38),IF(I$5-$D38+1&lt;=ROUND(($E38-$D38+1)*$F38,0),2,IF(I$5&lt;CFG_CurWeek,3,1)),""))</f>
        <v/>
      </c>
      <c r="J38" s="66" t="str">
        <f aca="false">IF(OR($D38="",$E38=""),"",IF(AND(J$5&gt;=$D38,J$5&lt;=$E38),IF(J$5-$D38+1&lt;=ROUND(($E38-$D38+1)*$F38,0),2,IF(J$5&lt;CFG_CurWeek,3,1)),""))</f>
        <v/>
      </c>
      <c r="K38" s="66" t="str">
        <f aca="false">IF(OR($D38="",$E38=""),"",IF(AND(K$5&gt;=$D38,K$5&lt;=$E38),IF(K$5-$D38+1&lt;=ROUND(($E38-$D38+1)*$F38,0),2,IF(K$5&lt;CFG_CurWeek,3,1)),""))</f>
        <v/>
      </c>
      <c r="L38" s="66" t="str">
        <f aca="false">IF(OR($D38="",$E38=""),"",IF(AND(L$5&gt;=$D38,L$5&lt;=$E38),IF(L$5-$D38+1&lt;=ROUND(($E38-$D38+1)*$F38,0),2,IF(L$5&lt;CFG_CurWeek,3,1)),""))</f>
        <v/>
      </c>
      <c r="M38" s="66" t="str">
        <f aca="false">IF(OR($D38="",$E38=""),"",IF(AND(M$5&gt;=$D38,M$5&lt;=$E38),IF(M$5-$D38+1&lt;=ROUND(($E38-$D38+1)*$F38,0),2,IF(M$5&lt;CFG_CurWeek,3,1)),""))</f>
        <v/>
      </c>
      <c r="N38" s="66" t="str">
        <f aca="false">IF(OR($D38="",$E38=""),"",IF(AND(N$5&gt;=$D38,N$5&lt;=$E38),IF(N$5-$D38+1&lt;=ROUND(($E38-$D38+1)*$F38,0),2,IF(N$5&lt;CFG_CurWeek,3,1)),""))</f>
        <v/>
      </c>
      <c r="O38" s="66" t="str">
        <f aca="false">IF(OR($D38="",$E38=""),"",IF(AND(O$5&gt;=$D38,O$5&lt;=$E38),IF(O$5-$D38+1&lt;=ROUND(($E38-$D38+1)*$F38,0),2,IF(O$5&lt;CFG_CurWeek,3,1)),""))</f>
        <v/>
      </c>
      <c r="P38" s="66" t="str">
        <f aca="false">IF(OR($D38="",$E38=""),"",IF(AND(P$5&gt;=$D38,P$5&lt;=$E38),IF(P$5-$D38+1&lt;=ROUND(($E38-$D38+1)*$F38,0),2,IF(P$5&lt;CFG_CurWeek,3,1)),""))</f>
        <v/>
      </c>
      <c r="Q38" s="66" t="str">
        <f aca="false">IF(OR($D38="",$E38=""),"",IF(AND(Q$5&gt;=$D38,Q$5&lt;=$E38),IF(Q$5-$D38+1&lt;=ROUND(($E38-$D38+1)*$F38,0),2,IF(Q$5&lt;CFG_CurWeek,3,1)),""))</f>
        <v/>
      </c>
      <c r="R38" s="66" t="str">
        <f aca="false">IF(OR($D38="",$E38=""),"",IF(AND(R$5&gt;=$D38,R$5&lt;=$E38),IF(R$5-$D38+1&lt;=ROUND(($E38-$D38+1)*$F38,0),2,IF(R$5&lt;CFG_CurWeek,3,1)),""))</f>
        <v/>
      </c>
      <c r="S38" s="66" t="str">
        <f aca="false">IF(OR($D38="",$E38=""),"",IF(AND(S$5&gt;=$D38,S$5&lt;=$E38),IF(S$5-$D38+1&lt;=ROUND(($E38-$D38+1)*$F38,0),2,IF(S$5&lt;CFG_CurWeek,3,1)),""))</f>
        <v/>
      </c>
      <c r="T38" s="66" t="str">
        <f aca="false">IF(OR($D38="",$E38=""),"",IF(AND(T$5&gt;=$D38,T$5&lt;=$E38),IF(T$5-$D38+1&lt;=ROUND(($E38-$D38+1)*$F38,0),2,IF(T$5&lt;CFG_CurWeek,3,1)),""))</f>
        <v/>
      </c>
      <c r="U38" s="66" t="str">
        <f aca="false">IF(OR($D38="",$E38=""),"",IF(AND(U$5&gt;=$D38,U$5&lt;=$E38),IF(U$5-$D38+1&lt;=ROUND(($E38-$D38+1)*$F38,0),2,IF(U$5&lt;CFG_CurWeek,3,1)),""))</f>
        <v/>
      </c>
      <c r="V38" s="66" t="n">
        <f aca="false">IF(OR($D38="",$E38=""),"",IF(AND(V$5&gt;=$D38,V$5&lt;=$E38),IF(V$5-$D38+1&lt;=ROUND(($E38-$D38+1)*$F38,0),2,IF(V$5&lt;CFG_CurWeek,3,1)),""))</f>
        <v>1</v>
      </c>
      <c r="W38" s="66" t="n">
        <f aca="false">IF(OR($D38="",$E38=""),"",IF(AND(W$5&gt;=$D38,W$5&lt;=$E38),IF(W$5-$D38+1&lt;=ROUND(($E38-$D38+1)*$F38,0),2,IF(W$5&lt;CFG_CurWeek,3,1)),""))</f>
        <v>1</v>
      </c>
      <c r="X38" s="66" t="str">
        <f aca="false">IF(OR($D38="",$E38=""),"",IF(AND(X$5&gt;=$D38,X$5&lt;=$E38),IF(X$5-$D38+1&lt;=ROUND(($E38-$D38+1)*$F38,0),2,IF(X$5&lt;CFG_CurWeek,3,1)),""))</f>
        <v/>
      </c>
      <c r="Y38" s="66" t="str">
        <f aca="false">IF(OR($D38="",$E38=""),"",IF(AND(Y$5&gt;=$D38,Y$5&lt;=$E38),IF(Y$5-$D38+1&lt;=ROUND(($E38-$D38+1)*$F38,0),2,IF(Y$5&lt;CFG_CurWeek,3,1)),""))</f>
        <v/>
      </c>
      <c r="Z38" s="66" t="str">
        <f aca="false">IF(OR($D38="",$E38=""),"",IF(AND(Z$5&gt;=$D38,Z$5&lt;=$E38),IF(Z$5-$D38+1&lt;=ROUND(($E38-$D38+1)*$F38,0),2,IF(Z$5&lt;CFG_CurWeek,3,1)),""))</f>
        <v/>
      </c>
      <c r="AA38" s="66" t="str">
        <f aca="false">IF(OR($D38="",$E38=""),"",IF(AND(AA$5&gt;=$D38,AA$5&lt;=$E38),IF(AA$5-$D38+1&lt;=ROUND(($E38-$D38+1)*$F38,0),2,IF(AA$5&lt;CFG_CurWeek,3,1)),""))</f>
        <v/>
      </c>
      <c r="AB38" s="66" t="str">
        <f aca="false">IF(OR($D38="",$E38=""),"",IF(AND(AB$5&gt;=$D38,AB$5&lt;=$E38),IF(AB$5-$D38+1&lt;=ROUND(($E38-$D38+1)*$F38,0),2,IF(AB$5&lt;CFG_CurWeek,3,1)),""))</f>
        <v/>
      </c>
      <c r="AC38" s="66" t="str">
        <f aca="false">IF(OR($D38="",$E38=""),"",IF(AND(AC$5&gt;=$D38,AC$5&lt;=$E38),IF(AC$5-$D38+1&lt;=ROUND(($E38-$D38+1)*$F38,0),2,IF(AC$5&lt;CFG_CurWeek,3,1)),""))</f>
        <v/>
      </c>
      <c r="AD38" s="66" t="str">
        <f aca="false">IF(OR($D38="",$E38=""),"",IF(AND(AD$5&gt;=$D38,AD$5&lt;=$E38),IF(AD$5-$D38+1&lt;=ROUND(($E38-$D38+1)*$F38,0),2,IF(AD$5&lt;CFG_CurWeek,3,1)),""))</f>
        <v/>
      </c>
      <c r="AE38" s="66" t="str">
        <f aca="false">IF(OR($D38="",$E38=""),"",IF(AND(AE$5&gt;=$D38,AE$5&lt;=$E38),IF(AE$5-$D38+1&lt;=ROUND(($E38-$D38+1)*$F38,0),2,IF(AE$5&lt;CFG_CurWeek,3,1)),""))</f>
        <v/>
      </c>
      <c r="AF38" s="66" t="str">
        <f aca="false">IF(OR($D38="",$E38=""),"",IF(AND(AF$5&gt;=$D38,AF$5&lt;=$E38),IF(AF$5-$D38+1&lt;=ROUND(($E38-$D38+1)*$F38,0),2,IF(AF$5&lt;CFG_CurWeek,3,1)),""))</f>
        <v/>
      </c>
      <c r="AG38" s="66" t="str">
        <f aca="false">IF(OR($D38="",$E38=""),"",IF(AND(AG$5&gt;=$D38,AG$5&lt;=$E38),IF(AG$5-$D38+1&lt;=ROUND(($E38-$D38+1)*$F38,0),2,IF(AG$5&lt;CFG_CurWeek,3,1)),""))</f>
        <v/>
      </c>
      <c r="AH38" s="66" t="str">
        <f aca="false">IF(OR($D38="",$E38=""),"",IF(AND(AH$5&gt;=$D38,AH$5&lt;=$E38),IF(AH$5-$D38+1&lt;=ROUND(($E38-$D38+1)*$F38,0),2,IF(AH$5&lt;CFG_CurWeek,3,1)),""))</f>
        <v/>
      </c>
      <c r="AI38" s="66" t="str">
        <f aca="false">IF(OR($D38="",$E38=""),"",IF(AND(AI$5&gt;=$D38,AI$5&lt;=$E38),IF(AI$5-$D38+1&lt;=ROUND(($E38-$D38+1)*$F38,0),2,IF(AI$5&lt;CFG_CurWeek,3,1)),""))</f>
        <v/>
      </c>
      <c r="AJ38" s="66" t="str">
        <f aca="false">IF(OR($D38="",$E38=""),"",IF(AND(AJ$5&gt;=$D38,AJ$5&lt;=$E38),IF(AJ$5-$D38+1&lt;=ROUND(($E38-$D38+1)*$F38,0),2,IF(AJ$5&lt;CFG_CurWeek,3,1)),""))</f>
        <v/>
      </c>
      <c r="AK38" s="66" t="str">
        <f aca="false">IF(OR($D38="",$E38=""),"",IF(AND(AK$5&gt;=$D38,AK$5&lt;=$E38),IF(AK$5-$D38+1&lt;=ROUND(($E38-$D38+1)*$F38,0),2,IF(AK$5&lt;CFG_CurWeek,3,1)),""))</f>
        <v/>
      </c>
      <c r="AL38" s="66" t="str">
        <f aca="false">IF(OR($D38="",$E38=""),"",IF(AND(AL$5&gt;=$D38,AL$5&lt;=$E38),IF(AL$5-$D38+1&lt;=ROUND(($E38-$D38+1)*$F38,0),2,IF(AL$5&lt;CFG_CurWeek,3,1)),""))</f>
        <v/>
      </c>
      <c r="AM38" s="66" t="str">
        <f aca="false">IF(OR($D38="",$E38=""),"",IF(AND(AM$5&gt;=$D38,AM$5&lt;=$E38),IF(AM$5-$D38+1&lt;=ROUND(($E38-$D38+1)*$F38,0),2,IF(AM$5&lt;CFG_CurWeek,3,1)),""))</f>
        <v/>
      </c>
      <c r="AN38" s="66" t="str">
        <f aca="false">IF(OR($D38="",$E38=""),"",IF(AND(AN$5&gt;=$D38,AN$5&lt;=$E38),IF(AN$5-$D38+1&lt;=ROUND(($E38-$D38+1)*$F38,0),2,IF(AN$5&lt;CFG_CurWeek,3,1)),""))</f>
        <v/>
      </c>
      <c r="AO38" s="66" t="str">
        <f aca="false">IF(OR($D38="",$E38=""),"",IF(AND(AO$5&gt;=$D38,AO$5&lt;=$E38),IF(AO$5-$D38+1&lt;=ROUND(($E38-$D38+1)*$F38,0),2,IF(AO$5&lt;CFG_CurWeek,3,1)),""))</f>
        <v/>
      </c>
    </row>
    <row r="39" customFormat="false" ht="15" hidden="false" customHeight="false" outlineLevel="0" collapsed="false">
      <c r="A39" s="63" t="str">
        <f aca="false">IF('01_WBS &amp; Master Plan'!A36="","",'01_WBS &amp; Master Plan'!A36)</f>
        <v>4.5</v>
      </c>
      <c r="B39" s="64" t="str">
        <f aca="false">IF('01_WBS &amp; Master Plan'!D36="","",'01_WBS &amp; Master Plan'!D36)</f>
        <v>Frontend gọi API thật bằng TanStack Query thay cho mock</v>
      </c>
      <c r="C39" s="63" t="str">
        <f aca="false">IF('01_WBS &amp; Master Plan'!E36="","",'01_WBS &amp; Master Plan'!E36)</f>
        <v>Nhật</v>
      </c>
      <c r="D39" s="63" t="n">
        <f aca="false">IF('01_WBS &amp; Master Plan'!H36="","",'01_WBS &amp; Master Plan'!H36)</f>
        <v>16</v>
      </c>
      <c r="E39" s="63" t="n">
        <f aca="false">IF('01_WBS &amp; Master Plan'!I36="","",'01_WBS &amp; Master Plan'!I36)</f>
        <v>16</v>
      </c>
      <c r="F39" s="65" t="n">
        <f aca="false">IF(B39="","",IF('01_WBS &amp; Master Plan'!K36="Done",1,IF('01_WBS &amp; Master Plan'!L36="",0,'01_WBS &amp; Master Plan'!L36)))</f>
        <v>0</v>
      </c>
      <c r="G39" s="63" t="str">
        <f aca="false">IF('01_WBS &amp; Master Plan'!K36="","",'01_WBS &amp; Master Plan'!K36)</f>
        <v>To Do</v>
      </c>
      <c r="H39" s="66" t="str">
        <f aca="false">IF(OR($D39="",$E39=""),"",IF(AND(H$5&gt;=$D39,H$5&lt;=$E39),IF(H$5-$D39+1&lt;=ROUND(($E39-$D39+1)*$F39,0),2,IF(H$5&lt;CFG_CurWeek,3,1)),""))</f>
        <v/>
      </c>
      <c r="I39" s="66" t="str">
        <f aca="false">IF(OR($D39="",$E39=""),"",IF(AND(I$5&gt;=$D39,I$5&lt;=$E39),IF(I$5-$D39+1&lt;=ROUND(($E39-$D39+1)*$F39,0),2,IF(I$5&lt;CFG_CurWeek,3,1)),""))</f>
        <v/>
      </c>
      <c r="J39" s="66" t="str">
        <f aca="false">IF(OR($D39="",$E39=""),"",IF(AND(J$5&gt;=$D39,J$5&lt;=$E39),IF(J$5-$D39+1&lt;=ROUND(($E39-$D39+1)*$F39,0),2,IF(J$5&lt;CFG_CurWeek,3,1)),""))</f>
        <v/>
      </c>
      <c r="K39" s="66" t="str">
        <f aca="false">IF(OR($D39="",$E39=""),"",IF(AND(K$5&gt;=$D39,K$5&lt;=$E39),IF(K$5-$D39+1&lt;=ROUND(($E39-$D39+1)*$F39,0),2,IF(K$5&lt;CFG_CurWeek,3,1)),""))</f>
        <v/>
      </c>
      <c r="L39" s="66" t="str">
        <f aca="false">IF(OR($D39="",$E39=""),"",IF(AND(L$5&gt;=$D39,L$5&lt;=$E39),IF(L$5-$D39+1&lt;=ROUND(($E39-$D39+1)*$F39,0),2,IF(L$5&lt;CFG_CurWeek,3,1)),""))</f>
        <v/>
      </c>
      <c r="M39" s="66" t="str">
        <f aca="false">IF(OR($D39="",$E39=""),"",IF(AND(M$5&gt;=$D39,M$5&lt;=$E39),IF(M$5-$D39+1&lt;=ROUND(($E39-$D39+1)*$F39,0),2,IF(M$5&lt;CFG_CurWeek,3,1)),""))</f>
        <v/>
      </c>
      <c r="N39" s="66" t="str">
        <f aca="false">IF(OR($D39="",$E39=""),"",IF(AND(N$5&gt;=$D39,N$5&lt;=$E39),IF(N$5-$D39+1&lt;=ROUND(($E39-$D39+1)*$F39,0),2,IF(N$5&lt;CFG_CurWeek,3,1)),""))</f>
        <v/>
      </c>
      <c r="O39" s="66" t="str">
        <f aca="false">IF(OR($D39="",$E39=""),"",IF(AND(O$5&gt;=$D39,O$5&lt;=$E39),IF(O$5-$D39+1&lt;=ROUND(($E39-$D39+1)*$F39,0),2,IF(O$5&lt;CFG_CurWeek,3,1)),""))</f>
        <v/>
      </c>
      <c r="P39" s="66" t="str">
        <f aca="false">IF(OR($D39="",$E39=""),"",IF(AND(P$5&gt;=$D39,P$5&lt;=$E39),IF(P$5-$D39+1&lt;=ROUND(($E39-$D39+1)*$F39,0),2,IF(P$5&lt;CFG_CurWeek,3,1)),""))</f>
        <v/>
      </c>
      <c r="Q39" s="66" t="str">
        <f aca="false">IF(OR($D39="",$E39=""),"",IF(AND(Q$5&gt;=$D39,Q$5&lt;=$E39),IF(Q$5-$D39+1&lt;=ROUND(($E39-$D39+1)*$F39,0),2,IF(Q$5&lt;CFG_CurWeek,3,1)),""))</f>
        <v/>
      </c>
      <c r="R39" s="66" t="str">
        <f aca="false">IF(OR($D39="",$E39=""),"",IF(AND(R$5&gt;=$D39,R$5&lt;=$E39),IF(R$5-$D39+1&lt;=ROUND(($E39-$D39+1)*$F39,0),2,IF(R$5&lt;CFG_CurWeek,3,1)),""))</f>
        <v/>
      </c>
      <c r="S39" s="66" t="str">
        <f aca="false">IF(OR($D39="",$E39=""),"",IF(AND(S$5&gt;=$D39,S$5&lt;=$E39),IF(S$5-$D39+1&lt;=ROUND(($E39-$D39+1)*$F39,0),2,IF(S$5&lt;CFG_CurWeek,3,1)),""))</f>
        <v/>
      </c>
      <c r="T39" s="66" t="str">
        <f aca="false">IF(OR($D39="",$E39=""),"",IF(AND(T$5&gt;=$D39,T$5&lt;=$E39),IF(T$5-$D39+1&lt;=ROUND(($E39-$D39+1)*$F39,0),2,IF(T$5&lt;CFG_CurWeek,3,1)),""))</f>
        <v/>
      </c>
      <c r="U39" s="66" t="str">
        <f aca="false">IF(OR($D39="",$E39=""),"",IF(AND(U$5&gt;=$D39,U$5&lt;=$E39),IF(U$5-$D39+1&lt;=ROUND(($E39-$D39+1)*$F39,0),2,IF(U$5&lt;CFG_CurWeek,3,1)),""))</f>
        <v/>
      </c>
      <c r="V39" s="66" t="str">
        <f aca="false">IF(OR($D39="",$E39=""),"",IF(AND(V$5&gt;=$D39,V$5&lt;=$E39),IF(V$5-$D39+1&lt;=ROUND(($E39-$D39+1)*$F39,0),2,IF(V$5&lt;CFG_CurWeek,3,1)),""))</f>
        <v/>
      </c>
      <c r="W39" s="66" t="n">
        <f aca="false">IF(OR($D39="",$E39=""),"",IF(AND(W$5&gt;=$D39,W$5&lt;=$E39),IF(W$5-$D39+1&lt;=ROUND(($E39-$D39+1)*$F39,0),2,IF(W$5&lt;CFG_CurWeek,3,1)),""))</f>
        <v>1</v>
      </c>
      <c r="X39" s="66" t="str">
        <f aca="false">IF(OR($D39="",$E39=""),"",IF(AND(X$5&gt;=$D39,X$5&lt;=$E39),IF(X$5-$D39+1&lt;=ROUND(($E39-$D39+1)*$F39,0),2,IF(X$5&lt;CFG_CurWeek,3,1)),""))</f>
        <v/>
      </c>
      <c r="Y39" s="66" t="str">
        <f aca="false">IF(OR($D39="",$E39=""),"",IF(AND(Y$5&gt;=$D39,Y$5&lt;=$E39),IF(Y$5-$D39+1&lt;=ROUND(($E39-$D39+1)*$F39,0),2,IF(Y$5&lt;CFG_CurWeek,3,1)),""))</f>
        <v/>
      </c>
      <c r="Z39" s="66" t="str">
        <f aca="false">IF(OR($D39="",$E39=""),"",IF(AND(Z$5&gt;=$D39,Z$5&lt;=$E39),IF(Z$5-$D39+1&lt;=ROUND(($E39-$D39+1)*$F39,0),2,IF(Z$5&lt;CFG_CurWeek,3,1)),""))</f>
        <v/>
      </c>
      <c r="AA39" s="66" t="str">
        <f aca="false">IF(OR($D39="",$E39=""),"",IF(AND(AA$5&gt;=$D39,AA$5&lt;=$E39),IF(AA$5-$D39+1&lt;=ROUND(($E39-$D39+1)*$F39,0),2,IF(AA$5&lt;CFG_CurWeek,3,1)),""))</f>
        <v/>
      </c>
      <c r="AB39" s="66" t="str">
        <f aca="false">IF(OR($D39="",$E39=""),"",IF(AND(AB$5&gt;=$D39,AB$5&lt;=$E39),IF(AB$5-$D39+1&lt;=ROUND(($E39-$D39+1)*$F39,0),2,IF(AB$5&lt;CFG_CurWeek,3,1)),""))</f>
        <v/>
      </c>
      <c r="AC39" s="66" t="str">
        <f aca="false">IF(OR($D39="",$E39=""),"",IF(AND(AC$5&gt;=$D39,AC$5&lt;=$E39),IF(AC$5-$D39+1&lt;=ROUND(($E39-$D39+1)*$F39,0),2,IF(AC$5&lt;CFG_CurWeek,3,1)),""))</f>
        <v/>
      </c>
      <c r="AD39" s="66" t="str">
        <f aca="false">IF(OR($D39="",$E39=""),"",IF(AND(AD$5&gt;=$D39,AD$5&lt;=$E39),IF(AD$5-$D39+1&lt;=ROUND(($E39-$D39+1)*$F39,0),2,IF(AD$5&lt;CFG_CurWeek,3,1)),""))</f>
        <v/>
      </c>
      <c r="AE39" s="66" t="str">
        <f aca="false">IF(OR($D39="",$E39=""),"",IF(AND(AE$5&gt;=$D39,AE$5&lt;=$E39),IF(AE$5-$D39+1&lt;=ROUND(($E39-$D39+1)*$F39,0),2,IF(AE$5&lt;CFG_CurWeek,3,1)),""))</f>
        <v/>
      </c>
      <c r="AF39" s="66" t="str">
        <f aca="false">IF(OR($D39="",$E39=""),"",IF(AND(AF$5&gt;=$D39,AF$5&lt;=$E39),IF(AF$5-$D39+1&lt;=ROUND(($E39-$D39+1)*$F39,0),2,IF(AF$5&lt;CFG_CurWeek,3,1)),""))</f>
        <v/>
      </c>
      <c r="AG39" s="66" t="str">
        <f aca="false">IF(OR($D39="",$E39=""),"",IF(AND(AG$5&gt;=$D39,AG$5&lt;=$E39),IF(AG$5-$D39+1&lt;=ROUND(($E39-$D39+1)*$F39,0),2,IF(AG$5&lt;CFG_CurWeek,3,1)),""))</f>
        <v/>
      </c>
      <c r="AH39" s="66" t="str">
        <f aca="false">IF(OR($D39="",$E39=""),"",IF(AND(AH$5&gt;=$D39,AH$5&lt;=$E39),IF(AH$5-$D39+1&lt;=ROUND(($E39-$D39+1)*$F39,0),2,IF(AH$5&lt;CFG_CurWeek,3,1)),""))</f>
        <v/>
      </c>
      <c r="AI39" s="66" t="str">
        <f aca="false">IF(OR($D39="",$E39=""),"",IF(AND(AI$5&gt;=$D39,AI$5&lt;=$E39),IF(AI$5-$D39+1&lt;=ROUND(($E39-$D39+1)*$F39,0),2,IF(AI$5&lt;CFG_CurWeek,3,1)),""))</f>
        <v/>
      </c>
      <c r="AJ39" s="66" t="str">
        <f aca="false">IF(OR($D39="",$E39=""),"",IF(AND(AJ$5&gt;=$D39,AJ$5&lt;=$E39),IF(AJ$5-$D39+1&lt;=ROUND(($E39-$D39+1)*$F39,0),2,IF(AJ$5&lt;CFG_CurWeek,3,1)),""))</f>
        <v/>
      </c>
      <c r="AK39" s="66" t="str">
        <f aca="false">IF(OR($D39="",$E39=""),"",IF(AND(AK$5&gt;=$D39,AK$5&lt;=$E39),IF(AK$5-$D39+1&lt;=ROUND(($E39-$D39+1)*$F39,0),2,IF(AK$5&lt;CFG_CurWeek,3,1)),""))</f>
        <v/>
      </c>
      <c r="AL39" s="66" t="str">
        <f aca="false">IF(OR($D39="",$E39=""),"",IF(AND(AL$5&gt;=$D39,AL$5&lt;=$E39),IF(AL$5-$D39+1&lt;=ROUND(($E39-$D39+1)*$F39,0),2,IF(AL$5&lt;CFG_CurWeek,3,1)),""))</f>
        <v/>
      </c>
      <c r="AM39" s="66" t="str">
        <f aca="false">IF(OR($D39="",$E39=""),"",IF(AND(AM$5&gt;=$D39,AM$5&lt;=$E39),IF(AM$5-$D39+1&lt;=ROUND(($E39-$D39+1)*$F39,0),2,IF(AM$5&lt;CFG_CurWeek,3,1)),""))</f>
        <v/>
      </c>
      <c r="AN39" s="66" t="str">
        <f aca="false">IF(OR($D39="",$E39=""),"",IF(AND(AN$5&gt;=$D39,AN$5&lt;=$E39),IF(AN$5-$D39+1&lt;=ROUND(($E39-$D39+1)*$F39,0),2,IF(AN$5&lt;CFG_CurWeek,3,1)),""))</f>
        <v/>
      </c>
      <c r="AO39" s="66" t="str">
        <f aca="false">IF(OR($D39="",$E39=""),"",IF(AND(AO$5&gt;=$D39,AO$5&lt;=$E39),IF(AO$5-$D39+1&lt;=ROUND(($E39-$D39+1)*$F39,0),2,IF(AO$5&lt;CFG_CurWeek,3,1)),""))</f>
        <v/>
      </c>
    </row>
    <row r="40" customFormat="false" ht="15" hidden="false" customHeight="false" outlineLevel="0" collapsed="false">
      <c r="A40" s="63" t="str">
        <f aca="false">IF('01_WBS &amp; Master Plan'!A37="","",'01_WBS &amp; Master Plan'!A37)</f>
        <v>4.6</v>
      </c>
      <c r="B40" s="64" t="str">
        <f aca="false">IF('01_WBS &amp; Master Plan'!D37="","",'01_WBS &amp; Master Plan'!D37)</f>
        <v>Chuẩn hóa API contract: {data, message, pagination}, mã lỗi, tài liệu endpoint</v>
      </c>
      <c r="C40" s="63" t="str">
        <f aca="false">IF('01_WBS &amp; Master Plan'!E37="","",'01_WBS &amp; Master Plan'!E37)</f>
        <v>Nhật</v>
      </c>
      <c r="D40" s="63" t="n">
        <f aca="false">IF('01_WBS &amp; Master Plan'!H37="","",'01_WBS &amp; Master Plan'!H37)</f>
        <v>16</v>
      </c>
      <c r="E40" s="63" t="n">
        <f aca="false">IF('01_WBS &amp; Master Plan'!I37="","",'01_WBS &amp; Master Plan'!I37)</f>
        <v>17</v>
      </c>
      <c r="F40" s="65" t="n">
        <f aca="false">IF(B40="","",IF('01_WBS &amp; Master Plan'!K37="Done",1,IF('01_WBS &amp; Master Plan'!L37="",0,'01_WBS &amp; Master Plan'!L37)))</f>
        <v>0</v>
      </c>
      <c r="G40" s="63" t="str">
        <f aca="false">IF('01_WBS &amp; Master Plan'!K37="","",'01_WBS &amp; Master Plan'!K37)</f>
        <v>To Do</v>
      </c>
      <c r="H40" s="66" t="str">
        <f aca="false">IF(OR($D40="",$E40=""),"",IF(AND(H$5&gt;=$D40,H$5&lt;=$E40),IF(H$5-$D40+1&lt;=ROUND(($E40-$D40+1)*$F40,0),2,IF(H$5&lt;CFG_CurWeek,3,1)),""))</f>
        <v/>
      </c>
      <c r="I40" s="66" t="str">
        <f aca="false">IF(OR($D40="",$E40=""),"",IF(AND(I$5&gt;=$D40,I$5&lt;=$E40),IF(I$5-$D40+1&lt;=ROUND(($E40-$D40+1)*$F40,0),2,IF(I$5&lt;CFG_CurWeek,3,1)),""))</f>
        <v/>
      </c>
      <c r="J40" s="66" t="str">
        <f aca="false">IF(OR($D40="",$E40=""),"",IF(AND(J$5&gt;=$D40,J$5&lt;=$E40),IF(J$5-$D40+1&lt;=ROUND(($E40-$D40+1)*$F40,0),2,IF(J$5&lt;CFG_CurWeek,3,1)),""))</f>
        <v/>
      </c>
      <c r="K40" s="66" t="str">
        <f aca="false">IF(OR($D40="",$E40=""),"",IF(AND(K$5&gt;=$D40,K$5&lt;=$E40),IF(K$5-$D40+1&lt;=ROUND(($E40-$D40+1)*$F40,0),2,IF(K$5&lt;CFG_CurWeek,3,1)),""))</f>
        <v/>
      </c>
      <c r="L40" s="66" t="str">
        <f aca="false">IF(OR($D40="",$E40=""),"",IF(AND(L$5&gt;=$D40,L$5&lt;=$E40),IF(L$5-$D40+1&lt;=ROUND(($E40-$D40+1)*$F40,0),2,IF(L$5&lt;CFG_CurWeek,3,1)),""))</f>
        <v/>
      </c>
      <c r="M40" s="66" t="str">
        <f aca="false">IF(OR($D40="",$E40=""),"",IF(AND(M$5&gt;=$D40,M$5&lt;=$E40),IF(M$5-$D40+1&lt;=ROUND(($E40-$D40+1)*$F40,0),2,IF(M$5&lt;CFG_CurWeek,3,1)),""))</f>
        <v/>
      </c>
      <c r="N40" s="66" t="str">
        <f aca="false">IF(OR($D40="",$E40=""),"",IF(AND(N$5&gt;=$D40,N$5&lt;=$E40),IF(N$5-$D40+1&lt;=ROUND(($E40-$D40+1)*$F40,0),2,IF(N$5&lt;CFG_CurWeek,3,1)),""))</f>
        <v/>
      </c>
      <c r="O40" s="66" t="str">
        <f aca="false">IF(OR($D40="",$E40=""),"",IF(AND(O$5&gt;=$D40,O$5&lt;=$E40),IF(O$5-$D40+1&lt;=ROUND(($E40-$D40+1)*$F40,0),2,IF(O$5&lt;CFG_CurWeek,3,1)),""))</f>
        <v/>
      </c>
      <c r="P40" s="66" t="str">
        <f aca="false">IF(OR($D40="",$E40=""),"",IF(AND(P$5&gt;=$D40,P$5&lt;=$E40),IF(P$5-$D40+1&lt;=ROUND(($E40-$D40+1)*$F40,0),2,IF(P$5&lt;CFG_CurWeek,3,1)),""))</f>
        <v/>
      </c>
      <c r="Q40" s="66" t="str">
        <f aca="false">IF(OR($D40="",$E40=""),"",IF(AND(Q$5&gt;=$D40,Q$5&lt;=$E40),IF(Q$5-$D40+1&lt;=ROUND(($E40-$D40+1)*$F40,0),2,IF(Q$5&lt;CFG_CurWeek,3,1)),""))</f>
        <v/>
      </c>
      <c r="R40" s="66" t="str">
        <f aca="false">IF(OR($D40="",$E40=""),"",IF(AND(R$5&gt;=$D40,R$5&lt;=$E40),IF(R$5-$D40+1&lt;=ROUND(($E40-$D40+1)*$F40,0),2,IF(R$5&lt;CFG_CurWeek,3,1)),""))</f>
        <v/>
      </c>
      <c r="S40" s="66" t="str">
        <f aca="false">IF(OR($D40="",$E40=""),"",IF(AND(S$5&gt;=$D40,S$5&lt;=$E40),IF(S$5-$D40+1&lt;=ROUND(($E40-$D40+1)*$F40,0),2,IF(S$5&lt;CFG_CurWeek,3,1)),""))</f>
        <v/>
      </c>
      <c r="T40" s="66" t="str">
        <f aca="false">IF(OR($D40="",$E40=""),"",IF(AND(T$5&gt;=$D40,T$5&lt;=$E40),IF(T$5-$D40+1&lt;=ROUND(($E40-$D40+1)*$F40,0),2,IF(T$5&lt;CFG_CurWeek,3,1)),""))</f>
        <v/>
      </c>
      <c r="U40" s="66" t="str">
        <f aca="false">IF(OR($D40="",$E40=""),"",IF(AND(U$5&gt;=$D40,U$5&lt;=$E40),IF(U$5-$D40+1&lt;=ROUND(($E40-$D40+1)*$F40,0),2,IF(U$5&lt;CFG_CurWeek,3,1)),""))</f>
        <v/>
      </c>
      <c r="V40" s="66" t="str">
        <f aca="false">IF(OR($D40="",$E40=""),"",IF(AND(V$5&gt;=$D40,V$5&lt;=$E40),IF(V$5-$D40+1&lt;=ROUND(($E40-$D40+1)*$F40,0),2,IF(V$5&lt;CFG_CurWeek,3,1)),""))</f>
        <v/>
      </c>
      <c r="W40" s="66" t="n">
        <f aca="false">IF(OR($D40="",$E40=""),"",IF(AND(W$5&gt;=$D40,W$5&lt;=$E40),IF(W$5-$D40+1&lt;=ROUND(($E40-$D40+1)*$F40,0),2,IF(W$5&lt;CFG_CurWeek,3,1)),""))</f>
        <v>1</v>
      </c>
      <c r="X40" s="66" t="n">
        <f aca="false">IF(OR($D40="",$E40=""),"",IF(AND(X$5&gt;=$D40,X$5&lt;=$E40),IF(X$5-$D40+1&lt;=ROUND(($E40-$D40+1)*$F40,0),2,IF(X$5&lt;CFG_CurWeek,3,1)),""))</f>
        <v>1</v>
      </c>
      <c r="Y40" s="66" t="str">
        <f aca="false">IF(OR($D40="",$E40=""),"",IF(AND(Y$5&gt;=$D40,Y$5&lt;=$E40),IF(Y$5-$D40+1&lt;=ROUND(($E40-$D40+1)*$F40,0),2,IF(Y$5&lt;CFG_CurWeek,3,1)),""))</f>
        <v/>
      </c>
      <c r="Z40" s="66" t="str">
        <f aca="false">IF(OR($D40="",$E40=""),"",IF(AND(Z$5&gt;=$D40,Z$5&lt;=$E40),IF(Z$5-$D40+1&lt;=ROUND(($E40-$D40+1)*$F40,0),2,IF(Z$5&lt;CFG_CurWeek,3,1)),""))</f>
        <v/>
      </c>
      <c r="AA40" s="66" t="str">
        <f aca="false">IF(OR($D40="",$E40=""),"",IF(AND(AA$5&gt;=$D40,AA$5&lt;=$E40),IF(AA$5-$D40+1&lt;=ROUND(($E40-$D40+1)*$F40,0),2,IF(AA$5&lt;CFG_CurWeek,3,1)),""))</f>
        <v/>
      </c>
      <c r="AB40" s="66" t="str">
        <f aca="false">IF(OR($D40="",$E40=""),"",IF(AND(AB$5&gt;=$D40,AB$5&lt;=$E40),IF(AB$5-$D40+1&lt;=ROUND(($E40-$D40+1)*$F40,0),2,IF(AB$5&lt;CFG_CurWeek,3,1)),""))</f>
        <v/>
      </c>
      <c r="AC40" s="66" t="str">
        <f aca="false">IF(OR($D40="",$E40=""),"",IF(AND(AC$5&gt;=$D40,AC$5&lt;=$E40),IF(AC$5-$D40+1&lt;=ROUND(($E40-$D40+1)*$F40,0),2,IF(AC$5&lt;CFG_CurWeek,3,1)),""))</f>
        <v/>
      </c>
      <c r="AD40" s="66" t="str">
        <f aca="false">IF(OR($D40="",$E40=""),"",IF(AND(AD$5&gt;=$D40,AD$5&lt;=$E40),IF(AD$5-$D40+1&lt;=ROUND(($E40-$D40+1)*$F40,0),2,IF(AD$5&lt;CFG_CurWeek,3,1)),""))</f>
        <v/>
      </c>
      <c r="AE40" s="66" t="str">
        <f aca="false">IF(OR($D40="",$E40=""),"",IF(AND(AE$5&gt;=$D40,AE$5&lt;=$E40),IF(AE$5-$D40+1&lt;=ROUND(($E40-$D40+1)*$F40,0),2,IF(AE$5&lt;CFG_CurWeek,3,1)),""))</f>
        <v/>
      </c>
      <c r="AF40" s="66" t="str">
        <f aca="false">IF(OR($D40="",$E40=""),"",IF(AND(AF$5&gt;=$D40,AF$5&lt;=$E40),IF(AF$5-$D40+1&lt;=ROUND(($E40-$D40+1)*$F40,0),2,IF(AF$5&lt;CFG_CurWeek,3,1)),""))</f>
        <v/>
      </c>
      <c r="AG40" s="66" t="str">
        <f aca="false">IF(OR($D40="",$E40=""),"",IF(AND(AG$5&gt;=$D40,AG$5&lt;=$E40),IF(AG$5-$D40+1&lt;=ROUND(($E40-$D40+1)*$F40,0),2,IF(AG$5&lt;CFG_CurWeek,3,1)),""))</f>
        <v/>
      </c>
      <c r="AH40" s="66" t="str">
        <f aca="false">IF(OR($D40="",$E40=""),"",IF(AND(AH$5&gt;=$D40,AH$5&lt;=$E40),IF(AH$5-$D40+1&lt;=ROUND(($E40-$D40+1)*$F40,0),2,IF(AH$5&lt;CFG_CurWeek,3,1)),""))</f>
        <v/>
      </c>
      <c r="AI40" s="66" t="str">
        <f aca="false">IF(OR($D40="",$E40=""),"",IF(AND(AI$5&gt;=$D40,AI$5&lt;=$E40),IF(AI$5-$D40+1&lt;=ROUND(($E40-$D40+1)*$F40,0),2,IF(AI$5&lt;CFG_CurWeek,3,1)),""))</f>
        <v/>
      </c>
      <c r="AJ40" s="66" t="str">
        <f aca="false">IF(OR($D40="",$E40=""),"",IF(AND(AJ$5&gt;=$D40,AJ$5&lt;=$E40),IF(AJ$5-$D40+1&lt;=ROUND(($E40-$D40+1)*$F40,0),2,IF(AJ$5&lt;CFG_CurWeek,3,1)),""))</f>
        <v/>
      </c>
      <c r="AK40" s="66" t="str">
        <f aca="false">IF(OR($D40="",$E40=""),"",IF(AND(AK$5&gt;=$D40,AK$5&lt;=$E40),IF(AK$5-$D40+1&lt;=ROUND(($E40-$D40+1)*$F40,0),2,IF(AK$5&lt;CFG_CurWeek,3,1)),""))</f>
        <v/>
      </c>
      <c r="AL40" s="66" t="str">
        <f aca="false">IF(OR($D40="",$E40=""),"",IF(AND(AL$5&gt;=$D40,AL$5&lt;=$E40),IF(AL$5-$D40+1&lt;=ROUND(($E40-$D40+1)*$F40,0),2,IF(AL$5&lt;CFG_CurWeek,3,1)),""))</f>
        <v/>
      </c>
      <c r="AM40" s="66" t="str">
        <f aca="false">IF(OR($D40="",$E40=""),"",IF(AND(AM$5&gt;=$D40,AM$5&lt;=$E40),IF(AM$5-$D40+1&lt;=ROUND(($E40-$D40+1)*$F40,0),2,IF(AM$5&lt;CFG_CurWeek,3,1)),""))</f>
        <v/>
      </c>
      <c r="AN40" s="66" t="str">
        <f aca="false">IF(OR($D40="",$E40=""),"",IF(AND(AN$5&gt;=$D40,AN$5&lt;=$E40),IF(AN$5-$D40+1&lt;=ROUND(($E40-$D40+1)*$F40,0),2,IF(AN$5&lt;CFG_CurWeek,3,1)),""))</f>
        <v/>
      </c>
      <c r="AO40" s="66" t="str">
        <f aca="false">IF(OR($D40="",$E40=""),"",IF(AND(AO$5&gt;=$D40,AO$5&lt;=$E40),IF(AO$5-$D40+1&lt;=ROUND(($E40-$D40+1)*$F40,0),2,IF(AO$5&lt;CFG_CurWeek,3,1)),""))</f>
        <v/>
      </c>
    </row>
    <row r="41" customFormat="false" ht="15" hidden="false" customHeight="false" outlineLevel="0" collapsed="false">
      <c r="A41" s="63" t="str">
        <f aca="false">IF('01_WBS &amp; Master Plan'!A38="","",'01_WBS &amp; Master Plan'!A38)</f>
        <v>4.7</v>
      </c>
      <c r="B41" s="64" t="str">
        <f aca="false">IF('01_WBS &amp; Master Plan'!D38="","",'01_WBS &amp; Master Plan'!D38)</f>
        <v>Kiểm thử API bằng Postman; tua giữa bài trả 206</v>
      </c>
      <c r="C41" s="63" t="str">
        <f aca="false">IF('01_WBS &amp; Master Plan'!E38="","",'01_WBS &amp; Master Plan'!E38)</f>
        <v>Nhật</v>
      </c>
      <c r="D41" s="63" t="n">
        <f aca="false">IF('01_WBS &amp; Master Plan'!H38="","",'01_WBS &amp; Master Plan'!H38)</f>
        <v>17</v>
      </c>
      <c r="E41" s="63" t="n">
        <f aca="false">IF('01_WBS &amp; Master Plan'!I38="","",'01_WBS &amp; Master Plan'!I38)</f>
        <v>17</v>
      </c>
      <c r="F41" s="65" t="n">
        <f aca="false">IF(B41="","",IF('01_WBS &amp; Master Plan'!K38="Done",1,IF('01_WBS &amp; Master Plan'!L38="",0,'01_WBS &amp; Master Plan'!L38)))</f>
        <v>0</v>
      </c>
      <c r="G41" s="63" t="str">
        <f aca="false">IF('01_WBS &amp; Master Plan'!K38="","",'01_WBS &amp; Master Plan'!K38)</f>
        <v>To Do</v>
      </c>
      <c r="H41" s="66" t="str">
        <f aca="false">IF(OR($D41="",$E41=""),"",IF(AND(H$5&gt;=$D41,H$5&lt;=$E41),IF(H$5-$D41+1&lt;=ROUND(($E41-$D41+1)*$F41,0),2,IF(H$5&lt;CFG_CurWeek,3,1)),""))</f>
        <v/>
      </c>
      <c r="I41" s="66" t="str">
        <f aca="false">IF(OR($D41="",$E41=""),"",IF(AND(I$5&gt;=$D41,I$5&lt;=$E41),IF(I$5-$D41+1&lt;=ROUND(($E41-$D41+1)*$F41,0),2,IF(I$5&lt;CFG_CurWeek,3,1)),""))</f>
        <v/>
      </c>
      <c r="J41" s="66" t="str">
        <f aca="false">IF(OR($D41="",$E41=""),"",IF(AND(J$5&gt;=$D41,J$5&lt;=$E41),IF(J$5-$D41+1&lt;=ROUND(($E41-$D41+1)*$F41,0),2,IF(J$5&lt;CFG_CurWeek,3,1)),""))</f>
        <v/>
      </c>
      <c r="K41" s="66" t="str">
        <f aca="false">IF(OR($D41="",$E41=""),"",IF(AND(K$5&gt;=$D41,K$5&lt;=$E41),IF(K$5-$D41+1&lt;=ROUND(($E41-$D41+1)*$F41,0),2,IF(K$5&lt;CFG_CurWeek,3,1)),""))</f>
        <v/>
      </c>
      <c r="L41" s="66" t="str">
        <f aca="false">IF(OR($D41="",$E41=""),"",IF(AND(L$5&gt;=$D41,L$5&lt;=$E41),IF(L$5-$D41+1&lt;=ROUND(($E41-$D41+1)*$F41,0),2,IF(L$5&lt;CFG_CurWeek,3,1)),""))</f>
        <v/>
      </c>
      <c r="M41" s="66" t="str">
        <f aca="false">IF(OR($D41="",$E41=""),"",IF(AND(M$5&gt;=$D41,M$5&lt;=$E41),IF(M$5-$D41+1&lt;=ROUND(($E41-$D41+1)*$F41,0),2,IF(M$5&lt;CFG_CurWeek,3,1)),""))</f>
        <v/>
      </c>
      <c r="N41" s="66" t="str">
        <f aca="false">IF(OR($D41="",$E41=""),"",IF(AND(N$5&gt;=$D41,N$5&lt;=$E41),IF(N$5-$D41+1&lt;=ROUND(($E41-$D41+1)*$F41,0),2,IF(N$5&lt;CFG_CurWeek,3,1)),""))</f>
        <v/>
      </c>
      <c r="O41" s="66" t="str">
        <f aca="false">IF(OR($D41="",$E41=""),"",IF(AND(O$5&gt;=$D41,O$5&lt;=$E41),IF(O$5-$D41+1&lt;=ROUND(($E41-$D41+1)*$F41,0),2,IF(O$5&lt;CFG_CurWeek,3,1)),""))</f>
        <v/>
      </c>
      <c r="P41" s="66" t="str">
        <f aca="false">IF(OR($D41="",$E41=""),"",IF(AND(P$5&gt;=$D41,P$5&lt;=$E41),IF(P$5-$D41+1&lt;=ROUND(($E41-$D41+1)*$F41,0),2,IF(P$5&lt;CFG_CurWeek,3,1)),""))</f>
        <v/>
      </c>
      <c r="Q41" s="66" t="str">
        <f aca="false">IF(OR($D41="",$E41=""),"",IF(AND(Q$5&gt;=$D41,Q$5&lt;=$E41),IF(Q$5-$D41+1&lt;=ROUND(($E41-$D41+1)*$F41,0),2,IF(Q$5&lt;CFG_CurWeek,3,1)),""))</f>
        <v/>
      </c>
      <c r="R41" s="66" t="str">
        <f aca="false">IF(OR($D41="",$E41=""),"",IF(AND(R$5&gt;=$D41,R$5&lt;=$E41),IF(R$5-$D41+1&lt;=ROUND(($E41-$D41+1)*$F41,0),2,IF(R$5&lt;CFG_CurWeek,3,1)),""))</f>
        <v/>
      </c>
      <c r="S41" s="66" t="str">
        <f aca="false">IF(OR($D41="",$E41=""),"",IF(AND(S$5&gt;=$D41,S$5&lt;=$E41),IF(S$5-$D41+1&lt;=ROUND(($E41-$D41+1)*$F41,0),2,IF(S$5&lt;CFG_CurWeek,3,1)),""))</f>
        <v/>
      </c>
      <c r="T41" s="66" t="str">
        <f aca="false">IF(OR($D41="",$E41=""),"",IF(AND(T$5&gt;=$D41,T$5&lt;=$E41),IF(T$5-$D41+1&lt;=ROUND(($E41-$D41+1)*$F41,0),2,IF(T$5&lt;CFG_CurWeek,3,1)),""))</f>
        <v/>
      </c>
      <c r="U41" s="66" t="str">
        <f aca="false">IF(OR($D41="",$E41=""),"",IF(AND(U$5&gt;=$D41,U$5&lt;=$E41),IF(U$5-$D41+1&lt;=ROUND(($E41-$D41+1)*$F41,0),2,IF(U$5&lt;CFG_CurWeek,3,1)),""))</f>
        <v/>
      </c>
      <c r="V41" s="66" t="str">
        <f aca="false">IF(OR($D41="",$E41=""),"",IF(AND(V$5&gt;=$D41,V$5&lt;=$E41),IF(V$5-$D41+1&lt;=ROUND(($E41-$D41+1)*$F41,0),2,IF(V$5&lt;CFG_CurWeek,3,1)),""))</f>
        <v/>
      </c>
      <c r="W41" s="66" t="str">
        <f aca="false">IF(OR($D41="",$E41=""),"",IF(AND(W$5&gt;=$D41,W$5&lt;=$E41),IF(W$5-$D41+1&lt;=ROUND(($E41-$D41+1)*$F41,0),2,IF(W$5&lt;CFG_CurWeek,3,1)),""))</f>
        <v/>
      </c>
      <c r="X41" s="66" t="n">
        <f aca="false">IF(OR($D41="",$E41=""),"",IF(AND(X$5&gt;=$D41,X$5&lt;=$E41),IF(X$5-$D41+1&lt;=ROUND(($E41-$D41+1)*$F41,0),2,IF(X$5&lt;CFG_CurWeek,3,1)),""))</f>
        <v>1</v>
      </c>
      <c r="Y41" s="66" t="str">
        <f aca="false">IF(OR($D41="",$E41=""),"",IF(AND(Y$5&gt;=$D41,Y$5&lt;=$E41),IF(Y$5-$D41+1&lt;=ROUND(($E41-$D41+1)*$F41,0),2,IF(Y$5&lt;CFG_CurWeek,3,1)),""))</f>
        <v/>
      </c>
      <c r="Z41" s="66" t="str">
        <f aca="false">IF(OR($D41="",$E41=""),"",IF(AND(Z$5&gt;=$D41,Z$5&lt;=$E41),IF(Z$5-$D41+1&lt;=ROUND(($E41-$D41+1)*$F41,0),2,IF(Z$5&lt;CFG_CurWeek,3,1)),""))</f>
        <v/>
      </c>
      <c r="AA41" s="66" t="str">
        <f aca="false">IF(OR($D41="",$E41=""),"",IF(AND(AA$5&gt;=$D41,AA$5&lt;=$E41),IF(AA$5-$D41+1&lt;=ROUND(($E41-$D41+1)*$F41,0),2,IF(AA$5&lt;CFG_CurWeek,3,1)),""))</f>
        <v/>
      </c>
      <c r="AB41" s="66" t="str">
        <f aca="false">IF(OR($D41="",$E41=""),"",IF(AND(AB$5&gt;=$D41,AB$5&lt;=$E41),IF(AB$5-$D41+1&lt;=ROUND(($E41-$D41+1)*$F41,0),2,IF(AB$5&lt;CFG_CurWeek,3,1)),""))</f>
        <v/>
      </c>
      <c r="AC41" s="66" t="str">
        <f aca="false">IF(OR($D41="",$E41=""),"",IF(AND(AC$5&gt;=$D41,AC$5&lt;=$E41),IF(AC$5-$D41+1&lt;=ROUND(($E41-$D41+1)*$F41,0),2,IF(AC$5&lt;CFG_CurWeek,3,1)),""))</f>
        <v/>
      </c>
      <c r="AD41" s="66" t="str">
        <f aca="false">IF(OR($D41="",$E41=""),"",IF(AND(AD$5&gt;=$D41,AD$5&lt;=$E41),IF(AD$5-$D41+1&lt;=ROUND(($E41-$D41+1)*$F41,0),2,IF(AD$5&lt;CFG_CurWeek,3,1)),""))</f>
        <v/>
      </c>
      <c r="AE41" s="66" t="str">
        <f aca="false">IF(OR($D41="",$E41=""),"",IF(AND(AE$5&gt;=$D41,AE$5&lt;=$E41),IF(AE$5-$D41+1&lt;=ROUND(($E41-$D41+1)*$F41,0),2,IF(AE$5&lt;CFG_CurWeek,3,1)),""))</f>
        <v/>
      </c>
      <c r="AF41" s="66" t="str">
        <f aca="false">IF(OR($D41="",$E41=""),"",IF(AND(AF$5&gt;=$D41,AF$5&lt;=$E41),IF(AF$5-$D41+1&lt;=ROUND(($E41-$D41+1)*$F41,0),2,IF(AF$5&lt;CFG_CurWeek,3,1)),""))</f>
        <v/>
      </c>
      <c r="AG41" s="66" t="str">
        <f aca="false">IF(OR($D41="",$E41=""),"",IF(AND(AG$5&gt;=$D41,AG$5&lt;=$E41),IF(AG$5-$D41+1&lt;=ROUND(($E41-$D41+1)*$F41,0),2,IF(AG$5&lt;CFG_CurWeek,3,1)),""))</f>
        <v/>
      </c>
      <c r="AH41" s="66" t="str">
        <f aca="false">IF(OR($D41="",$E41=""),"",IF(AND(AH$5&gt;=$D41,AH$5&lt;=$E41),IF(AH$5-$D41+1&lt;=ROUND(($E41-$D41+1)*$F41,0),2,IF(AH$5&lt;CFG_CurWeek,3,1)),""))</f>
        <v/>
      </c>
      <c r="AI41" s="66" t="str">
        <f aca="false">IF(OR($D41="",$E41=""),"",IF(AND(AI$5&gt;=$D41,AI$5&lt;=$E41),IF(AI$5-$D41+1&lt;=ROUND(($E41-$D41+1)*$F41,0),2,IF(AI$5&lt;CFG_CurWeek,3,1)),""))</f>
        <v/>
      </c>
      <c r="AJ41" s="66" t="str">
        <f aca="false">IF(OR($D41="",$E41=""),"",IF(AND(AJ$5&gt;=$D41,AJ$5&lt;=$E41),IF(AJ$5-$D41+1&lt;=ROUND(($E41-$D41+1)*$F41,0),2,IF(AJ$5&lt;CFG_CurWeek,3,1)),""))</f>
        <v/>
      </c>
      <c r="AK41" s="66" t="str">
        <f aca="false">IF(OR($D41="",$E41=""),"",IF(AND(AK$5&gt;=$D41,AK$5&lt;=$E41),IF(AK$5-$D41+1&lt;=ROUND(($E41-$D41+1)*$F41,0),2,IF(AK$5&lt;CFG_CurWeek,3,1)),""))</f>
        <v/>
      </c>
      <c r="AL41" s="66" t="str">
        <f aca="false">IF(OR($D41="",$E41=""),"",IF(AND(AL$5&gt;=$D41,AL$5&lt;=$E41),IF(AL$5-$D41+1&lt;=ROUND(($E41-$D41+1)*$F41,0),2,IF(AL$5&lt;CFG_CurWeek,3,1)),""))</f>
        <v/>
      </c>
      <c r="AM41" s="66" t="str">
        <f aca="false">IF(OR($D41="",$E41=""),"",IF(AND(AM$5&gt;=$D41,AM$5&lt;=$E41),IF(AM$5-$D41+1&lt;=ROUND(($E41-$D41+1)*$F41,0),2,IF(AM$5&lt;CFG_CurWeek,3,1)),""))</f>
        <v/>
      </c>
      <c r="AN41" s="66" t="str">
        <f aca="false">IF(OR($D41="",$E41=""),"",IF(AND(AN$5&gt;=$D41,AN$5&lt;=$E41),IF(AN$5-$D41+1&lt;=ROUND(($E41-$D41+1)*$F41,0),2,IF(AN$5&lt;CFG_CurWeek,3,1)),""))</f>
        <v/>
      </c>
      <c r="AO41" s="66" t="str">
        <f aca="false">IF(OR($D41="",$E41=""),"",IF(AND(AO$5&gt;=$D41,AO$5&lt;=$E41),IF(AO$5-$D41+1&lt;=ROUND(($E41-$D41+1)*$F41,0),2,IF(AO$5&lt;CFG_CurWeek,3,1)),""))</f>
        <v/>
      </c>
    </row>
    <row r="42" customFormat="false" ht="15" hidden="false" customHeight="false" outlineLevel="0" collapsed="false">
      <c r="A42" s="63" t="str">
        <f aca="false">IF('01_WBS &amp; Master Plan'!A39="","",'01_WBS &amp; Master Plan'!A39)</f>
        <v>5.1</v>
      </c>
      <c r="B42" s="64" t="str">
        <f aca="false">IF('01_WBS &amp; Master Plan'!D39="","",'01_WBS &amp; Master Plan'!D39)</f>
        <v>Học SQL: SELECT, JOIN, GROUP BY, khóa chính/ngoại, index</v>
      </c>
      <c r="C42" s="63" t="str">
        <f aca="false">IF('01_WBS &amp; Master Plan'!E39="","",'01_WBS &amp; Master Plan'!E39)</f>
        <v>Nhật</v>
      </c>
      <c r="D42" s="63" t="n">
        <f aca="false">IF('01_WBS &amp; Master Plan'!H39="","",'01_WBS &amp; Master Plan'!H39)</f>
        <v>18</v>
      </c>
      <c r="E42" s="63" t="n">
        <f aca="false">IF('01_WBS &amp; Master Plan'!I39="","",'01_WBS &amp; Master Plan'!I39)</f>
        <v>18</v>
      </c>
      <c r="F42" s="65" t="n">
        <f aca="false">IF(B42="","",IF('01_WBS &amp; Master Plan'!K39="Done",1,IF('01_WBS &amp; Master Plan'!L39="",0,'01_WBS &amp; Master Plan'!L39)))</f>
        <v>0</v>
      </c>
      <c r="G42" s="63" t="str">
        <f aca="false">IF('01_WBS &amp; Master Plan'!K39="","",'01_WBS &amp; Master Plan'!K39)</f>
        <v>To Do</v>
      </c>
      <c r="H42" s="66" t="str">
        <f aca="false">IF(OR($D42="",$E42=""),"",IF(AND(H$5&gt;=$D42,H$5&lt;=$E42),IF(H$5-$D42+1&lt;=ROUND(($E42-$D42+1)*$F42,0),2,IF(H$5&lt;CFG_CurWeek,3,1)),""))</f>
        <v/>
      </c>
      <c r="I42" s="66" t="str">
        <f aca="false">IF(OR($D42="",$E42=""),"",IF(AND(I$5&gt;=$D42,I$5&lt;=$E42),IF(I$5-$D42+1&lt;=ROUND(($E42-$D42+1)*$F42,0),2,IF(I$5&lt;CFG_CurWeek,3,1)),""))</f>
        <v/>
      </c>
      <c r="J42" s="66" t="str">
        <f aca="false">IF(OR($D42="",$E42=""),"",IF(AND(J$5&gt;=$D42,J$5&lt;=$E42),IF(J$5-$D42+1&lt;=ROUND(($E42-$D42+1)*$F42,0),2,IF(J$5&lt;CFG_CurWeek,3,1)),""))</f>
        <v/>
      </c>
      <c r="K42" s="66" t="str">
        <f aca="false">IF(OR($D42="",$E42=""),"",IF(AND(K$5&gt;=$D42,K$5&lt;=$E42),IF(K$5-$D42+1&lt;=ROUND(($E42-$D42+1)*$F42,0),2,IF(K$5&lt;CFG_CurWeek,3,1)),""))</f>
        <v/>
      </c>
      <c r="L42" s="66" t="str">
        <f aca="false">IF(OR($D42="",$E42=""),"",IF(AND(L$5&gt;=$D42,L$5&lt;=$E42),IF(L$5-$D42+1&lt;=ROUND(($E42-$D42+1)*$F42,0),2,IF(L$5&lt;CFG_CurWeek,3,1)),""))</f>
        <v/>
      </c>
      <c r="M42" s="66" t="str">
        <f aca="false">IF(OR($D42="",$E42=""),"",IF(AND(M$5&gt;=$D42,M$5&lt;=$E42),IF(M$5-$D42+1&lt;=ROUND(($E42-$D42+1)*$F42,0),2,IF(M$5&lt;CFG_CurWeek,3,1)),""))</f>
        <v/>
      </c>
      <c r="N42" s="66" t="str">
        <f aca="false">IF(OR($D42="",$E42=""),"",IF(AND(N$5&gt;=$D42,N$5&lt;=$E42),IF(N$5-$D42+1&lt;=ROUND(($E42-$D42+1)*$F42,0),2,IF(N$5&lt;CFG_CurWeek,3,1)),""))</f>
        <v/>
      </c>
      <c r="O42" s="66" t="str">
        <f aca="false">IF(OR($D42="",$E42=""),"",IF(AND(O$5&gt;=$D42,O$5&lt;=$E42),IF(O$5-$D42+1&lt;=ROUND(($E42-$D42+1)*$F42,0),2,IF(O$5&lt;CFG_CurWeek,3,1)),""))</f>
        <v/>
      </c>
      <c r="P42" s="66" t="str">
        <f aca="false">IF(OR($D42="",$E42=""),"",IF(AND(P$5&gt;=$D42,P$5&lt;=$E42),IF(P$5-$D42+1&lt;=ROUND(($E42-$D42+1)*$F42,0),2,IF(P$5&lt;CFG_CurWeek,3,1)),""))</f>
        <v/>
      </c>
      <c r="Q42" s="66" t="str">
        <f aca="false">IF(OR($D42="",$E42=""),"",IF(AND(Q$5&gt;=$D42,Q$5&lt;=$E42),IF(Q$5-$D42+1&lt;=ROUND(($E42-$D42+1)*$F42,0),2,IF(Q$5&lt;CFG_CurWeek,3,1)),""))</f>
        <v/>
      </c>
      <c r="R42" s="66" t="str">
        <f aca="false">IF(OR($D42="",$E42=""),"",IF(AND(R$5&gt;=$D42,R$5&lt;=$E42),IF(R$5-$D42+1&lt;=ROUND(($E42-$D42+1)*$F42,0),2,IF(R$5&lt;CFG_CurWeek,3,1)),""))</f>
        <v/>
      </c>
      <c r="S42" s="66" t="str">
        <f aca="false">IF(OR($D42="",$E42=""),"",IF(AND(S$5&gt;=$D42,S$5&lt;=$E42),IF(S$5-$D42+1&lt;=ROUND(($E42-$D42+1)*$F42,0),2,IF(S$5&lt;CFG_CurWeek,3,1)),""))</f>
        <v/>
      </c>
      <c r="T42" s="66" t="str">
        <f aca="false">IF(OR($D42="",$E42=""),"",IF(AND(T$5&gt;=$D42,T$5&lt;=$E42),IF(T$5-$D42+1&lt;=ROUND(($E42-$D42+1)*$F42,0),2,IF(T$5&lt;CFG_CurWeek,3,1)),""))</f>
        <v/>
      </c>
      <c r="U42" s="66" t="str">
        <f aca="false">IF(OR($D42="",$E42=""),"",IF(AND(U$5&gt;=$D42,U$5&lt;=$E42),IF(U$5-$D42+1&lt;=ROUND(($E42-$D42+1)*$F42,0),2,IF(U$5&lt;CFG_CurWeek,3,1)),""))</f>
        <v/>
      </c>
      <c r="V42" s="66" t="str">
        <f aca="false">IF(OR($D42="",$E42=""),"",IF(AND(V$5&gt;=$D42,V$5&lt;=$E42),IF(V$5-$D42+1&lt;=ROUND(($E42-$D42+1)*$F42,0),2,IF(V$5&lt;CFG_CurWeek,3,1)),""))</f>
        <v/>
      </c>
      <c r="W42" s="66" t="str">
        <f aca="false">IF(OR($D42="",$E42=""),"",IF(AND(W$5&gt;=$D42,W$5&lt;=$E42),IF(W$5-$D42+1&lt;=ROUND(($E42-$D42+1)*$F42,0),2,IF(W$5&lt;CFG_CurWeek,3,1)),""))</f>
        <v/>
      </c>
      <c r="X42" s="66" t="str">
        <f aca="false">IF(OR($D42="",$E42=""),"",IF(AND(X$5&gt;=$D42,X$5&lt;=$E42),IF(X$5-$D42+1&lt;=ROUND(($E42-$D42+1)*$F42,0),2,IF(X$5&lt;CFG_CurWeek,3,1)),""))</f>
        <v/>
      </c>
      <c r="Y42" s="66" t="n">
        <f aca="false">IF(OR($D42="",$E42=""),"",IF(AND(Y$5&gt;=$D42,Y$5&lt;=$E42),IF(Y$5-$D42+1&lt;=ROUND(($E42-$D42+1)*$F42,0),2,IF(Y$5&lt;CFG_CurWeek,3,1)),""))</f>
        <v>1</v>
      </c>
      <c r="Z42" s="66" t="str">
        <f aca="false">IF(OR($D42="",$E42=""),"",IF(AND(Z$5&gt;=$D42,Z$5&lt;=$E42),IF(Z$5-$D42+1&lt;=ROUND(($E42-$D42+1)*$F42,0),2,IF(Z$5&lt;CFG_CurWeek,3,1)),""))</f>
        <v/>
      </c>
      <c r="AA42" s="66" t="str">
        <f aca="false">IF(OR($D42="",$E42=""),"",IF(AND(AA$5&gt;=$D42,AA$5&lt;=$E42),IF(AA$5-$D42+1&lt;=ROUND(($E42-$D42+1)*$F42,0),2,IF(AA$5&lt;CFG_CurWeek,3,1)),""))</f>
        <v/>
      </c>
      <c r="AB42" s="66" t="str">
        <f aca="false">IF(OR($D42="",$E42=""),"",IF(AND(AB$5&gt;=$D42,AB$5&lt;=$E42),IF(AB$5-$D42+1&lt;=ROUND(($E42-$D42+1)*$F42,0),2,IF(AB$5&lt;CFG_CurWeek,3,1)),""))</f>
        <v/>
      </c>
      <c r="AC42" s="66" t="str">
        <f aca="false">IF(OR($D42="",$E42=""),"",IF(AND(AC$5&gt;=$D42,AC$5&lt;=$E42),IF(AC$5-$D42+1&lt;=ROUND(($E42-$D42+1)*$F42,0),2,IF(AC$5&lt;CFG_CurWeek,3,1)),""))</f>
        <v/>
      </c>
      <c r="AD42" s="66" t="str">
        <f aca="false">IF(OR($D42="",$E42=""),"",IF(AND(AD$5&gt;=$D42,AD$5&lt;=$E42),IF(AD$5-$D42+1&lt;=ROUND(($E42-$D42+1)*$F42,0),2,IF(AD$5&lt;CFG_CurWeek,3,1)),""))</f>
        <v/>
      </c>
      <c r="AE42" s="66" t="str">
        <f aca="false">IF(OR($D42="",$E42=""),"",IF(AND(AE$5&gt;=$D42,AE$5&lt;=$E42),IF(AE$5-$D42+1&lt;=ROUND(($E42-$D42+1)*$F42,0),2,IF(AE$5&lt;CFG_CurWeek,3,1)),""))</f>
        <v/>
      </c>
      <c r="AF42" s="66" t="str">
        <f aca="false">IF(OR($D42="",$E42=""),"",IF(AND(AF$5&gt;=$D42,AF$5&lt;=$E42),IF(AF$5-$D42+1&lt;=ROUND(($E42-$D42+1)*$F42,0),2,IF(AF$5&lt;CFG_CurWeek,3,1)),""))</f>
        <v/>
      </c>
      <c r="AG42" s="66" t="str">
        <f aca="false">IF(OR($D42="",$E42=""),"",IF(AND(AG$5&gt;=$D42,AG$5&lt;=$E42),IF(AG$5-$D42+1&lt;=ROUND(($E42-$D42+1)*$F42,0),2,IF(AG$5&lt;CFG_CurWeek,3,1)),""))</f>
        <v/>
      </c>
      <c r="AH42" s="66" t="str">
        <f aca="false">IF(OR($D42="",$E42=""),"",IF(AND(AH$5&gt;=$D42,AH$5&lt;=$E42),IF(AH$5-$D42+1&lt;=ROUND(($E42-$D42+1)*$F42,0),2,IF(AH$5&lt;CFG_CurWeek,3,1)),""))</f>
        <v/>
      </c>
      <c r="AI42" s="66" t="str">
        <f aca="false">IF(OR($D42="",$E42=""),"",IF(AND(AI$5&gt;=$D42,AI$5&lt;=$E42),IF(AI$5-$D42+1&lt;=ROUND(($E42-$D42+1)*$F42,0),2,IF(AI$5&lt;CFG_CurWeek,3,1)),""))</f>
        <v/>
      </c>
      <c r="AJ42" s="66" t="str">
        <f aca="false">IF(OR($D42="",$E42=""),"",IF(AND(AJ$5&gt;=$D42,AJ$5&lt;=$E42),IF(AJ$5-$D42+1&lt;=ROUND(($E42-$D42+1)*$F42,0),2,IF(AJ$5&lt;CFG_CurWeek,3,1)),""))</f>
        <v/>
      </c>
      <c r="AK42" s="66" t="str">
        <f aca="false">IF(OR($D42="",$E42=""),"",IF(AND(AK$5&gt;=$D42,AK$5&lt;=$E42),IF(AK$5-$D42+1&lt;=ROUND(($E42-$D42+1)*$F42,0),2,IF(AK$5&lt;CFG_CurWeek,3,1)),""))</f>
        <v/>
      </c>
      <c r="AL42" s="66" t="str">
        <f aca="false">IF(OR($D42="",$E42=""),"",IF(AND(AL$5&gt;=$D42,AL$5&lt;=$E42),IF(AL$5-$D42+1&lt;=ROUND(($E42-$D42+1)*$F42,0),2,IF(AL$5&lt;CFG_CurWeek,3,1)),""))</f>
        <v/>
      </c>
      <c r="AM42" s="66" t="str">
        <f aca="false">IF(OR($D42="",$E42=""),"",IF(AND(AM$5&gt;=$D42,AM$5&lt;=$E42),IF(AM$5-$D42+1&lt;=ROUND(($E42-$D42+1)*$F42,0),2,IF(AM$5&lt;CFG_CurWeek,3,1)),""))</f>
        <v/>
      </c>
      <c r="AN42" s="66" t="str">
        <f aca="false">IF(OR($D42="",$E42=""),"",IF(AND(AN$5&gt;=$D42,AN$5&lt;=$E42),IF(AN$5-$D42+1&lt;=ROUND(($E42-$D42+1)*$F42,0),2,IF(AN$5&lt;CFG_CurWeek,3,1)),""))</f>
        <v/>
      </c>
      <c r="AO42" s="66" t="str">
        <f aca="false">IF(OR($D42="",$E42=""),"",IF(AND(AO$5&gt;=$D42,AO$5&lt;=$E42),IF(AO$5-$D42+1&lt;=ROUND(($E42-$D42+1)*$F42,0),2,IF(AO$5&lt;CFG_CurWeek,3,1)),""))</f>
        <v/>
      </c>
    </row>
    <row r="43" customFormat="false" ht="15" hidden="false" customHeight="false" outlineLevel="0" collapsed="false">
      <c r="A43" s="63" t="str">
        <f aca="false">IF('01_WBS &amp; Master Plan'!A40="","",'01_WBS &amp; Master Plan'!A40)</f>
        <v>5.2</v>
      </c>
      <c r="B43" s="64" t="str">
        <f aca="false">IF('01_WBS &amp; Master Plan'!D40="","",'01_WBS &amp; Master Plan'!D40)</f>
        <v>Thiết kế ERD: users, artists, albums, songs, song_artists, genres, playlists, playlist_songs, likes, follows, listen_history, downloads, lyrics</v>
      </c>
      <c r="C43" s="63" t="str">
        <f aca="false">IF('01_WBS &amp; Master Plan'!E40="","",'01_WBS &amp; Master Plan'!E40)</f>
        <v>Nhật</v>
      </c>
      <c r="D43" s="63" t="n">
        <f aca="false">IF('01_WBS &amp; Master Plan'!H40="","",'01_WBS &amp; Master Plan'!H40)</f>
        <v>18</v>
      </c>
      <c r="E43" s="63" t="n">
        <f aca="false">IF('01_WBS &amp; Master Plan'!I40="","",'01_WBS &amp; Master Plan'!I40)</f>
        <v>19</v>
      </c>
      <c r="F43" s="65" t="n">
        <f aca="false">IF(B43="","",IF('01_WBS &amp; Master Plan'!K40="Done",1,IF('01_WBS &amp; Master Plan'!L40="",0,'01_WBS &amp; Master Plan'!L40)))</f>
        <v>0</v>
      </c>
      <c r="G43" s="63" t="str">
        <f aca="false">IF('01_WBS &amp; Master Plan'!K40="","",'01_WBS &amp; Master Plan'!K40)</f>
        <v>To Do</v>
      </c>
      <c r="H43" s="66" t="str">
        <f aca="false">IF(OR($D43="",$E43=""),"",IF(AND(H$5&gt;=$D43,H$5&lt;=$E43),IF(H$5-$D43+1&lt;=ROUND(($E43-$D43+1)*$F43,0),2,IF(H$5&lt;CFG_CurWeek,3,1)),""))</f>
        <v/>
      </c>
      <c r="I43" s="66" t="str">
        <f aca="false">IF(OR($D43="",$E43=""),"",IF(AND(I$5&gt;=$D43,I$5&lt;=$E43),IF(I$5-$D43+1&lt;=ROUND(($E43-$D43+1)*$F43,0),2,IF(I$5&lt;CFG_CurWeek,3,1)),""))</f>
        <v/>
      </c>
      <c r="J43" s="66" t="str">
        <f aca="false">IF(OR($D43="",$E43=""),"",IF(AND(J$5&gt;=$D43,J$5&lt;=$E43),IF(J$5-$D43+1&lt;=ROUND(($E43-$D43+1)*$F43,0),2,IF(J$5&lt;CFG_CurWeek,3,1)),""))</f>
        <v/>
      </c>
      <c r="K43" s="66" t="str">
        <f aca="false">IF(OR($D43="",$E43=""),"",IF(AND(K$5&gt;=$D43,K$5&lt;=$E43),IF(K$5-$D43+1&lt;=ROUND(($E43-$D43+1)*$F43,0),2,IF(K$5&lt;CFG_CurWeek,3,1)),""))</f>
        <v/>
      </c>
      <c r="L43" s="66" t="str">
        <f aca="false">IF(OR($D43="",$E43=""),"",IF(AND(L$5&gt;=$D43,L$5&lt;=$E43),IF(L$5-$D43+1&lt;=ROUND(($E43-$D43+1)*$F43,0),2,IF(L$5&lt;CFG_CurWeek,3,1)),""))</f>
        <v/>
      </c>
      <c r="M43" s="66" t="str">
        <f aca="false">IF(OR($D43="",$E43=""),"",IF(AND(M$5&gt;=$D43,M$5&lt;=$E43),IF(M$5-$D43+1&lt;=ROUND(($E43-$D43+1)*$F43,0),2,IF(M$5&lt;CFG_CurWeek,3,1)),""))</f>
        <v/>
      </c>
      <c r="N43" s="66" t="str">
        <f aca="false">IF(OR($D43="",$E43=""),"",IF(AND(N$5&gt;=$D43,N$5&lt;=$E43),IF(N$5-$D43+1&lt;=ROUND(($E43-$D43+1)*$F43,0),2,IF(N$5&lt;CFG_CurWeek,3,1)),""))</f>
        <v/>
      </c>
      <c r="O43" s="66" t="str">
        <f aca="false">IF(OR($D43="",$E43=""),"",IF(AND(O$5&gt;=$D43,O$5&lt;=$E43),IF(O$5-$D43+1&lt;=ROUND(($E43-$D43+1)*$F43,0),2,IF(O$5&lt;CFG_CurWeek,3,1)),""))</f>
        <v/>
      </c>
      <c r="P43" s="66" t="str">
        <f aca="false">IF(OR($D43="",$E43=""),"",IF(AND(P$5&gt;=$D43,P$5&lt;=$E43),IF(P$5-$D43+1&lt;=ROUND(($E43-$D43+1)*$F43,0),2,IF(P$5&lt;CFG_CurWeek,3,1)),""))</f>
        <v/>
      </c>
      <c r="Q43" s="66" t="str">
        <f aca="false">IF(OR($D43="",$E43=""),"",IF(AND(Q$5&gt;=$D43,Q$5&lt;=$E43),IF(Q$5-$D43+1&lt;=ROUND(($E43-$D43+1)*$F43,0),2,IF(Q$5&lt;CFG_CurWeek,3,1)),""))</f>
        <v/>
      </c>
      <c r="R43" s="66" t="str">
        <f aca="false">IF(OR($D43="",$E43=""),"",IF(AND(R$5&gt;=$D43,R$5&lt;=$E43),IF(R$5-$D43+1&lt;=ROUND(($E43-$D43+1)*$F43,0),2,IF(R$5&lt;CFG_CurWeek,3,1)),""))</f>
        <v/>
      </c>
      <c r="S43" s="66" t="str">
        <f aca="false">IF(OR($D43="",$E43=""),"",IF(AND(S$5&gt;=$D43,S$5&lt;=$E43),IF(S$5-$D43+1&lt;=ROUND(($E43-$D43+1)*$F43,0),2,IF(S$5&lt;CFG_CurWeek,3,1)),""))</f>
        <v/>
      </c>
      <c r="T43" s="66" t="str">
        <f aca="false">IF(OR($D43="",$E43=""),"",IF(AND(T$5&gt;=$D43,T$5&lt;=$E43),IF(T$5-$D43+1&lt;=ROUND(($E43-$D43+1)*$F43,0),2,IF(T$5&lt;CFG_CurWeek,3,1)),""))</f>
        <v/>
      </c>
      <c r="U43" s="66" t="str">
        <f aca="false">IF(OR($D43="",$E43=""),"",IF(AND(U$5&gt;=$D43,U$5&lt;=$E43),IF(U$5-$D43+1&lt;=ROUND(($E43-$D43+1)*$F43,0),2,IF(U$5&lt;CFG_CurWeek,3,1)),""))</f>
        <v/>
      </c>
      <c r="V43" s="66" t="str">
        <f aca="false">IF(OR($D43="",$E43=""),"",IF(AND(V$5&gt;=$D43,V$5&lt;=$E43),IF(V$5-$D43+1&lt;=ROUND(($E43-$D43+1)*$F43,0),2,IF(V$5&lt;CFG_CurWeek,3,1)),""))</f>
        <v/>
      </c>
      <c r="W43" s="66" t="str">
        <f aca="false">IF(OR($D43="",$E43=""),"",IF(AND(W$5&gt;=$D43,W$5&lt;=$E43),IF(W$5-$D43+1&lt;=ROUND(($E43-$D43+1)*$F43,0),2,IF(W$5&lt;CFG_CurWeek,3,1)),""))</f>
        <v/>
      </c>
      <c r="X43" s="66" t="str">
        <f aca="false">IF(OR($D43="",$E43=""),"",IF(AND(X$5&gt;=$D43,X$5&lt;=$E43),IF(X$5-$D43+1&lt;=ROUND(($E43-$D43+1)*$F43,0),2,IF(X$5&lt;CFG_CurWeek,3,1)),""))</f>
        <v/>
      </c>
      <c r="Y43" s="66" t="n">
        <f aca="false">IF(OR($D43="",$E43=""),"",IF(AND(Y$5&gt;=$D43,Y$5&lt;=$E43),IF(Y$5-$D43+1&lt;=ROUND(($E43-$D43+1)*$F43,0),2,IF(Y$5&lt;CFG_CurWeek,3,1)),""))</f>
        <v>1</v>
      </c>
      <c r="Z43" s="66" t="n">
        <f aca="false">IF(OR($D43="",$E43=""),"",IF(AND(Z$5&gt;=$D43,Z$5&lt;=$E43),IF(Z$5-$D43+1&lt;=ROUND(($E43-$D43+1)*$F43,0),2,IF(Z$5&lt;CFG_CurWeek,3,1)),""))</f>
        <v>1</v>
      </c>
      <c r="AA43" s="66" t="str">
        <f aca="false">IF(OR($D43="",$E43=""),"",IF(AND(AA$5&gt;=$D43,AA$5&lt;=$E43),IF(AA$5-$D43+1&lt;=ROUND(($E43-$D43+1)*$F43,0),2,IF(AA$5&lt;CFG_CurWeek,3,1)),""))</f>
        <v/>
      </c>
      <c r="AB43" s="66" t="str">
        <f aca="false">IF(OR($D43="",$E43=""),"",IF(AND(AB$5&gt;=$D43,AB$5&lt;=$E43),IF(AB$5-$D43+1&lt;=ROUND(($E43-$D43+1)*$F43,0),2,IF(AB$5&lt;CFG_CurWeek,3,1)),""))</f>
        <v/>
      </c>
      <c r="AC43" s="66" t="str">
        <f aca="false">IF(OR($D43="",$E43=""),"",IF(AND(AC$5&gt;=$D43,AC$5&lt;=$E43),IF(AC$5-$D43+1&lt;=ROUND(($E43-$D43+1)*$F43,0),2,IF(AC$5&lt;CFG_CurWeek,3,1)),""))</f>
        <v/>
      </c>
      <c r="AD43" s="66" t="str">
        <f aca="false">IF(OR($D43="",$E43=""),"",IF(AND(AD$5&gt;=$D43,AD$5&lt;=$E43),IF(AD$5-$D43+1&lt;=ROUND(($E43-$D43+1)*$F43,0),2,IF(AD$5&lt;CFG_CurWeek,3,1)),""))</f>
        <v/>
      </c>
      <c r="AE43" s="66" t="str">
        <f aca="false">IF(OR($D43="",$E43=""),"",IF(AND(AE$5&gt;=$D43,AE$5&lt;=$E43),IF(AE$5-$D43+1&lt;=ROUND(($E43-$D43+1)*$F43,0),2,IF(AE$5&lt;CFG_CurWeek,3,1)),""))</f>
        <v/>
      </c>
      <c r="AF43" s="66" t="str">
        <f aca="false">IF(OR($D43="",$E43=""),"",IF(AND(AF$5&gt;=$D43,AF$5&lt;=$E43),IF(AF$5-$D43+1&lt;=ROUND(($E43-$D43+1)*$F43,0),2,IF(AF$5&lt;CFG_CurWeek,3,1)),""))</f>
        <v/>
      </c>
      <c r="AG43" s="66" t="str">
        <f aca="false">IF(OR($D43="",$E43=""),"",IF(AND(AG$5&gt;=$D43,AG$5&lt;=$E43),IF(AG$5-$D43+1&lt;=ROUND(($E43-$D43+1)*$F43,0),2,IF(AG$5&lt;CFG_CurWeek,3,1)),""))</f>
        <v/>
      </c>
      <c r="AH43" s="66" t="str">
        <f aca="false">IF(OR($D43="",$E43=""),"",IF(AND(AH$5&gt;=$D43,AH$5&lt;=$E43),IF(AH$5-$D43+1&lt;=ROUND(($E43-$D43+1)*$F43,0),2,IF(AH$5&lt;CFG_CurWeek,3,1)),""))</f>
        <v/>
      </c>
      <c r="AI43" s="66" t="str">
        <f aca="false">IF(OR($D43="",$E43=""),"",IF(AND(AI$5&gt;=$D43,AI$5&lt;=$E43),IF(AI$5-$D43+1&lt;=ROUND(($E43-$D43+1)*$F43,0),2,IF(AI$5&lt;CFG_CurWeek,3,1)),""))</f>
        <v/>
      </c>
      <c r="AJ43" s="66" t="str">
        <f aca="false">IF(OR($D43="",$E43=""),"",IF(AND(AJ$5&gt;=$D43,AJ$5&lt;=$E43),IF(AJ$5-$D43+1&lt;=ROUND(($E43-$D43+1)*$F43,0),2,IF(AJ$5&lt;CFG_CurWeek,3,1)),""))</f>
        <v/>
      </c>
      <c r="AK43" s="66" t="str">
        <f aca="false">IF(OR($D43="",$E43=""),"",IF(AND(AK$5&gt;=$D43,AK$5&lt;=$E43),IF(AK$5-$D43+1&lt;=ROUND(($E43-$D43+1)*$F43,0),2,IF(AK$5&lt;CFG_CurWeek,3,1)),""))</f>
        <v/>
      </c>
      <c r="AL43" s="66" t="str">
        <f aca="false">IF(OR($D43="",$E43=""),"",IF(AND(AL$5&gt;=$D43,AL$5&lt;=$E43),IF(AL$5-$D43+1&lt;=ROUND(($E43-$D43+1)*$F43,0),2,IF(AL$5&lt;CFG_CurWeek,3,1)),""))</f>
        <v/>
      </c>
      <c r="AM43" s="66" t="str">
        <f aca="false">IF(OR($D43="",$E43=""),"",IF(AND(AM$5&gt;=$D43,AM$5&lt;=$E43),IF(AM$5-$D43+1&lt;=ROUND(($E43-$D43+1)*$F43,0),2,IF(AM$5&lt;CFG_CurWeek,3,1)),""))</f>
        <v/>
      </c>
      <c r="AN43" s="66" t="str">
        <f aca="false">IF(OR($D43="",$E43=""),"",IF(AND(AN$5&gt;=$D43,AN$5&lt;=$E43),IF(AN$5-$D43+1&lt;=ROUND(($E43-$D43+1)*$F43,0),2,IF(AN$5&lt;CFG_CurWeek,3,1)),""))</f>
        <v/>
      </c>
      <c r="AO43" s="66" t="str">
        <f aca="false">IF(OR($D43="",$E43=""),"",IF(AND(AO$5&gt;=$D43,AO$5&lt;=$E43),IF(AO$5-$D43+1&lt;=ROUND(($E43-$D43+1)*$F43,0),2,IF(AO$5&lt;CFG_CurWeek,3,1)),""))</f>
        <v/>
      </c>
    </row>
    <row r="44" customFormat="false" ht="15" hidden="false" customHeight="false" outlineLevel="0" collapsed="false">
      <c r="A44" s="63" t="str">
        <f aca="false">IF('01_WBS &amp; Master Plan'!A41="","",'01_WBS &amp; Master Plan'!A41)</f>
        <v>5.3</v>
      </c>
      <c r="B44" s="64" t="str">
        <f aca="false">IF('01_WBS &amp; Master Plan'!D41="","",'01_WBS &amp; Master Plan'!D41)</f>
        <v>Cài Prisma: schema, migration MySQL</v>
      </c>
      <c r="C44" s="63" t="str">
        <f aca="false">IF('01_WBS &amp; Master Plan'!E41="","",'01_WBS &amp; Master Plan'!E41)</f>
        <v>Nhật</v>
      </c>
      <c r="D44" s="63" t="n">
        <f aca="false">IF('01_WBS &amp; Master Plan'!H41="","",'01_WBS &amp; Master Plan'!H41)</f>
        <v>19</v>
      </c>
      <c r="E44" s="63" t="n">
        <f aca="false">IF('01_WBS &amp; Master Plan'!I41="","",'01_WBS &amp; Master Plan'!I41)</f>
        <v>19</v>
      </c>
      <c r="F44" s="65" t="n">
        <f aca="false">IF(B44="","",IF('01_WBS &amp; Master Plan'!K41="Done",1,IF('01_WBS &amp; Master Plan'!L41="",0,'01_WBS &amp; Master Plan'!L41)))</f>
        <v>0</v>
      </c>
      <c r="G44" s="63" t="str">
        <f aca="false">IF('01_WBS &amp; Master Plan'!K41="","",'01_WBS &amp; Master Plan'!K41)</f>
        <v>To Do</v>
      </c>
      <c r="H44" s="66" t="str">
        <f aca="false">IF(OR($D44="",$E44=""),"",IF(AND(H$5&gt;=$D44,H$5&lt;=$E44),IF(H$5-$D44+1&lt;=ROUND(($E44-$D44+1)*$F44,0),2,IF(H$5&lt;CFG_CurWeek,3,1)),""))</f>
        <v/>
      </c>
      <c r="I44" s="66" t="str">
        <f aca="false">IF(OR($D44="",$E44=""),"",IF(AND(I$5&gt;=$D44,I$5&lt;=$E44),IF(I$5-$D44+1&lt;=ROUND(($E44-$D44+1)*$F44,0),2,IF(I$5&lt;CFG_CurWeek,3,1)),""))</f>
        <v/>
      </c>
      <c r="J44" s="66" t="str">
        <f aca="false">IF(OR($D44="",$E44=""),"",IF(AND(J$5&gt;=$D44,J$5&lt;=$E44),IF(J$5-$D44+1&lt;=ROUND(($E44-$D44+1)*$F44,0),2,IF(J$5&lt;CFG_CurWeek,3,1)),""))</f>
        <v/>
      </c>
      <c r="K44" s="66" t="str">
        <f aca="false">IF(OR($D44="",$E44=""),"",IF(AND(K$5&gt;=$D44,K$5&lt;=$E44),IF(K$5-$D44+1&lt;=ROUND(($E44-$D44+1)*$F44,0),2,IF(K$5&lt;CFG_CurWeek,3,1)),""))</f>
        <v/>
      </c>
      <c r="L44" s="66" t="str">
        <f aca="false">IF(OR($D44="",$E44=""),"",IF(AND(L$5&gt;=$D44,L$5&lt;=$E44),IF(L$5-$D44+1&lt;=ROUND(($E44-$D44+1)*$F44,0),2,IF(L$5&lt;CFG_CurWeek,3,1)),""))</f>
        <v/>
      </c>
      <c r="M44" s="66" t="str">
        <f aca="false">IF(OR($D44="",$E44=""),"",IF(AND(M$5&gt;=$D44,M$5&lt;=$E44),IF(M$5-$D44+1&lt;=ROUND(($E44-$D44+1)*$F44,0),2,IF(M$5&lt;CFG_CurWeek,3,1)),""))</f>
        <v/>
      </c>
      <c r="N44" s="66" t="str">
        <f aca="false">IF(OR($D44="",$E44=""),"",IF(AND(N$5&gt;=$D44,N$5&lt;=$E44),IF(N$5-$D44+1&lt;=ROUND(($E44-$D44+1)*$F44,0),2,IF(N$5&lt;CFG_CurWeek,3,1)),""))</f>
        <v/>
      </c>
      <c r="O44" s="66" t="str">
        <f aca="false">IF(OR($D44="",$E44=""),"",IF(AND(O$5&gt;=$D44,O$5&lt;=$E44),IF(O$5-$D44+1&lt;=ROUND(($E44-$D44+1)*$F44,0),2,IF(O$5&lt;CFG_CurWeek,3,1)),""))</f>
        <v/>
      </c>
      <c r="P44" s="66" t="str">
        <f aca="false">IF(OR($D44="",$E44=""),"",IF(AND(P$5&gt;=$D44,P$5&lt;=$E44),IF(P$5-$D44+1&lt;=ROUND(($E44-$D44+1)*$F44,0),2,IF(P$5&lt;CFG_CurWeek,3,1)),""))</f>
        <v/>
      </c>
      <c r="Q44" s="66" t="str">
        <f aca="false">IF(OR($D44="",$E44=""),"",IF(AND(Q$5&gt;=$D44,Q$5&lt;=$E44),IF(Q$5-$D44+1&lt;=ROUND(($E44-$D44+1)*$F44,0),2,IF(Q$5&lt;CFG_CurWeek,3,1)),""))</f>
        <v/>
      </c>
      <c r="R44" s="66" t="str">
        <f aca="false">IF(OR($D44="",$E44=""),"",IF(AND(R$5&gt;=$D44,R$5&lt;=$E44),IF(R$5-$D44+1&lt;=ROUND(($E44-$D44+1)*$F44,0),2,IF(R$5&lt;CFG_CurWeek,3,1)),""))</f>
        <v/>
      </c>
      <c r="S44" s="66" t="str">
        <f aca="false">IF(OR($D44="",$E44=""),"",IF(AND(S$5&gt;=$D44,S$5&lt;=$E44),IF(S$5-$D44+1&lt;=ROUND(($E44-$D44+1)*$F44,0),2,IF(S$5&lt;CFG_CurWeek,3,1)),""))</f>
        <v/>
      </c>
      <c r="T44" s="66" t="str">
        <f aca="false">IF(OR($D44="",$E44=""),"",IF(AND(T$5&gt;=$D44,T$5&lt;=$E44),IF(T$5-$D44+1&lt;=ROUND(($E44-$D44+1)*$F44,0),2,IF(T$5&lt;CFG_CurWeek,3,1)),""))</f>
        <v/>
      </c>
      <c r="U44" s="66" t="str">
        <f aca="false">IF(OR($D44="",$E44=""),"",IF(AND(U$5&gt;=$D44,U$5&lt;=$E44),IF(U$5-$D44+1&lt;=ROUND(($E44-$D44+1)*$F44,0),2,IF(U$5&lt;CFG_CurWeek,3,1)),""))</f>
        <v/>
      </c>
      <c r="V44" s="66" t="str">
        <f aca="false">IF(OR($D44="",$E44=""),"",IF(AND(V$5&gt;=$D44,V$5&lt;=$E44),IF(V$5-$D44+1&lt;=ROUND(($E44-$D44+1)*$F44,0),2,IF(V$5&lt;CFG_CurWeek,3,1)),""))</f>
        <v/>
      </c>
      <c r="W44" s="66" t="str">
        <f aca="false">IF(OR($D44="",$E44=""),"",IF(AND(W$5&gt;=$D44,W$5&lt;=$E44),IF(W$5-$D44+1&lt;=ROUND(($E44-$D44+1)*$F44,0),2,IF(W$5&lt;CFG_CurWeek,3,1)),""))</f>
        <v/>
      </c>
      <c r="X44" s="66" t="str">
        <f aca="false">IF(OR($D44="",$E44=""),"",IF(AND(X$5&gt;=$D44,X$5&lt;=$E44),IF(X$5-$D44+1&lt;=ROUND(($E44-$D44+1)*$F44,0),2,IF(X$5&lt;CFG_CurWeek,3,1)),""))</f>
        <v/>
      </c>
      <c r="Y44" s="66" t="str">
        <f aca="false">IF(OR($D44="",$E44=""),"",IF(AND(Y$5&gt;=$D44,Y$5&lt;=$E44),IF(Y$5-$D44+1&lt;=ROUND(($E44-$D44+1)*$F44,0),2,IF(Y$5&lt;CFG_CurWeek,3,1)),""))</f>
        <v/>
      </c>
      <c r="Z44" s="66" t="n">
        <f aca="false">IF(OR($D44="",$E44=""),"",IF(AND(Z$5&gt;=$D44,Z$5&lt;=$E44),IF(Z$5-$D44+1&lt;=ROUND(($E44-$D44+1)*$F44,0),2,IF(Z$5&lt;CFG_CurWeek,3,1)),""))</f>
        <v>1</v>
      </c>
      <c r="AA44" s="66" t="str">
        <f aca="false">IF(OR($D44="",$E44=""),"",IF(AND(AA$5&gt;=$D44,AA$5&lt;=$E44),IF(AA$5-$D44+1&lt;=ROUND(($E44-$D44+1)*$F44,0),2,IF(AA$5&lt;CFG_CurWeek,3,1)),""))</f>
        <v/>
      </c>
      <c r="AB44" s="66" t="str">
        <f aca="false">IF(OR($D44="",$E44=""),"",IF(AND(AB$5&gt;=$D44,AB$5&lt;=$E44),IF(AB$5-$D44+1&lt;=ROUND(($E44-$D44+1)*$F44,0),2,IF(AB$5&lt;CFG_CurWeek,3,1)),""))</f>
        <v/>
      </c>
      <c r="AC44" s="66" t="str">
        <f aca="false">IF(OR($D44="",$E44=""),"",IF(AND(AC$5&gt;=$D44,AC$5&lt;=$E44),IF(AC$5-$D44+1&lt;=ROUND(($E44-$D44+1)*$F44,0),2,IF(AC$5&lt;CFG_CurWeek,3,1)),""))</f>
        <v/>
      </c>
      <c r="AD44" s="66" t="str">
        <f aca="false">IF(OR($D44="",$E44=""),"",IF(AND(AD$5&gt;=$D44,AD$5&lt;=$E44),IF(AD$5-$D44+1&lt;=ROUND(($E44-$D44+1)*$F44,0),2,IF(AD$5&lt;CFG_CurWeek,3,1)),""))</f>
        <v/>
      </c>
      <c r="AE44" s="66" t="str">
        <f aca="false">IF(OR($D44="",$E44=""),"",IF(AND(AE$5&gt;=$D44,AE$5&lt;=$E44),IF(AE$5-$D44+1&lt;=ROUND(($E44-$D44+1)*$F44,0),2,IF(AE$5&lt;CFG_CurWeek,3,1)),""))</f>
        <v/>
      </c>
      <c r="AF44" s="66" t="str">
        <f aca="false">IF(OR($D44="",$E44=""),"",IF(AND(AF$5&gt;=$D44,AF$5&lt;=$E44),IF(AF$5-$D44+1&lt;=ROUND(($E44-$D44+1)*$F44,0),2,IF(AF$5&lt;CFG_CurWeek,3,1)),""))</f>
        <v/>
      </c>
      <c r="AG44" s="66" t="str">
        <f aca="false">IF(OR($D44="",$E44=""),"",IF(AND(AG$5&gt;=$D44,AG$5&lt;=$E44),IF(AG$5-$D44+1&lt;=ROUND(($E44-$D44+1)*$F44,0),2,IF(AG$5&lt;CFG_CurWeek,3,1)),""))</f>
        <v/>
      </c>
      <c r="AH44" s="66" t="str">
        <f aca="false">IF(OR($D44="",$E44=""),"",IF(AND(AH$5&gt;=$D44,AH$5&lt;=$E44),IF(AH$5-$D44+1&lt;=ROUND(($E44-$D44+1)*$F44,0),2,IF(AH$5&lt;CFG_CurWeek,3,1)),""))</f>
        <v/>
      </c>
      <c r="AI44" s="66" t="str">
        <f aca="false">IF(OR($D44="",$E44=""),"",IF(AND(AI$5&gt;=$D44,AI$5&lt;=$E44),IF(AI$5-$D44+1&lt;=ROUND(($E44-$D44+1)*$F44,0),2,IF(AI$5&lt;CFG_CurWeek,3,1)),""))</f>
        <v/>
      </c>
      <c r="AJ44" s="66" t="str">
        <f aca="false">IF(OR($D44="",$E44=""),"",IF(AND(AJ$5&gt;=$D44,AJ$5&lt;=$E44),IF(AJ$5-$D44+1&lt;=ROUND(($E44-$D44+1)*$F44,0),2,IF(AJ$5&lt;CFG_CurWeek,3,1)),""))</f>
        <v/>
      </c>
      <c r="AK44" s="66" t="str">
        <f aca="false">IF(OR($D44="",$E44=""),"",IF(AND(AK$5&gt;=$D44,AK$5&lt;=$E44),IF(AK$5-$D44+1&lt;=ROUND(($E44-$D44+1)*$F44,0),2,IF(AK$5&lt;CFG_CurWeek,3,1)),""))</f>
        <v/>
      </c>
      <c r="AL44" s="66" t="str">
        <f aca="false">IF(OR($D44="",$E44=""),"",IF(AND(AL$5&gt;=$D44,AL$5&lt;=$E44),IF(AL$5-$D44+1&lt;=ROUND(($E44-$D44+1)*$F44,0),2,IF(AL$5&lt;CFG_CurWeek,3,1)),""))</f>
        <v/>
      </c>
      <c r="AM44" s="66" t="str">
        <f aca="false">IF(OR($D44="",$E44=""),"",IF(AND(AM$5&gt;=$D44,AM$5&lt;=$E44),IF(AM$5-$D44+1&lt;=ROUND(($E44-$D44+1)*$F44,0),2,IF(AM$5&lt;CFG_CurWeek,3,1)),""))</f>
        <v/>
      </c>
      <c r="AN44" s="66" t="str">
        <f aca="false">IF(OR($D44="",$E44=""),"",IF(AND(AN$5&gt;=$D44,AN$5&lt;=$E44),IF(AN$5-$D44+1&lt;=ROUND(($E44-$D44+1)*$F44,0),2,IF(AN$5&lt;CFG_CurWeek,3,1)),""))</f>
        <v/>
      </c>
      <c r="AO44" s="66" t="str">
        <f aca="false">IF(OR($D44="",$E44=""),"",IF(AND(AO$5&gt;=$D44,AO$5&lt;=$E44),IF(AO$5-$D44+1&lt;=ROUND(($E44-$D44+1)*$F44,0),2,IF(AO$5&lt;CFG_CurWeek,3,1)),""))</f>
        <v/>
      </c>
    </row>
    <row r="45" customFormat="false" ht="15" hidden="false" customHeight="false" outlineLevel="0" collapsed="false">
      <c r="A45" s="63" t="str">
        <f aca="false">IF('01_WBS &amp; Master Plan'!A42="","",'01_WBS &amp; Master Plan'!A42)</f>
        <v>5.4</v>
      </c>
      <c r="B45" s="64" t="str">
        <f aca="false">IF('01_WBS &amp; Master Plan'!D42="","",'01_WBS &amp; Master Plan'!D42)</f>
        <v>Seed 50 bài nhạc CC kèm nghệ sĩ, album, thể loại, giấy phép</v>
      </c>
      <c r="C45" s="63" t="str">
        <f aca="false">IF('01_WBS &amp; Master Plan'!E42="","",'01_WBS &amp; Master Plan'!E42)</f>
        <v>Nhật</v>
      </c>
      <c r="D45" s="63" t="n">
        <f aca="false">IF('01_WBS &amp; Master Plan'!H42="","",'01_WBS &amp; Master Plan'!H42)</f>
        <v>19</v>
      </c>
      <c r="E45" s="63" t="n">
        <f aca="false">IF('01_WBS &amp; Master Plan'!I42="","",'01_WBS &amp; Master Plan'!I42)</f>
        <v>20</v>
      </c>
      <c r="F45" s="65" t="n">
        <f aca="false">IF(B45="","",IF('01_WBS &amp; Master Plan'!K42="Done",1,IF('01_WBS &amp; Master Plan'!L42="",0,'01_WBS &amp; Master Plan'!L42)))</f>
        <v>0</v>
      </c>
      <c r="G45" s="63" t="str">
        <f aca="false">IF('01_WBS &amp; Master Plan'!K42="","",'01_WBS &amp; Master Plan'!K42)</f>
        <v>To Do</v>
      </c>
      <c r="H45" s="66" t="str">
        <f aca="false">IF(OR($D45="",$E45=""),"",IF(AND(H$5&gt;=$D45,H$5&lt;=$E45),IF(H$5-$D45+1&lt;=ROUND(($E45-$D45+1)*$F45,0),2,IF(H$5&lt;CFG_CurWeek,3,1)),""))</f>
        <v/>
      </c>
      <c r="I45" s="66" t="str">
        <f aca="false">IF(OR($D45="",$E45=""),"",IF(AND(I$5&gt;=$D45,I$5&lt;=$E45),IF(I$5-$D45+1&lt;=ROUND(($E45-$D45+1)*$F45,0),2,IF(I$5&lt;CFG_CurWeek,3,1)),""))</f>
        <v/>
      </c>
      <c r="J45" s="66" t="str">
        <f aca="false">IF(OR($D45="",$E45=""),"",IF(AND(J$5&gt;=$D45,J$5&lt;=$E45),IF(J$5-$D45+1&lt;=ROUND(($E45-$D45+1)*$F45,0),2,IF(J$5&lt;CFG_CurWeek,3,1)),""))</f>
        <v/>
      </c>
      <c r="K45" s="66" t="str">
        <f aca="false">IF(OR($D45="",$E45=""),"",IF(AND(K$5&gt;=$D45,K$5&lt;=$E45),IF(K$5-$D45+1&lt;=ROUND(($E45-$D45+1)*$F45,0),2,IF(K$5&lt;CFG_CurWeek,3,1)),""))</f>
        <v/>
      </c>
      <c r="L45" s="66" t="str">
        <f aca="false">IF(OR($D45="",$E45=""),"",IF(AND(L$5&gt;=$D45,L$5&lt;=$E45),IF(L$5-$D45+1&lt;=ROUND(($E45-$D45+1)*$F45,0),2,IF(L$5&lt;CFG_CurWeek,3,1)),""))</f>
        <v/>
      </c>
      <c r="M45" s="66" t="str">
        <f aca="false">IF(OR($D45="",$E45=""),"",IF(AND(M$5&gt;=$D45,M$5&lt;=$E45),IF(M$5-$D45+1&lt;=ROUND(($E45-$D45+1)*$F45,0),2,IF(M$5&lt;CFG_CurWeek,3,1)),""))</f>
        <v/>
      </c>
      <c r="N45" s="66" t="str">
        <f aca="false">IF(OR($D45="",$E45=""),"",IF(AND(N$5&gt;=$D45,N$5&lt;=$E45),IF(N$5-$D45+1&lt;=ROUND(($E45-$D45+1)*$F45,0),2,IF(N$5&lt;CFG_CurWeek,3,1)),""))</f>
        <v/>
      </c>
      <c r="O45" s="66" t="str">
        <f aca="false">IF(OR($D45="",$E45=""),"",IF(AND(O$5&gt;=$D45,O$5&lt;=$E45),IF(O$5-$D45+1&lt;=ROUND(($E45-$D45+1)*$F45,0),2,IF(O$5&lt;CFG_CurWeek,3,1)),""))</f>
        <v/>
      </c>
      <c r="P45" s="66" t="str">
        <f aca="false">IF(OR($D45="",$E45=""),"",IF(AND(P$5&gt;=$D45,P$5&lt;=$E45),IF(P$5-$D45+1&lt;=ROUND(($E45-$D45+1)*$F45,0),2,IF(P$5&lt;CFG_CurWeek,3,1)),""))</f>
        <v/>
      </c>
      <c r="Q45" s="66" t="str">
        <f aca="false">IF(OR($D45="",$E45=""),"",IF(AND(Q$5&gt;=$D45,Q$5&lt;=$E45),IF(Q$5-$D45+1&lt;=ROUND(($E45-$D45+1)*$F45,0),2,IF(Q$5&lt;CFG_CurWeek,3,1)),""))</f>
        <v/>
      </c>
      <c r="R45" s="66" t="str">
        <f aca="false">IF(OR($D45="",$E45=""),"",IF(AND(R$5&gt;=$D45,R$5&lt;=$E45),IF(R$5-$D45+1&lt;=ROUND(($E45-$D45+1)*$F45,0),2,IF(R$5&lt;CFG_CurWeek,3,1)),""))</f>
        <v/>
      </c>
      <c r="S45" s="66" t="str">
        <f aca="false">IF(OR($D45="",$E45=""),"",IF(AND(S$5&gt;=$D45,S$5&lt;=$E45),IF(S$5-$D45+1&lt;=ROUND(($E45-$D45+1)*$F45,0),2,IF(S$5&lt;CFG_CurWeek,3,1)),""))</f>
        <v/>
      </c>
      <c r="T45" s="66" t="str">
        <f aca="false">IF(OR($D45="",$E45=""),"",IF(AND(T$5&gt;=$D45,T$5&lt;=$E45),IF(T$5-$D45+1&lt;=ROUND(($E45-$D45+1)*$F45,0),2,IF(T$5&lt;CFG_CurWeek,3,1)),""))</f>
        <v/>
      </c>
      <c r="U45" s="66" t="str">
        <f aca="false">IF(OR($D45="",$E45=""),"",IF(AND(U$5&gt;=$D45,U$5&lt;=$E45),IF(U$5-$D45+1&lt;=ROUND(($E45-$D45+1)*$F45,0),2,IF(U$5&lt;CFG_CurWeek,3,1)),""))</f>
        <v/>
      </c>
      <c r="V45" s="66" t="str">
        <f aca="false">IF(OR($D45="",$E45=""),"",IF(AND(V$5&gt;=$D45,V$5&lt;=$E45),IF(V$5-$D45+1&lt;=ROUND(($E45-$D45+1)*$F45,0),2,IF(V$5&lt;CFG_CurWeek,3,1)),""))</f>
        <v/>
      </c>
      <c r="W45" s="66" t="str">
        <f aca="false">IF(OR($D45="",$E45=""),"",IF(AND(W$5&gt;=$D45,W$5&lt;=$E45),IF(W$5-$D45+1&lt;=ROUND(($E45-$D45+1)*$F45,0),2,IF(W$5&lt;CFG_CurWeek,3,1)),""))</f>
        <v/>
      </c>
      <c r="X45" s="66" t="str">
        <f aca="false">IF(OR($D45="",$E45=""),"",IF(AND(X$5&gt;=$D45,X$5&lt;=$E45),IF(X$5-$D45+1&lt;=ROUND(($E45-$D45+1)*$F45,0),2,IF(X$5&lt;CFG_CurWeek,3,1)),""))</f>
        <v/>
      </c>
      <c r="Y45" s="66" t="str">
        <f aca="false">IF(OR($D45="",$E45=""),"",IF(AND(Y$5&gt;=$D45,Y$5&lt;=$E45),IF(Y$5-$D45+1&lt;=ROUND(($E45-$D45+1)*$F45,0),2,IF(Y$5&lt;CFG_CurWeek,3,1)),""))</f>
        <v/>
      </c>
      <c r="Z45" s="66" t="n">
        <f aca="false">IF(OR($D45="",$E45=""),"",IF(AND(Z$5&gt;=$D45,Z$5&lt;=$E45),IF(Z$5-$D45+1&lt;=ROUND(($E45-$D45+1)*$F45,0),2,IF(Z$5&lt;CFG_CurWeek,3,1)),""))</f>
        <v>1</v>
      </c>
      <c r="AA45" s="66" t="n">
        <f aca="false">IF(OR($D45="",$E45=""),"",IF(AND(AA$5&gt;=$D45,AA$5&lt;=$E45),IF(AA$5-$D45+1&lt;=ROUND(($E45-$D45+1)*$F45,0),2,IF(AA$5&lt;CFG_CurWeek,3,1)),""))</f>
        <v>1</v>
      </c>
      <c r="AB45" s="66" t="str">
        <f aca="false">IF(OR($D45="",$E45=""),"",IF(AND(AB$5&gt;=$D45,AB$5&lt;=$E45),IF(AB$5-$D45+1&lt;=ROUND(($E45-$D45+1)*$F45,0),2,IF(AB$5&lt;CFG_CurWeek,3,1)),""))</f>
        <v/>
      </c>
      <c r="AC45" s="66" t="str">
        <f aca="false">IF(OR($D45="",$E45=""),"",IF(AND(AC$5&gt;=$D45,AC$5&lt;=$E45),IF(AC$5-$D45+1&lt;=ROUND(($E45-$D45+1)*$F45,0),2,IF(AC$5&lt;CFG_CurWeek,3,1)),""))</f>
        <v/>
      </c>
      <c r="AD45" s="66" t="str">
        <f aca="false">IF(OR($D45="",$E45=""),"",IF(AND(AD$5&gt;=$D45,AD$5&lt;=$E45),IF(AD$5-$D45+1&lt;=ROUND(($E45-$D45+1)*$F45,0),2,IF(AD$5&lt;CFG_CurWeek,3,1)),""))</f>
        <v/>
      </c>
      <c r="AE45" s="66" t="str">
        <f aca="false">IF(OR($D45="",$E45=""),"",IF(AND(AE$5&gt;=$D45,AE$5&lt;=$E45),IF(AE$5-$D45+1&lt;=ROUND(($E45-$D45+1)*$F45,0),2,IF(AE$5&lt;CFG_CurWeek,3,1)),""))</f>
        <v/>
      </c>
      <c r="AF45" s="66" t="str">
        <f aca="false">IF(OR($D45="",$E45=""),"",IF(AND(AF$5&gt;=$D45,AF$5&lt;=$E45),IF(AF$5-$D45+1&lt;=ROUND(($E45-$D45+1)*$F45,0),2,IF(AF$5&lt;CFG_CurWeek,3,1)),""))</f>
        <v/>
      </c>
      <c r="AG45" s="66" t="str">
        <f aca="false">IF(OR($D45="",$E45=""),"",IF(AND(AG$5&gt;=$D45,AG$5&lt;=$E45),IF(AG$5-$D45+1&lt;=ROUND(($E45-$D45+1)*$F45,0),2,IF(AG$5&lt;CFG_CurWeek,3,1)),""))</f>
        <v/>
      </c>
      <c r="AH45" s="66" t="str">
        <f aca="false">IF(OR($D45="",$E45=""),"",IF(AND(AH$5&gt;=$D45,AH$5&lt;=$E45),IF(AH$5-$D45+1&lt;=ROUND(($E45-$D45+1)*$F45,0),2,IF(AH$5&lt;CFG_CurWeek,3,1)),""))</f>
        <v/>
      </c>
      <c r="AI45" s="66" t="str">
        <f aca="false">IF(OR($D45="",$E45=""),"",IF(AND(AI$5&gt;=$D45,AI$5&lt;=$E45),IF(AI$5-$D45+1&lt;=ROUND(($E45-$D45+1)*$F45,0),2,IF(AI$5&lt;CFG_CurWeek,3,1)),""))</f>
        <v/>
      </c>
      <c r="AJ45" s="66" t="str">
        <f aca="false">IF(OR($D45="",$E45=""),"",IF(AND(AJ$5&gt;=$D45,AJ$5&lt;=$E45),IF(AJ$5-$D45+1&lt;=ROUND(($E45-$D45+1)*$F45,0),2,IF(AJ$5&lt;CFG_CurWeek,3,1)),""))</f>
        <v/>
      </c>
      <c r="AK45" s="66" t="str">
        <f aca="false">IF(OR($D45="",$E45=""),"",IF(AND(AK$5&gt;=$D45,AK$5&lt;=$E45),IF(AK$5-$D45+1&lt;=ROUND(($E45-$D45+1)*$F45,0),2,IF(AK$5&lt;CFG_CurWeek,3,1)),""))</f>
        <v/>
      </c>
      <c r="AL45" s="66" t="str">
        <f aca="false">IF(OR($D45="",$E45=""),"",IF(AND(AL$5&gt;=$D45,AL$5&lt;=$E45),IF(AL$5-$D45+1&lt;=ROUND(($E45-$D45+1)*$F45,0),2,IF(AL$5&lt;CFG_CurWeek,3,1)),""))</f>
        <v/>
      </c>
      <c r="AM45" s="66" t="str">
        <f aca="false">IF(OR($D45="",$E45=""),"",IF(AND(AM$5&gt;=$D45,AM$5&lt;=$E45),IF(AM$5-$D45+1&lt;=ROUND(($E45-$D45+1)*$F45,0),2,IF(AM$5&lt;CFG_CurWeek,3,1)),""))</f>
        <v/>
      </c>
      <c r="AN45" s="66" t="str">
        <f aca="false">IF(OR($D45="",$E45=""),"",IF(AND(AN$5&gt;=$D45,AN$5&lt;=$E45),IF(AN$5-$D45+1&lt;=ROUND(($E45-$D45+1)*$F45,0),2,IF(AN$5&lt;CFG_CurWeek,3,1)),""))</f>
        <v/>
      </c>
      <c r="AO45" s="66" t="str">
        <f aca="false">IF(OR($D45="",$E45=""),"",IF(AND(AO$5&gt;=$D45,AO$5&lt;=$E45),IF(AO$5-$D45+1&lt;=ROUND(($E45-$D45+1)*$F45,0),2,IF(AO$5&lt;CFG_CurWeek,3,1)),""))</f>
        <v/>
      </c>
    </row>
    <row r="46" customFormat="false" ht="15" hidden="false" customHeight="false" outlineLevel="0" collapsed="false">
      <c r="A46" s="63" t="str">
        <f aca="false">IF('01_WBS &amp; Master Plan'!A43="","",'01_WBS &amp; Master Plan'!A43)</f>
        <v>5.5</v>
      </c>
      <c r="B46" s="64" t="str">
        <f aca="false">IF('01_WBS &amp; Master Plan'!D43="","",'01_WBS &amp; Master Plan'!D43)</f>
        <v>Chuyển API catalog sang MySQL, có phân trang &amp; sắp xếp</v>
      </c>
      <c r="C46" s="63" t="str">
        <f aca="false">IF('01_WBS &amp; Master Plan'!E43="","",'01_WBS &amp; Master Plan'!E43)</f>
        <v>Nhật</v>
      </c>
      <c r="D46" s="63" t="n">
        <f aca="false">IF('01_WBS &amp; Master Plan'!H43="","",'01_WBS &amp; Master Plan'!H43)</f>
        <v>20</v>
      </c>
      <c r="E46" s="63" t="n">
        <f aca="false">IF('01_WBS &amp; Master Plan'!I43="","",'01_WBS &amp; Master Plan'!I43)</f>
        <v>20</v>
      </c>
      <c r="F46" s="65" t="n">
        <f aca="false">IF(B46="","",IF('01_WBS &amp; Master Plan'!K43="Done",1,IF('01_WBS &amp; Master Plan'!L43="",0,'01_WBS &amp; Master Plan'!L43)))</f>
        <v>0</v>
      </c>
      <c r="G46" s="63" t="str">
        <f aca="false">IF('01_WBS &amp; Master Plan'!K43="","",'01_WBS &amp; Master Plan'!K43)</f>
        <v>To Do</v>
      </c>
      <c r="H46" s="66" t="str">
        <f aca="false">IF(OR($D46="",$E46=""),"",IF(AND(H$5&gt;=$D46,H$5&lt;=$E46),IF(H$5-$D46+1&lt;=ROUND(($E46-$D46+1)*$F46,0),2,IF(H$5&lt;CFG_CurWeek,3,1)),""))</f>
        <v/>
      </c>
      <c r="I46" s="66" t="str">
        <f aca="false">IF(OR($D46="",$E46=""),"",IF(AND(I$5&gt;=$D46,I$5&lt;=$E46),IF(I$5-$D46+1&lt;=ROUND(($E46-$D46+1)*$F46,0),2,IF(I$5&lt;CFG_CurWeek,3,1)),""))</f>
        <v/>
      </c>
      <c r="J46" s="66" t="str">
        <f aca="false">IF(OR($D46="",$E46=""),"",IF(AND(J$5&gt;=$D46,J$5&lt;=$E46),IF(J$5-$D46+1&lt;=ROUND(($E46-$D46+1)*$F46,0),2,IF(J$5&lt;CFG_CurWeek,3,1)),""))</f>
        <v/>
      </c>
      <c r="K46" s="66" t="str">
        <f aca="false">IF(OR($D46="",$E46=""),"",IF(AND(K$5&gt;=$D46,K$5&lt;=$E46),IF(K$5-$D46+1&lt;=ROUND(($E46-$D46+1)*$F46,0),2,IF(K$5&lt;CFG_CurWeek,3,1)),""))</f>
        <v/>
      </c>
      <c r="L46" s="66" t="str">
        <f aca="false">IF(OR($D46="",$E46=""),"",IF(AND(L$5&gt;=$D46,L$5&lt;=$E46),IF(L$5-$D46+1&lt;=ROUND(($E46-$D46+1)*$F46,0),2,IF(L$5&lt;CFG_CurWeek,3,1)),""))</f>
        <v/>
      </c>
      <c r="M46" s="66" t="str">
        <f aca="false">IF(OR($D46="",$E46=""),"",IF(AND(M$5&gt;=$D46,M$5&lt;=$E46),IF(M$5-$D46+1&lt;=ROUND(($E46-$D46+1)*$F46,0),2,IF(M$5&lt;CFG_CurWeek,3,1)),""))</f>
        <v/>
      </c>
      <c r="N46" s="66" t="str">
        <f aca="false">IF(OR($D46="",$E46=""),"",IF(AND(N$5&gt;=$D46,N$5&lt;=$E46),IF(N$5-$D46+1&lt;=ROUND(($E46-$D46+1)*$F46,0),2,IF(N$5&lt;CFG_CurWeek,3,1)),""))</f>
        <v/>
      </c>
      <c r="O46" s="66" t="str">
        <f aca="false">IF(OR($D46="",$E46=""),"",IF(AND(O$5&gt;=$D46,O$5&lt;=$E46),IF(O$5-$D46+1&lt;=ROUND(($E46-$D46+1)*$F46,0),2,IF(O$5&lt;CFG_CurWeek,3,1)),""))</f>
        <v/>
      </c>
      <c r="P46" s="66" t="str">
        <f aca="false">IF(OR($D46="",$E46=""),"",IF(AND(P$5&gt;=$D46,P$5&lt;=$E46),IF(P$5-$D46+1&lt;=ROUND(($E46-$D46+1)*$F46,0),2,IF(P$5&lt;CFG_CurWeek,3,1)),""))</f>
        <v/>
      </c>
      <c r="Q46" s="66" t="str">
        <f aca="false">IF(OR($D46="",$E46=""),"",IF(AND(Q$5&gt;=$D46,Q$5&lt;=$E46),IF(Q$5-$D46+1&lt;=ROUND(($E46-$D46+1)*$F46,0),2,IF(Q$5&lt;CFG_CurWeek,3,1)),""))</f>
        <v/>
      </c>
      <c r="R46" s="66" t="str">
        <f aca="false">IF(OR($D46="",$E46=""),"",IF(AND(R$5&gt;=$D46,R$5&lt;=$E46),IF(R$5-$D46+1&lt;=ROUND(($E46-$D46+1)*$F46,0),2,IF(R$5&lt;CFG_CurWeek,3,1)),""))</f>
        <v/>
      </c>
      <c r="S46" s="66" t="str">
        <f aca="false">IF(OR($D46="",$E46=""),"",IF(AND(S$5&gt;=$D46,S$5&lt;=$E46),IF(S$5-$D46+1&lt;=ROUND(($E46-$D46+1)*$F46,0),2,IF(S$5&lt;CFG_CurWeek,3,1)),""))</f>
        <v/>
      </c>
      <c r="T46" s="66" t="str">
        <f aca="false">IF(OR($D46="",$E46=""),"",IF(AND(T$5&gt;=$D46,T$5&lt;=$E46),IF(T$5-$D46+1&lt;=ROUND(($E46-$D46+1)*$F46,0),2,IF(T$5&lt;CFG_CurWeek,3,1)),""))</f>
        <v/>
      </c>
      <c r="U46" s="66" t="str">
        <f aca="false">IF(OR($D46="",$E46=""),"",IF(AND(U$5&gt;=$D46,U$5&lt;=$E46),IF(U$5-$D46+1&lt;=ROUND(($E46-$D46+1)*$F46,0),2,IF(U$5&lt;CFG_CurWeek,3,1)),""))</f>
        <v/>
      </c>
      <c r="V46" s="66" t="str">
        <f aca="false">IF(OR($D46="",$E46=""),"",IF(AND(V$5&gt;=$D46,V$5&lt;=$E46),IF(V$5-$D46+1&lt;=ROUND(($E46-$D46+1)*$F46,0),2,IF(V$5&lt;CFG_CurWeek,3,1)),""))</f>
        <v/>
      </c>
      <c r="W46" s="66" t="str">
        <f aca="false">IF(OR($D46="",$E46=""),"",IF(AND(W$5&gt;=$D46,W$5&lt;=$E46),IF(W$5-$D46+1&lt;=ROUND(($E46-$D46+1)*$F46,0),2,IF(W$5&lt;CFG_CurWeek,3,1)),""))</f>
        <v/>
      </c>
      <c r="X46" s="66" t="str">
        <f aca="false">IF(OR($D46="",$E46=""),"",IF(AND(X$5&gt;=$D46,X$5&lt;=$E46),IF(X$5-$D46+1&lt;=ROUND(($E46-$D46+1)*$F46,0),2,IF(X$5&lt;CFG_CurWeek,3,1)),""))</f>
        <v/>
      </c>
      <c r="Y46" s="66" t="str">
        <f aca="false">IF(OR($D46="",$E46=""),"",IF(AND(Y$5&gt;=$D46,Y$5&lt;=$E46),IF(Y$5-$D46+1&lt;=ROUND(($E46-$D46+1)*$F46,0),2,IF(Y$5&lt;CFG_CurWeek,3,1)),""))</f>
        <v/>
      </c>
      <c r="Z46" s="66" t="str">
        <f aca="false">IF(OR($D46="",$E46=""),"",IF(AND(Z$5&gt;=$D46,Z$5&lt;=$E46),IF(Z$5-$D46+1&lt;=ROUND(($E46-$D46+1)*$F46,0),2,IF(Z$5&lt;CFG_CurWeek,3,1)),""))</f>
        <v/>
      </c>
      <c r="AA46" s="66" t="n">
        <f aca="false">IF(OR($D46="",$E46=""),"",IF(AND(AA$5&gt;=$D46,AA$5&lt;=$E46),IF(AA$5-$D46+1&lt;=ROUND(($E46-$D46+1)*$F46,0),2,IF(AA$5&lt;CFG_CurWeek,3,1)),""))</f>
        <v>1</v>
      </c>
      <c r="AB46" s="66" t="str">
        <f aca="false">IF(OR($D46="",$E46=""),"",IF(AND(AB$5&gt;=$D46,AB$5&lt;=$E46),IF(AB$5-$D46+1&lt;=ROUND(($E46-$D46+1)*$F46,0),2,IF(AB$5&lt;CFG_CurWeek,3,1)),""))</f>
        <v/>
      </c>
      <c r="AC46" s="66" t="str">
        <f aca="false">IF(OR($D46="",$E46=""),"",IF(AND(AC$5&gt;=$D46,AC$5&lt;=$E46),IF(AC$5-$D46+1&lt;=ROUND(($E46-$D46+1)*$F46,0),2,IF(AC$5&lt;CFG_CurWeek,3,1)),""))</f>
        <v/>
      </c>
      <c r="AD46" s="66" t="str">
        <f aca="false">IF(OR($D46="",$E46=""),"",IF(AND(AD$5&gt;=$D46,AD$5&lt;=$E46),IF(AD$5-$D46+1&lt;=ROUND(($E46-$D46+1)*$F46,0),2,IF(AD$5&lt;CFG_CurWeek,3,1)),""))</f>
        <v/>
      </c>
      <c r="AE46" s="66" t="str">
        <f aca="false">IF(OR($D46="",$E46=""),"",IF(AND(AE$5&gt;=$D46,AE$5&lt;=$E46),IF(AE$5-$D46+1&lt;=ROUND(($E46-$D46+1)*$F46,0),2,IF(AE$5&lt;CFG_CurWeek,3,1)),""))</f>
        <v/>
      </c>
      <c r="AF46" s="66" t="str">
        <f aca="false">IF(OR($D46="",$E46=""),"",IF(AND(AF$5&gt;=$D46,AF$5&lt;=$E46),IF(AF$5-$D46+1&lt;=ROUND(($E46-$D46+1)*$F46,0),2,IF(AF$5&lt;CFG_CurWeek,3,1)),""))</f>
        <v/>
      </c>
      <c r="AG46" s="66" t="str">
        <f aca="false">IF(OR($D46="",$E46=""),"",IF(AND(AG$5&gt;=$D46,AG$5&lt;=$E46),IF(AG$5-$D46+1&lt;=ROUND(($E46-$D46+1)*$F46,0),2,IF(AG$5&lt;CFG_CurWeek,3,1)),""))</f>
        <v/>
      </c>
      <c r="AH46" s="66" t="str">
        <f aca="false">IF(OR($D46="",$E46=""),"",IF(AND(AH$5&gt;=$D46,AH$5&lt;=$E46),IF(AH$5-$D46+1&lt;=ROUND(($E46-$D46+1)*$F46,0),2,IF(AH$5&lt;CFG_CurWeek,3,1)),""))</f>
        <v/>
      </c>
      <c r="AI46" s="66" t="str">
        <f aca="false">IF(OR($D46="",$E46=""),"",IF(AND(AI$5&gt;=$D46,AI$5&lt;=$E46),IF(AI$5-$D46+1&lt;=ROUND(($E46-$D46+1)*$F46,0),2,IF(AI$5&lt;CFG_CurWeek,3,1)),""))</f>
        <v/>
      </c>
      <c r="AJ46" s="66" t="str">
        <f aca="false">IF(OR($D46="",$E46=""),"",IF(AND(AJ$5&gt;=$D46,AJ$5&lt;=$E46),IF(AJ$5-$D46+1&lt;=ROUND(($E46-$D46+1)*$F46,0),2,IF(AJ$5&lt;CFG_CurWeek,3,1)),""))</f>
        <v/>
      </c>
      <c r="AK46" s="66" t="str">
        <f aca="false">IF(OR($D46="",$E46=""),"",IF(AND(AK$5&gt;=$D46,AK$5&lt;=$E46),IF(AK$5-$D46+1&lt;=ROUND(($E46-$D46+1)*$F46,0),2,IF(AK$5&lt;CFG_CurWeek,3,1)),""))</f>
        <v/>
      </c>
      <c r="AL46" s="66" t="str">
        <f aca="false">IF(OR($D46="",$E46=""),"",IF(AND(AL$5&gt;=$D46,AL$5&lt;=$E46),IF(AL$5-$D46+1&lt;=ROUND(($E46-$D46+1)*$F46,0),2,IF(AL$5&lt;CFG_CurWeek,3,1)),""))</f>
        <v/>
      </c>
      <c r="AM46" s="66" t="str">
        <f aca="false">IF(OR($D46="",$E46=""),"",IF(AND(AM$5&gt;=$D46,AM$5&lt;=$E46),IF(AM$5-$D46+1&lt;=ROUND(($E46-$D46+1)*$F46,0),2,IF(AM$5&lt;CFG_CurWeek,3,1)),""))</f>
        <v/>
      </c>
      <c r="AN46" s="66" t="str">
        <f aca="false">IF(OR($D46="",$E46=""),"",IF(AND(AN$5&gt;=$D46,AN$5&lt;=$E46),IF(AN$5-$D46+1&lt;=ROUND(($E46-$D46+1)*$F46,0),2,IF(AN$5&lt;CFG_CurWeek,3,1)),""))</f>
        <v/>
      </c>
      <c r="AO46" s="66" t="str">
        <f aca="false">IF(OR($D46="",$E46=""),"",IF(AND(AO$5&gt;=$D46,AO$5&lt;=$E46),IF(AO$5-$D46+1&lt;=ROUND(($E46-$D46+1)*$F46,0),2,IF(AO$5&lt;CFG_CurWeek,3,1)),""))</f>
        <v/>
      </c>
    </row>
    <row r="47" customFormat="false" ht="15" hidden="false" customHeight="false" outlineLevel="0" collapsed="false">
      <c r="A47" s="63" t="str">
        <f aca="false">IF('01_WBS &amp; Master Plan'!A44="","",'01_WBS &amp; Master Plan'!A44)</f>
        <v>5.6</v>
      </c>
      <c r="B47" s="64" t="str">
        <f aca="false">IF('01_WBS &amp; Master Plan'!D44="","",'01_WBS &amp; Master Plan'!D44)</f>
        <v>Tìm kiếm FULLTEXT theo bài/nghệ sĩ/album + gợi ý khi gõ</v>
      </c>
      <c r="C47" s="63" t="str">
        <f aca="false">IF('01_WBS &amp; Master Plan'!E44="","",'01_WBS &amp; Master Plan'!E44)</f>
        <v>Nhật</v>
      </c>
      <c r="D47" s="63" t="n">
        <f aca="false">IF('01_WBS &amp; Master Plan'!H44="","",'01_WBS &amp; Master Plan'!H44)</f>
        <v>20</v>
      </c>
      <c r="E47" s="63" t="n">
        <f aca="false">IF('01_WBS &amp; Master Plan'!I44="","",'01_WBS &amp; Master Plan'!I44)</f>
        <v>21</v>
      </c>
      <c r="F47" s="65" t="n">
        <f aca="false">IF(B47="","",IF('01_WBS &amp; Master Plan'!K44="Done",1,IF('01_WBS &amp; Master Plan'!L44="",0,'01_WBS &amp; Master Plan'!L44)))</f>
        <v>0</v>
      </c>
      <c r="G47" s="63" t="str">
        <f aca="false">IF('01_WBS &amp; Master Plan'!K44="","",'01_WBS &amp; Master Plan'!K44)</f>
        <v>To Do</v>
      </c>
      <c r="H47" s="66" t="str">
        <f aca="false">IF(OR($D47="",$E47=""),"",IF(AND(H$5&gt;=$D47,H$5&lt;=$E47),IF(H$5-$D47+1&lt;=ROUND(($E47-$D47+1)*$F47,0),2,IF(H$5&lt;CFG_CurWeek,3,1)),""))</f>
        <v/>
      </c>
      <c r="I47" s="66" t="str">
        <f aca="false">IF(OR($D47="",$E47=""),"",IF(AND(I$5&gt;=$D47,I$5&lt;=$E47),IF(I$5-$D47+1&lt;=ROUND(($E47-$D47+1)*$F47,0),2,IF(I$5&lt;CFG_CurWeek,3,1)),""))</f>
        <v/>
      </c>
      <c r="J47" s="66" t="str">
        <f aca="false">IF(OR($D47="",$E47=""),"",IF(AND(J$5&gt;=$D47,J$5&lt;=$E47),IF(J$5-$D47+1&lt;=ROUND(($E47-$D47+1)*$F47,0),2,IF(J$5&lt;CFG_CurWeek,3,1)),""))</f>
        <v/>
      </c>
      <c r="K47" s="66" t="str">
        <f aca="false">IF(OR($D47="",$E47=""),"",IF(AND(K$5&gt;=$D47,K$5&lt;=$E47),IF(K$5-$D47+1&lt;=ROUND(($E47-$D47+1)*$F47,0),2,IF(K$5&lt;CFG_CurWeek,3,1)),""))</f>
        <v/>
      </c>
      <c r="L47" s="66" t="str">
        <f aca="false">IF(OR($D47="",$E47=""),"",IF(AND(L$5&gt;=$D47,L$5&lt;=$E47),IF(L$5-$D47+1&lt;=ROUND(($E47-$D47+1)*$F47,0),2,IF(L$5&lt;CFG_CurWeek,3,1)),""))</f>
        <v/>
      </c>
      <c r="M47" s="66" t="str">
        <f aca="false">IF(OR($D47="",$E47=""),"",IF(AND(M$5&gt;=$D47,M$5&lt;=$E47),IF(M$5-$D47+1&lt;=ROUND(($E47-$D47+1)*$F47,0),2,IF(M$5&lt;CFG_CurWeek,3,1)),""))</f>
        <v/>
      </c>
      <c r="N47" s="66" t="str">
        <f aca="false">IF(OR($D47="",$E47=""),"",IF(AND(N$5&gt;=$D47,N$5&lt;=$E47),IF(N$5-$D47+1&lt;=ROUND(($E47-$D47+1)*$F47,0),2,IF(N$5&lt;CFG_CurWeek,3,1)),""))</f>
        <v/>
      </c>
      <c r="O47" s="66" t="str">
        <f aca="false">IF(OR($D47="",$E47=""),"",IF(AND(O$5&gt;=$D47,O$5&lt;=$E47),IF(O$5-$D47+1&lt;=ROUND(($E47-$D47+1)*$F47,0),2,IF(O$5&lt;CFG_CurWeek,3,1)),""))</f>
        <v/>
      </c>
      <c r="P47" s="66" t="str">
        <f aca="false">IF(OR($D47="",$E47=""),"",IF(AND(P$5&gt;=$D47,P$5&lt;=$E47),IF(P$5-$D47+1&lt;=ROUND(($E47-$D47+1)*$F47,0),2,IF(P$5&lt;CFG_CurWeek,3,1)),""))</f>
        <v/>
      </c>
      <c r="Q47" s="66" t="str">
        <f aca="false">IF(OR($D47="",$E47=""),"",IF(AND(Q$5&gt;=$D47,Q$5&lt;=$E47),IF(Q$5-$D47+1&lt;=ROUND(($E47-$D47+1)*$F47,0),2,IF(Q$5&lt;CFG_CurWeek,3,1)),""))</f>
        <v/>
      </c>
      <c r="R47" s="66" t="str">
        <f aca="false">IF(OR($D47="",$E47=""),"",IF(AND(R$5&gt;=$D47,R$5&lt;=$E47),IF(R$5-$D47+1&lt;=ROUND(($E47-$D47+1)*$F47,0),2,IF(R$5&lt;CFG_CurWeek,3,1)),""))</f>
        <v/>
      </c>
      <c r="S47" s="66" t="str">
        <f aca="false">IF(OR($D47="",$E47=""),"",IF(AND(S$5&gt;=$D47,S$5&lt;=$E47),IF(S$5-$D47+1&lt;=ROUND(($E47-$D47+1)*$F47,0),2,IF(S$5&lt;CFG_CurWeek,3,1)),""))</f>
        <v/>
      </c>
      <c r="T47" s="66" t="str">
        <f aca="false">IF(OR($D47="",$E47=""),"",IF(AND(T$5&gt;=$D47,T$5&lt;=$E47),IF(T$5-$D47+1&lt;=ROUND(($E47-$D47+1)*$F47,0),2,IF(T$5&lt;CFG_CurWeek,3,1)),""))</f>
        <v/>
      </c>
      <c r="U47" s="66" t="str">
        <f aca="false">IF(OR($D47="",$E47=""),"",IF(AND(U$5&gt;=$D47,U$5&lt;=$E47),IF(U$5-$D47+1&lt;=ROUND(($E47-$D47+1)*$F47,0),2,IF(U$5&lt;CFG_CurWeek,3,1)),""))</f>
        <v/>
      </c>
      <c r="V47" s="66" t="str">
        <f aca="false">IF(OR($D47="",$E47=""),"",IF(AND(V$5&gt;=$D47,V$5&lt;=$E47),IF(V$5-$D47+1&lt;=ROUND(($E47-$D47+1)*$F47,0),2,IF(V$5&lt;CFG_CurWeek,3,1)),""))</f>
        <v/>
      </c>
      <c r="W47" s="66" t="str">
        <f aca="false">IF(OR($D47="",$E47=""),"",IF(AND(W$5&gt;=$D47,W$5&lt;=$E47),IF(W$5-$D47+1&lt;=ROUND(($E47-$D47+1)*$F47,0),2,IF(W$5&lt;CFG_CurWeek,3,1)),""))</f>
        <v/>
      </c>
      <c r="X47" s="66" t="str">
        <f aca="false">IF(OR($D47="",$E47=""),"",IF(AND(X$5&gt;=$D47,X$5&lt;=$E47),IF(X$5-$D47+1&lt;=ROUND(($E47-$D47+1)*$F47,0),2,IF(X$5&lt;CFG_CurWeek,3,1)),""))</f>
        <v/>
      </c>
      <c r="Y47" s="66" t="str">
        <f aca="false">IF(OR($D47="",$E47=""),"",IF(AND(Y$5&gt;=$D47,Y$5&lt;=$E47),IF(Y$5-$D47+1&lt;=ROUND(($E47-$D47+1)*$F47,0),2,IF(Y$5&lt;CFG_CurWeek,3,1)),""))</f>
        <v/>
      </c>
      <c r="Z47" s="66" t="str">
        <f aca="false">IF(OR($D47="",$E47=""),"",IF(AND(Z$5&gt;=$D47,Z$5&lt;=$E47),IF(Z$5-$D47+1&lt;=ROUND(($E47-$D47+1)*$F47,0),2,IF(Z$5&lt;CFG_CurWeek,3,1)),""))</f>
        <v/>
      </c>
      <c r="AA47" s="66" t="n">
        <f aca="false">IF(OR($D47="",$E47=""),"",IF(AND(AA$5&gt;=$D47,AA$5&lt;=$E47),IF(AA$5-$D47+1&lt;=ROUND(($E47-$D47+1)*$F47,0),2,IF(AA$5&lt;CFG_CurWeek,3,1)),""))</f>
        <v>1</v>
      </c>
      <c r="AB47" s="66" t="n">
        <f aca="false">IF(OR($D47="",$E47=""),"",IF(AND(AB$5&gt;=$D47,AB$5&lt;=$E47),IF(AB$5-$D47+1&lt;=ROUND(($E47-$D47+1)*$F47,0),2,IF(AB$5&lt;CFG_CurWeek,3,1)),""))</f>
        <v>1</v>
      </c>
      <c r="AC47" s="66" t="str">
        <f aca="false">IF(OR($D47="",$E47=""),"",IF(AND(AC$5&gt;=$D47,AC$5&lt;=$E47),IF(AC$5-$D47+1&lt;=ROUND(($E47-$D47+1)*$F47,0),2,IF(AC$5&lt;CFG_CurWeek,3,1)),""))</f>
        <v/>
      </c>
      <c r="AD47" s="66" t="str">
        <f aca="false">IF(OR($D47="",$E47=""),"",IF(AND(AD$5&gt;=$D47,AD$5&lt;=$E47),IF(AD$5-$D47+1&lt;=ROUND(($E47-$D47+1)*$F47,0),2,IF(AD$5&lt;CFG_CurWeek,3,1)),""))</f>
        <v/>
      </c>
      <c r="AE47" s="66" t="str">
        <f aca="false">IF(OR($D47="",$E47=""),"",IF(AND(AE$5&gt;=$D47,AE$5&lt;=$E47),IF(AE$5-$D47+1&lt;=ROUND(($E47-$D47+1)*$F47,0),2,IF(AE$5&lt;CFG_CurWeek,3,1)),""))</f>
        <v/>
      </c>
      <c r="AF47" s="66" t="str">
        <f aca="false">IF(OR($D47="",$E47=""),"",IF(AND(AF$5&gt;=$D47,AF$5&lt;=$E47),IF(AF$5-$D47+1&lt;=ROUND(($E47-$D47+1)*$F47,0),2,IF(AF$5&lt;CFG_CurWeek,3,1)),""))</f>
        <v/>
      </c>
      <c r="AG47" s="66" t="str">
        <f aca="false">IF(OR($D47="",$E47=""),"",IF(AND(AG$5&gt;=$D47,AG$5&lt;=$E47),IF(AG$5-$D47+1&lt;=ROUND(($E47-$D47+1)*$F47,0),2,IF(AG$5&lt;CFG_CurWeek,3,1)),""))</f>
        <v/>
      </c>
      <c r="AH47" s="66" t="str">
        <f aca="false">IF(OR($D47="",$E47=""),"",IF(AND(AH$5&gt;=$D47,AH$5&lt;=$E47),IF(AH$5-$D47+1&lt;=ROUND(($E47-$D47+1)*$F47,0),2,IF(AH$5&lt;CFG_CurWeek,3,1)),""))</f>
        <v/>
      </c>
      <c r="AI47" s="66" t="str">
        <f aca="false">IF(OR($D47="",$E47=""),"",IF(AND(AI$5&gt;=$D47,AI$5&lt;=$E47),IF(AI$5-$D47+1&lt;=ROUND(($E47-$D47+1)*$F47,0),2,IF(AI$5&lt;CFG_CurWeek,3,1)),""))</f>
        <v/>
      </c>
      <c r="AJ47" s="66" t="str">
        <f aca="false">IF(OR($D47="",$E47=""),"",IF(AND(AJ$5&gt;=$D47,AJ$5&lt;=$E47),IF(AJ$5-$D47+1&lt;=ROUND(($E47-$D47+1)*$F47,0),2,IF(AJ$5&lt;CFG_CurWeek,3,1)),""))</f>
        <v/>
      </c>
      <c r="AK47" s="66" t="str">
        <f aca="false">IF(OR($D47="",$E47=""),"",IF(AND(AK$5&gt;=$D47,AK$5&lt;=$E47),IF(AK$5-$D47+1&lt;=ROUND(($E47-$D47+1)*$F47,0),2,IF(AK$5&lt;CFG_CurWeek,3,1)),""))</f>
        <v/>
      </c>
      <c r="AL47" s="66" t="str">
        <f aca="false">IF(OR($D47="",$E47=""),"",IF(AND(AL$5&gt;=$D47,AL$5&lt;=$E47),IF(AL$5-$D47+1&lt;=ROUND(($E47-$D47+1)*$F47,0),2,IF(AL$5&lt;CFG_CurWeek,3,1)),""))</f>
        <v/>
      </c>
      <c r="AM47" s="66" t="str">
        <f aca="false">IF(OR($D47="",$E47=""),"",IF(AND(AM$5&gt;=$D47,AM$5&lt;=$E47),IF(AM$5-$D47+1&lt;=ROUND(($E47-$D47+1)*$F47,0),2,IF(AM$5&lt;CFG_CurWeek,3,1)),""))</f>
        <v/>
      </c>
      <c r="AN47" s="66" t="str">
        <f aca="false">IF(OR($D47="",$E47=""),"",IF(AND(AN$5&gt;=$D47,AN$5&lt;=$E47),IF(AN$5-$D47+1&lt;=ROUND(($E47-$D47+1)*$F47,0),2,IF(AN$5&lt;CFG_CurWeek,3,1)),""))</f>
        <v/>
      </c>
      <c r="AO47" s="66" t="str">
        <f aca="false">IF(OR($D47="",$E47=""),"",IF(AND(AO$5&gt;=$D47,AO$5&lt;=$E47),IF(AO$5-$D47+1&lt;=ROUND(($E47-$D47+1)*$F47,0),2,IF(AO$5&lt;CFG_CurWeek,3,1)),""))</f>
        <v/>
      </c>
    </row>
    <row r="48" customFormat="false" ht="15" hidden="false" customHeight="false" outlineLevel="0" collapsed="false">
      <c r="A48" s="63" t="str">
        <f aca="false">IF('01_WBS &amp; Master Plan'!A45="","",'01_WBS &amp; Master Plan'!A45)</f>
        <v>5.7</v>
      </c>
      <c r="B48" s="64" t="str">
        <f aca="false">IF('01_WBS &amp; Master Plan'!D45="","",'01_WBS &amp; Master Plan'!D45)</f>
        <v>Trang Thể loại &amp; Khám phá dùng dữ liệu thật</v>
      </c>
      <c r="C48" s="63" t="str">
        <f aca="false">IF('01_WBS &amp; Master Plan'!E45="","",'01_WBS &amp; Master Plan'!E45)</f>
        <v>Nhật</v>
      </c>
      <c r="D48" s="63" t="n">
        <f aca="false">IF('01_WBS &amp; Master Plan'!H45="","",'01_WBS &amp; Master Plan'!H45)</f>
        <v>21</v>
      </c>
      <c r="E48" s="63" t="n">
        <f aca="false">IF('01_WBS &amp; Master Plan'!I45="","",'01_WBS &amp; Master Plan'!I45)</f>
        <v>21</v>
      </c>
      <c r="F48" s="65" t="n">
        <f aca="false">IF(B48="","",IF('01_WBS &amp; Master Plan'!K45="Done",1,IF('01_WBS &amp; Master Plan'!L45="",0,'01_WBS &amp; Master Plan'!L45)))</f>
        <v>0</v>
      </c>
      <c r="G48" s="63" t="str">
        <f aca="false">IF('01_WBS &amp; Master Plan'!K45="","",'01_WBS &amp; Master Plan'!K45)</f>
        <v>To Do</v>
      </c>
      <c r="H48" s="66" t="str">
        <f aca="false">IF(OR($D48="",$E48=""),"",IF(AND(H$5&gt;=$D48,H$5&lt;=$E48),IF(H$5-$D48+1&lt;=ROUND(($E48-$D48+1)*$F48,0),2,IF(H$5&lt;CFG_CurWeek,3,1)),""))</f>
        <v/>
      </c>
      <c r="I48" s="66" t="str">
        <f aca="false">IF(OR($D48="",$E48=""),"",IF(AND(I$5&gt;=$D48,I$5&lt;=$E48),IF(I$5-$D48+1&lt;=ROUND(($E48-$D48+1)*$F48,0),2,IF(I$5&lt;CFG_CurWeek,3,1)),""))</f>
        <v/>
      </c>
      <c r="J48" s="66" t="str">
        <f aca="false">IF(OR($D48="",$E48=""),"",IF(AND(J$5&gt;=$D48,J$5&lt;=$E48),IF(J$5-$D48+1&lt;=ROUND(($E48-$D48+1)*$F48,0),2,IF(J$5&lt;CFG_CurWeek,3,1)),""))</f>
        <v/>
      </c>
      <c r="K48" s="66" t="str">
        <f aca="false">IF(OR($D48="",$E48=""),"",IF(AND(K$5&gt;=$D48,K$5&lt;=$E48),IF(K$5-$D48+1&lt;=ROUND(($E48-$D48+1)*$F48,0),2,IF(K$5&lt;CFG_CurWeek,3,1)),""))</f>
        <v/>
      </c>
      <c r="L48" s="66" t="str">
        <f aca="false">IF(OR($D48="",$E48=""),"",IF(AND(L$5&gt;=$D48,L$5&lt;=$E48),IF(L$5-$D48+1&lt;=ROUND(($E48-$D48+1)*$F48,0),2,IF(L$5&lt;CFG_CurWeek,3,1)),""))</f>
        <v/>
      </c>
      <c r="M48" s="66" t="str">
        <f aca="false">IF(OR($D48="",$E48=""),"",IF(AND(M$5&gt;=$D48,M$5&lt;=$E48),IF(M$5-$D48+1&lt;=ROUND(($E48-$D48+1)*$F48,0),2,IF(M$5&lt;CFG_CurWeek,3,1)),""))</f>
        <v/>
      </c>
      <c r="N48" s="66" t="str">
        <f aca="false">IF(OR($D48="",$E48=""),"",IF(AND(N$5&gt;=$D48,N$5&lt;=$E48),IF(N$5-$D48+1&lt;=ROUND(($E48-$D48+1)*$F48,0),2,IF(N$5&lt;CFG_CurWeek,3,1)),""))</f>
        <v/>
      </c>
      <c r="O48" s="66" t="str">
        <f aca="false">IF(OR($D48="",$E48=""),"",IF(AND(O$5&gt;=$D48,O$5&lt;=$E48),IF(O$5-$D48+1&lt;=ROUND(($E48-$D48+1)*$F48,0),2,IF(O$5&lt;CFG_CurWeek,3,1)),""))</f>
        <v/>
      </c>
      <c r="P48" s="66" t="str">
        <f aca="false">IF(OR($D48="",$E48=""),"",IF(AND(P$5&gt;=$D48,P$5&lt;=$E48),IF(P$5-$D48+1&lt;=ROUND(($E48-$D48+1)*$F48,0),2,IF(P$5&lt;CFG_CurWeek,3,1)),""))</f>
        <v/>
      </c>
      <c r="Q48" s="66" t="str">
        <f aca="false">IF(OR($D48="",$E48=""),"",IF(AND(Q$5&gt;=$D48,Q$5&lt;=$E48),IF(Q$5-$D48+1&lt;=ROUND(($E48-$D48+1)*$F48,0),2,IF(Q$5&lt;CFG_CurWeek,3,1)),""))</f>
        <v/>
      </c>
      <c r="R48" s="66" t="str">
        <f aca="false">IF(OR($D48="",$E48=""),"",IF(AND(R$5&gt;=$D48,R$5&lt;=$E48),IF(R$5-$D48+1&lt;=ROUND(($E48-$D48+1)*$F48,0),2,IF(R$5&lt;CFG_CurWeek,3,1)),""))</f>
        <v/>
      </c>
      <c r="S48" s="66" t="str">
        <f aca="false">IF(OR($D48="",$E48=""),"",IF(AND(S$5&gt;=$D48,S$5&lt;=$E48),IF(S$5-$D48+1&lt;=ROUND(($E48-$D48+1)*$F48,0),2,IF(S$5&lt;CFG_CurWeek,3,1)),""))</f>
        <v/>
      </c>
      <c r="T48" s="66" t="str">
        <f aca="false">IF(OR($D48="",$E48=""),"",IF(AND(T$5&gt;=$D48,T$5&lt;=$E48),IF(T$5-$D48+1&lt;=ROUND(($E48-$D48+1)*$F48,0),2,IF(T$5&lt;CFG_CurWeek,3,1)),""))</f>
        <v/>
      </c>
      <c r="U48" s="66" t="str">
        <f aca="false">IF(OR($D48="",$E48=""),"",IF(AND(U$5&gt;=$D48,U$5&lt;=$E48),IF(U$5-$D48+1&lt;=ROUND(($E48-$D48+1)*$F48,0),2,IF(U$5&lt;CFG_CurWeek,3,1)),""))</f>
        <v/>
      </c>
      <c r="V48" s="66" t="str">
        <f aca="false">IF(OR($D48="",$E48=""),"",IF(AND(V$5&gt;=$D48,V$5&lt;=$E48),IF(V$5-$D48+1&lt;=ROUND(($E48-$D48+1)*$F48,0),2,IF(V$5&lt;CFG_CurWeek,3,1)),""))</f>
        <v/>
      </c>
      <c r="W48" s="66" t="str">
        <f aca="false">IF(OR($D48="",$E48=""),"",IF(AND(W$5&gt;=$D48,W$5&lt;=$E48),IF(W$5-$D48+1&lt;=ROUND(($E48-$D48+1)*$F48,0),2,IF(W$5&lt;CFG_CurWeek,3,1)),""))</f>
        <v/>
      </c>
      <c r="X48" s="66" t="str">
        <f aca="false">IF(OR($D48="",$E48=""),"",IF(AND(X$5&gt;=$D48,X$5&lt;=$E48),IF(X$5-$D48+1&lt;=ROUND(($E48-$D48+1)*$F48,0),2,IF(X$5&lt;CFG_CurWeek,3,1)),""))</f>
        <v/>
      </c>
      <c r="Y48" s="66" t="str">
        <f aca="false">IF(OR($D48="",$E48=""),"",IF(AND(Y$5&gt;=$D48,Y$5&lt;=$E48),IF(Y$5-$D48+1&lt;=ROUND(($E48-$D48+1)*$F48,0),2,IF(Y$5&lt;CFG_CurWeek,3,1)),""))</f>
        <v/>
      </c>
      <c r="Z48" s="66" t="str">
        <f aca="false">IF(OR($D48="",$E48=""),"",IF(AND(Z$5&gt;=$D48,Z$5&lt;=$E48),IF(Z$5-$D48+1&lt;=ROUND(($E48-$D48+1)*$F48,0),2,IF(Z$5&lt;CFG_CurWeek,3,1)),""))</f>
        <v/>
      </c>
      <c r="AA48" s="66" t="str">
        <f aca="false">IF(OR($D48="",$E48=""),"",IF(AND(AA$5&gt;=$D48,AA$5&lt;=$E48),IF(AA$5-$D48+1&lt;=ROUND(($E48-$D48+1)*$F48,0),2,IF(AA$5&lt;CFG_CurWeek,3,1)),""))</f>
        <v/>
      </c>
      <c r="AB48" s="66" t="n">
        <f aca="false">IF(OR($D48="",$E48=""),"",IF(AND(AB$5&gt;=$D48,AB$5&lt;=$E48),IF(AB$5-$D48+1&lt;=ROUND(($E48-$D48+1)*$F48,0),2,IF(AB$5&lt;CFG_CurWeek,3,1)),""))</f>
        <v>1</v>
      </c>
      <c r="AC48" s="66" t="str">
        <f aca="false">IF(OR($D48="",$E48=""),"",IF(AND(AC$5&gt;=$D48,AC$5&lt;=$E48),IF(AC$5-$D48+1&lt;=ROUND(($E48-$D48+1)*$F48,0),2,IF(AC$5&lt;CFG_CurWeek,3,1)),""))</f>
        <v/>
      </c>
      <c r="AD48" s="66" t="str">
        <f aca="false">IF(OR($D48="",$E48=""),"",IF(AND(AD$5&gt;=$D48,AD$5&lt;=$E48),IF(AD$5-$D48+1&lt;=ROUND(($E48-$D48+1)*$F48,0),2,IF(AD$5&lt;CFG_CurWeek,3,1)),""))</f>
        <v/>
      </c>
      <c r="AE48" s="66" t="str">
        <f aca="false">IF(OR($D48="",$E48=""),"",IF(AND(AE$5&gt;=$D48,AE$5&lt;=$E48),IF(AE$5-$D48+1&lt;=ROUND(($E48-$D48+1)*$F48,0),2,IF(AE$5&lt;CFG_CurWeek,3,1)),""))</f>
        <v/>
      </c>
      <c r="AF48" s="66" t="str">
        <f aca="false">IF(OR($D48="",$E48=""),"",IF(AND(AF$5&gt;=$D48,AF$5&lt;=$E48),IF(AF$5-$D48+1&lt;=ROUND(($E48-$D48+1)*$F48,0),2,IF(AF$5&lt;CFG_CurWeek,3,1)),""))</f>
        <v/>
      </c>
      <c r="AG48" s="66" t="str">
        <f aca="false">IF(OR($D48="",$E48=""),"",IF(AND(AG$5&gt;=$D48,AG$5&lt;=$E48),IF(AG$5-$D48+1&lt;=ROUND(($E48-$D48+1)*$F48,0),2,IF(AG$5&lt;CFG_CurWeek,3,1)),""))</f>
        <v/>
      </c>
      <c r="AH48" s="66" t="str">
        <f aca="false">IF(OR($D48="",$E48=""),"",IF(AND(AH$5&gt;=$D48,AH$5&lt;=$E48),IF(AH$5-$D48+1&lt;=ROUND(($E48-$D48+1)*$F48,0),2,IF(AH$5&lt;CFG_CurWeek,3,1)),""))</f>
        <v/>
      </c>
      <c r="AI48" s="66" t="str">
        <f aca="false">IF(OR($D48="",$E48=""),"",IF(AND(AI$5&gt;=$D48,AI$5&lt;=$E48),IF(AI$5-$D48+1&lt;=ROUND(($E48-$D48+1)*$F48,0),2,IF(AI$5&lt;CFG_CurWeek,3,1)),""))</f>
        <v/>
      </c>
      <c r="AJ48" s="66" t="str">
        <f aca="false">IF(OR($D48="",$E48=""),"",IF(AND(AJ$5&gt;=$D48,AJ$5&lt;=$E48),IF(AJ$5-$D48+1&lt;=ROUND(($E48-$D48+1)*$F48,0),2,IF(AJ$5&lt;CFG_CurWeek,3,1)),""))</f>
        <v/>
      </c>
      <c r="AK48" s="66" t="str">
        <f aca="false">IF(OR($D48="",$E48=""),"",IF(AND(AK$5&gt;=$D48,AK$5&lt;=$E48),IF(AK$5-$D48+1&lt;=ROUND(($E48-$D48+1)*$F48,0),2,IF(AK$5&lt;CFG_CurWeek,3,1)),""))</f>
        <v/>
      </c>
      <c r="AL48" s="66" t="str">
        <f aca="false">IF(OR($D48="",$E48=""),"",IF(AND(AL$5&gt;=$D48,AL$5&lt;=$E48),IF(AL$5-$D48+1&lt;=ROUND(($E48-$D48+1)*$F48,0),2,IF(AL$5&lt;CFG_CurWeek,3,1)),""))</f>
        <v/>
      </c>
      <c r="AM48" s="66" t="str">
        <f aca="false">IF(OR($D48="",$E48=""),"",IF(AND(AM$5&gt;=$D48,AM$5&lt;=$E48),IF(AM$5-$D48+1&lt;=ROUND(($E48-$D48+1)*$F48,0),2,IF(AM$5&lt;CFG_CurWeek,3,1)),""))</f>
        <v/>
      </c>
      <c r="AN48" s="66" t="str">
        <f aca="false">IF(OR($D48="",$E48=""),"",IF(AND(AN$5&gt;=$D48,AN$5&lt;=$E48),IF(AN$5-$D48+1&lt;=ROUND(($E48-$D48+1)*$F48,0),2,IF(AN$5&lt;CFG_CurWeek,3,1)),""))</f>
        <v/>
      </c>
      <c r="AO48" s="66" t="str">
        <f aca="false">IF(OR($D48="",$E48=""),"",IF(AND(AO$5&gt;=$D48,AO$5&lt;=$E48),IF(AO$5-$D48+1&lt;=ROUND(($E48-$D48+1)*$F48,0),2,IF(AO$5&lt;CFG_CurWeek,3,1)),""))</f>
        <v/>
      </c>
    </row>
    <row r="49" customFormat="false" ht="15" hidden="false" customHeight="false" outlineLevel="0" collapsed="false">
      <c r="A49" s="63" t="str">
        <f aca="false">IF('01_WBS &amp; Master Plan'!A46="","",'01_WBS &amp; Master Plan'!A46)</f>
        <v>5.8</v>
      </c>
      <c r="B49" s="64" t="str">
        <f aca="false">IF('01_WBS &amp; Master Plan'!D46="","",'01_WBS &amp; Master Plan'!D46)</f>
        <v>Kiểm thử tích hợp FE–BE–DB; Release Alpha nội bộ</v>
      </c>
      <c r="C49" s="63" t="str">
        <f aca="false">IF('01_WBS &amp; Master Plan'!E46="","",'01_WBS &amp; Master Plan'!E46)</f>
        <v>Nhật</v>
      </c>
      <c r="D49" s="63" t="n">
        <f aca="false">IF('01_WBS &amp; Master Plan'!H46="","",'01_WBS &amp; Master Plan'!H46)</f>
        <v>21</v>
      </c>
      <c r="E49" s="63" t="n">
        <f aca="false">IF('01_WBS &amp; Master Plan'!I46="","",'01_WBS &amp; Master Plan'!I46)</f>
        <v>21</v>
      </c>
      <c r="F49" s="65" t="n">
        <f aca="false">IF(B49="","",IF('01_WBS &amp; Master Plan'!K46="Done",1,IF('01_WBS &amp; Master Plan'!L46="",0,'01_WBS &amp; Master Plan'!L46)))</f>
        <v>0</v>
      </c>
      <c r="G49" s="63" t="str">
        <f aca="false">IF('01_WBS &amp; Master Plan'!K46="","",'01_WBS &amp; Master Plan'!K46)</f>
        <v>To Do</v>
      </c>
      <c r="H49" s="66" t="str">
        <f aca="false">IF(OR($D49="",$E49=""),"",IF(AND(H$5&gt;=$D49,H$5&lt;=$E49),IF(H$5-$D49+1&lt;=ROUND(($E49-$D49+1)*$F49,0),2,IF(H$5&lt;CFG_CurWeek,3,1)),""))</f>
        <v/>
      </c>
      <c r="I49" s="66" t="str">
        <f aca="false">IF(OR($D49="",$E49=""),"",IF(AND(I$5&gt;=$D49,I$5&lt;=$E49),IF(I$5-$D49+1&lt;=ROUND(($E49-$D49+1)*$F49,0),2,IF(I$5&lt;CFG_CurWeek,3,1)),""))</f>
        <v/>
      </c>
      <c r="J49" s="66" t="str">
        <f aca="false">IF(OR($D49="",$E49=""),"",IF(AND(J$5&gt;=$D49,J$5&lt;=$E49),IF(J$5-$D49+1&lt;=ROUND(($E49-$D49+1)*$F49,0),2,IF(J$5&lt;CFG_CurWeek,3,1)),""))</f>
        <v/>
      </c>
      <c r="K49" s="66" t="str">
        <f aca="false">IF(OR($D49="",$E49=""),"",IF(AND(K$5&gt;=$D49,K$5&lt;=$E49),IF(K$5-$D49+1&lt;=ROUND(($E49-$D49+1)*$F49,0),2,IF(K$5&lt;CFG_CurWeek,3,1)),""))</f>
        <v/>
      </c>
      <c r="L49" s="66" t="str">
        <f aca="false">IF(OR($D49="",$E49=""),"",IF(AND(L$5&gt;=$D49,L$5&lt;=$E49),IF(L$5-$D49+1&lt;=ROUND(($E49-$D49+1)*$F49,0),2,IF(L$5&lt;CFG_CurWeek,3,1)),""))</f>
        <v/>
      </c>
      <c r="M49" s="66" t="str">
        <f aca="false">IF(OR($D49="",$E49=""),"",IF(AND(M$5&gt;=$D49,M$5&lt;=$E49),IF(M$5-$D49+1&lt;=ROUND(($E49-$D49+1)*$F49,0),2,IF(M$5&lt;CFG_CurWeek,3,1)),""))</f>
        <v/>
      </c>
      <c r="N49" s="66" t="str">
        <f aca="false">IF(OR($D49="",$E49=""),"",IF(AND(N$5&gt;=$D49,N$5&lt;=$E49),IF(N$5-$D49+1&lt;=ROUND(($E49-$D49+1)*$F49,0),2,IF(N$5&lt;CFG_CurWeek,3,1)),""))</f>
        <v/>
      </c>
      <c r="O49" s="66" t="str">
        <f aca="false">IF(OR($D49="",$E49=""),"",IF(AND(O$5&gt;=$D49,O$5&lt;=$E49),IF(O$5-$D49+1&lt;=ROUND(($E49-$D49+1)*$F49,0),2,IF(O$5&lt;CFG_CurWeek,3,1)),""))</f>
        <v/>
      </c>
      <c r="P49" s="66" t="str">
        <f aca="false">IF(OR($D49="",$E49=""),"",IF(AND(P$5&gt;=$D49,P$5&lt;=$E49),IF(P$5-$D49+1&lt;=ROUND(($E49-$D49+1)*$F49,0),2,IF(P$5&lt;CFG_CurWeek,3,1)),""))</f>
        <v/>
      </c>
      <c r="Q49" s="66" t="str">
        <f aca="false">IF(OR($D49="",$E49=""),"",IF(AND(Q$5&gt;=$D49,Q$5&lt;=$E49),IF(Q$5-$D49+1&lt;=ROUND(($E49-$D49+1)*$F49,0),2,IF(Q$5&lt;CFG_CurWeek,3,1)),""))</f>
        <v/>
      </c>
      <c r="R49" s="66" t="str">
        <f aca="false">IF(OR($D49="",$E49=""),"",IF(AND(R$5&gt;=$D49,R$5&lt;=$E49),IF(R$5-$D49+1&lt;=ROUND(($E49-$D49+1)*$F49,0),2,IF(R$5&lt;CFG_CurWeek,3,1)),""))</f>
        <v/>
      </c>
      <c r="S49" s="66" t="str">
        <f aca="false">IF(OR($D49="",$E49=""),"",IF(AND(S$5&gt;=$D49,S$5&lt;=$E49),IF(S$5-$D49+1&lt;=ROUND(($E49-$D49+1)*$F49,0),2,IF(S$5&lt;CFG_CurWeek,3,1)),""))</f>
        <v/>
      </c>
      <c r="T49" s="66" t="str">
        <f aca="false">IF(OR($D49="",$E49=""),"",IF(AND(T$5&gt;=$D49,T$5&lt;=$E49),IF(T$5-$D49+1&lt;=ROUND(($E49-$D49+1)*$F49,0),2,IF(T$5&lt;CFG_CurWeek,3,1)),""))</f>
        <v/>
      </c>
      <c r="U49" s="66" t="str">
        <f aca="false">IF(OR($D49="",$E49=""),"",IF(AND(U$5&gt;=$D49,U$5&lt;=$E49),IF(U$5-$D49+1&lt;=ROUND(($E49-$D49+1)*$F49,0),2,IF(U$5&lt;CFG_CurWeek,3,1)),""))</f>
        <v/>
      </c>
      <c r="V49" s="66" t="str">
        <f aca="false">IF(OR($D49="",$E49=""),"",IF(AND(V$5&gt;=$D49,V$5&lt;=$E49),IF(V$5-$D49+1&lt;=ROUND(($E49-$D49+1)*$F49,0),2,IF(V$5&lt;CFG_CurWeek,3,1)),""))</f>
        <v/>
      </c>
      <c r="W49" s="66" t="str">
        <f aca="false">IF(OR($D49="",$E49=""),"",IF(AND(W$5&gt;=$D49,W$5&lt;=$E49),IF(W$5-$D49+1&lt;=ROUND(($E49-$D49+1)*$F49,0),2,IF(W$5&lt;CFG_CurWeek,3,1)),""))</f>
        <v/>
      </c>
      <c r="X49" s="66" t="str">
        <f aca="false">IF(OR($D49="",$E49=""),"",IF(AND(X$5&gt;=$D49,X$5&lt;=$E49),IF(X$5-$D49+1&lt;=ROUND(($E49-$D49+1)*$F49,0),2,IF(X$5&lt;CFG_CurWeek,3,1)),""))</f>
        <v/>
      </c>
      <c r="Y49" s="66" t="str">
        <f aca="false">IF(OR($D49="",$E49=""),"",IF(AND(Y$5&gt;=$D49,Y$5&lt;=$E49),IF(Y$5-$D49+1&lt;=ROUND(($E49-$D49+1)*$F49,0),2,IF(Y$5&lt;CFG_CurWeek,3,1)),""))</f>
        <v/>
      </c>
      <c r="Z49" s="66" t="str">
        <f aca="false">IF(OR($D49="",$E49=""),"",IF(AND(Z$5&gt;=$D49,Z$5&lt;=$E49),IF(Z$5-$D49+1&lt;=ROUND(($E49-$D49+1)*$F49,0),2,IF(Z$5&lt;CFG_CurWeek,3,1)),""))</f>
        <v/>
      </c>
      <c r="AA49" s="66" t="str">
        <f aca="false">IF(OR($D49="",$E49=""),"",IF(AND(AA$5&gt;=$D49,AA$5&lt;=$E49),IF(AA$5-$D49+1&lt;=ROUND(($E49-$D49+1)*$F49,0),2,IF(AA$5&lt;CFG_CurWeek,3,1)),""))</f>
        <v/>
      </c>
      <c r="AB49" s="66" t="n">
        <f aca="false">IF(OR($D49="",$E49=""),"",IF(AND(AB$5&gt;=$D49,AB$5&lt;=$E49),IF(AB$5-$D49+1&lt;=ROUND(($E49-$D49+1)*$F49,0),2,IF(AB$5&lt;CFG_CurWeek,3,1)),""))</f>
        <v>1</v>
      </c>
      <c r="AC49" s="66" t="str">
        <f aca="false">IF(OR($D49="",$E49=""),"",IF(AND(AC$5&gt;=$D49,AC$5&lt;=$E49),IF(AC$5-$D49+1&lt;=ROUND(($E49-$D49+1)*$F49,0),2,IF(AC$5&lt;CFG_CurWeek,3,1)),""))</f>
        <v/>
      </c>
      <c r="AD49" s="66" t="str">
        <f aca="false">IF(OR($D49="",$E49=""),"",IF(AND(AD$5&gt;=$D49,AD$5&lt;=$E49),IF(AD$5-$D49+1&lt;=ROUND(($E49-$D49+1)*$F49,0),2,IF(AD$5&lt;CFG_CurWeek,3,1)),""))</f>
        <v/>
      </c>
      <c r="AE49" s="66" t="str">
        <f aca="false">IF(OR($D49="",$E49=""),"",IF(AND(AE$5&gt;=$D49,AE$5&lt;=$E49),IF(AE$5-$D49+1&lt;=ROUND(($E49-$D49+1)*$F49,0),2,IF(AE$5&lt;CFG_CurWeek,3,1)),""))</f>
        <v/>
      </c>
      <c r="AF49" s="66" t="str">
        <f aca="false">IF(OR($D49="",$E49=""),"",IF(AND(AF$5&gt;=$D49,AF$5&lt;=$E49),IF(AF$5-$D49+1&lt;=ROUND(($E49-$D49+1)*$F49,0),2,IF(AF$5&lt;CFG_CurWeek,3,1)),""))</f>
        <v/>
      </c>
      <c r="AG49" s="66" t="str">
        <f aca="false">IF(OR($D49="",$E49=""),"",IF(AND(AG$5&gt;=$D49,AG$5&lt;=$E49),IF(AG$5-$D49+1&lt;=ROUND(($E49-$D49+1)*$F49,0),2,IF(AG$5&lt;CFG_CurWeek,3,1)),""))</f>
        <v/>
      </c>
      <c r="AH49" s="66" t="str">
        <f aca="false">IF(OR($D49="",$E49=""),"",IF(AND(AH$5&gt;=$D49,AH$5&lt;=$E49),IF(AH$5-$D49+1&lt;=ROUND(($E49-$D49+1)*$F49,0),2,IF(AH$5&lt;CFG_CurWeek,3,1)),""))</f>
        <v/>
      </c>
      <c r="AI49" s="66" t="str">
        <f aca="false">IF(OR($D49="",$E49=""),"",IF(AND(AI$5&gt;=$D49,AI$5&lt;=$E49),IF(AI$5-$D49+1&lt;=ROUND(($E49-$D49+1)*$F49,0),2,IF(AI$5&lt;CFG_CurWeek,3,1)),""))</f>
        <v/>
      </c>
      <c r="AJ49" s="66" t="str">
        <f aca="false">IF(OR($D49="",$E49=""),"",IF(AND(AJ$5&gt;=$D49,AJ$5&lt;=$E49),IF(AJ$5-$D49+1&lt;=ROUND(($E49-$D49+1)*$F49,0),2,IF(AJ$5&lt;CFG_CurWeek,3,1)),""))</f>
        <v/>
      </c>
      <c r="AK49" s="66" t="str">
        <f aca="false">IF(OR($D49="",$E49=""),"",IF(AND(AK$5&gt;=$D49,AK$5&lt;=$E49),IF(AK$5-$D49+1&lt;=ROUND(($E49-$D49+1)*$F49,0),2,IF(AK$5&lt;CFG_CurWeek,3,1)),""))</f>
        <v/>
      </c>
      <c r="AL49" s="66" t="str">
        <f aca="false">IF(OR($D49="",$E49=""),"",IF(AND(AL$5&gt;=$D49,AL$5&lt;=$E49),IF(AL$5-$D49+1&lt;=ROUND(($E49-$D49+1)*$F49,0),2,IF(AL$5&lt;CFG_CurWeek,3,1)),""))</f>
        <v/>
      </c>
      <c r="AM49" s="66" t="str">
        <f aca="false">IF(OR($D49="",$E49=""),"",IF(AND(AM$5&gt;=$D49,AM$5&lt;=$E49),IF(AM$5-$D49+1&lt;=ROUND(($E49-$D49+1)*$F49,0),2,IF(AM$5&lt;CFG_CurWeek,3,1)),""))</f>
        <v/>
      </c>
      <c r="AN49" s="66" t="str">
        <f aca="false">IF(OR($D49="",$E49=""),"",IF(AND(AN$5&gt;=$D49,AN$5&lt;=$E49),IF(AN$5-$D49+1&lt;=ROUND(($E49-$D49+1)*$F49,0),2,IF(AN$5&lt;CFG_CurWeek,3,1)),""))</f>
        <v/>
      </c>
      <c r="AO49" s="66" t="str">
        <f aca="false">IF(OR($D49="",$E49=""),"",IF(AND(AO$5&gt;=$D49,AO$5&lt;=$E49),IF(AO$5-$D49+1&lt;=ROUND(($E49-$D49+1)*$F49,0),2,IF(AO$5&lt;CFG_CurWeek,3,1)),""))</f>
        <v/>
      </c>
    </row>
    <row r="50" customFormat="false" ht="15" hidden="false" customHeight="false" outlineLevel="0" collapsed="false">
      <c r="A50" s="63" t="str">
        <f aca="false">IF('01_WBS &amp; Master Plan'!A47="","",'01_WBS &amp; Master Plan'!A47)</f>
        <v>6.1</v>
      </c>
      <c r="B50" s="64" t="str">
        <f aca="false">IF('01_WBS &amp; Master Plan'!D47="","",'01_WBS &amp; Master Plan'!D47)</f>
        <v>Học bcrypt, JWT (access/refresh), httpOnly cookie</v>
      </c>
      <c r="C50" s="63" t="str">
        <f aca="false">IF('01_WBS &amp; Master Plan'!E47="","",'01_WBS &amp; Master Plan'!E47)</f>
        <v>Nhật</v>
      </c>
      <c r="D50" s="63" t="n">
        <f aca="false">IF('01_WBS &amp; Master Plan'!H47="","",'01_WBS &amp; Master Plan'!H47)</f>
        <v>22</v>
      </c>
      <c r="E50" s="63" t="n">
        <f aca="false">IF('01_WBS &amp; Master Plan'!I47="","",'01_WBS &amp; Master Plan'!I47)</f>
        <v>22</v>
      </c>
      <c r="F50" s="65" t="n">
        <f aca="false">IF(B50="","",IF('01_WBS &amp; Master Plan'!K47="Done",1,IF('01_WBS &amp; Master Plan'!L47="",0,'01_WBS &amp; Master Plan'!L47)))</f>
        <v>0</v>
      </c>
      <c r="G50" s="63" t="str">
        <f aca="false">IF('01_WBS &amp; Master Plan'!K47="","",'01_WBS &amp; Master Plan'!K47)</f>
        <v>To Do</v>
      </c>
      <c r="H50" s="66" t="str">
        <f aca="false">IF(OR($D50="",$E50=""),"",IF(AND(H$5&gt;=$D50,H$5&lt;=$E50),IF(H$5-$D50+1&lt;=ROUND(($E50-$D50+1)*$F50,0),2,IF(H$5&lt;CFG_CurWeek,3,1)),""))</f>
        <v/>
      </c>
      <c r="I50" s="66" t="str">
        <f aca="false">IF(OR($D50="",$E50=""),"",IF(AND(I$5&gt;=$D50,I$5&lt;=$E50),IF(I$5-$D50+1&lt;=ROUND(($E50-$D50+1)*$F50,0),2,IF(I$5&lt;CFG_CurWeek,3,1)),""))</f>
        <v/>
      </c>
      <c r="J50" s="66" t="str">
        <f aca="false">IF(OR($D50="",$E50=""),"",IF(AND(J$5&gt;=$D50,J$5&lt;=$E50),IF(J$5-$D50+1&lt;=ROUND(($E50-$D50+1)*$F50,0),2,IF(J$5&lt;CFG_CurWeek,3,1)),""))</f>
        <v/>
      </c>
      <c r="K50" s="66" t="str">
        <f aca="false">IF(OR($D50="",$E50=""),"",IF(AND(K$5&gt;=$D50,K$5&lt;=$E50),IF(K$5-$D50+1&lt;=ROUND(($E50-$D50+1)*$F50,0),2,IF(K$5&lt;CFG_CurWeek,3,1)),""))</f>
        <v/>
      </c>
      <c r="L50" s="66" t="str">
        <f aca="false">IF(OR($D50="",$E50=""),"",IF(AND(L$5&gt;=$D50,L$5&lt;=$E50),IF(L$5-$D50+1&lt;=ROUND(($E50-$D50+1)*$F50,0),2,IF(L$5&lt;CFG_CurWeek,3,1)),""))</f>
        <v/>
      </c>
      <c r="M50" s="66" t="str">
        <f aca="false">IF(OR($D50="",$E50=""),"",IF(AND(M$5&gt;=$D50,M$5&lt;=$E50),IF(M$5-$D50+1&lt;=ROUND(($E50-$D50+1)*$F50,0),2,IF(M$5&lt;CFG_CurWeek,3,1)),""))</f>
        <v/>
      </c>
      <c r="N50" s="66" t="str">
        <f aca="false">IF(OR($D50="",$E50=""),"",IF(AND(N$5&gt;=$D50,N$5&lt;=$E50),IF(N$5-$D50+1&lt;=ROUND(($E50-$D50+1)*$F50,0),2,IF(N$5&lt;CFG_CurWeek,3,1)),""))</f>
        <v/>
      </c>
      <c r="O50" s="66" t="str">
        <f aca="false">IF(OR($D50="",$E50=""),"",IF(AND(O$5&gt;=$D50,O$5&lt;=$E50),IF(O$5-$D50+1&lt;=ROUND(($E50-$D50+1)*$F50,0),2,IF(O$5&lt;CFG_CurWeek,3,1)),""))</f>
        <v/>
      </c>
      <c r="P50" s="66" t="str">
        <f aca="false">IF(OR($D50="",$E50=""),"",IF(AND(P$5&gt;=$D50,P$5&lt;=$E50),IF(P$5-$D50+1&lt;=ROUND(($E50-$D50+1)*$F50,0),2,IF(P$5&lt;CFG_CurWeek,3,1)),""))</f>
        <v/>
      </c>
      <c r="Q50" s="66" t="str">
        <f aca="false">IF(OR($D50="",$E50=""),"",IF(AND(Q$5&gt;=$D50,Q$5&lt;=$E50),IF(Q$5-$D50+1&lt;=ROUND(($E50-$D50+1)*$F50,0),2,IF(Q$5&lt;CFG_CurWeek,3,1)),""))</f>
        <v/>
      </c>
      <c r="R50" s="66" t="str">
        <f aca="false">IF(OR($D50="",$E50=""),"",IF(AND(R$5&gt;=$D50,R$5&lt;=$E50),IF(R$5-$D50+1&lt;=ROUND(($E50-$D50+1)*$F50,0),2,IF(R$5&lt;CFG_CurWeek,3,1)),""))</f>
        <v/>
      </c>
      <c r="S50" s="66" t="str">
        <f aca="false">IF(OR($D50="",$E50=""),"",IF(AND(S$5&gt;=$D50,S$5&lt;=$E50),IF(S$5-$D50+1&lt;=ROUND(($E50-$D50+1)*$F50,0),2,IF(S$5&lt;CFG_CurWeek,3,1)),""))</f>
        <v/>
      </c>
      <c r="T50" s="66" t="str">
        <f aca="false">IF(OR($D50="",$E50=""),"",IF(AND(T$5&gt;=$D50,T$5&lt;=$E50),IF(T$5-$D50+1&lt;=ROUND(($E50-$D50+1)*$F50,0),2,IF(T$5&lt;CFG_CurWeek,3,1)),""))</f>
        <v/>
      </c>
      <c r="U50" s="66" t="str">
        <f aca="false">IF(OR($D50="",$E50=""),"",IF(AND(U$5&gt;=$D50,U$5&lt;=$E50),IF(U$5-$D50+1&lt;=ROUND(($E50-$D50+1)*$F50,0),2,IF(U$5&lt;CFG_CurWeek,3,1)),""))</f>
        <v/>
      </c>
      <c r="V50" s="66" t="str">
        <f aca="false">IF(OR($D50="",$E50=""),"",IF(AND(V$5&gt;=$D50,V$5&lt;=$E50),IF(V$5-$D50+1&lt;=ROUND(($E50-$D50+1)*$F50,0),2,IF(V$5&lt;CFG_CurWeek,3,1)),""))</f>
        <v/>
      </c>
      <c r="W50" s="66" t="str">
        <f aca="false">IF(OR($D50="",$E50=""),"",IF(AND(W$5&gt;=$D50,W$5&lt;=$E50),IF(W$5-$D50+1&lt;=ROUND(($E50-$D50+1)*$F50,0),2,IF(W$5&lt;CFG_CurWeek,3,1)),""))</f>
        <v/>
      </c>
      <c r="X50" s="66" t="str">
        <f aca="false">IF(OR($D50="",$E50=""),"",IF(AND(X$5&gt;=$D50,X$5&lt;=$E50),IF(X$5-$D50+1&lt;=ROUND(($E50-$D50+1)*$F50,0),2,IF(X$5&lt;CFG_CurWeek,3,1)),""))</f>
        <v/>
      </c>
      <c r="Y50" s="66" t="str">
        <f aca="false">IF(OR($D50="",$E50=""),"",IF(AND(Y$5&gt;=$D50,Y$5&lt;=$E50),IF(Y$5-$D50+1&lt;=ROUND(($E50-$D50+1)*$F50,0),2,IF(Y$5&lt;CFG_CurWeek,3,1)),""))</f>
        <v/>
      </c>
      <c r="Z50" s="66" t="str">
        <f aca="false">IF(OR($D50="",$E50=""),"",IF(AND(Z$5&gt;=$D50,Z$5&lt;=$E50),IF(Z$5-$D50+1&lt;=ROUND(($E50-$D50+1)*$F50,0),2,IF(Z$5&lt;CFG_CurWeek,3,1)),""))</f>
        <v/>
      </c>
      <c r="AA50" s="66" t="str">
        <f aca="false">IF(OR($D50="",$E50=""),"",IF(AND(AA$5&gt;=$D50,AA$5&lt;=$E50),IF(AA$5-$D50+1&lt;=ROUND(($E50-$D50+1)*$F50,0),2,IF(AA$5&lt;CFG_CurWeek,3,1)),""))</f>
        <v/>
      </c>
      <c r="AB50" s="66" t="str">
        <f aca="false">IF(OR($D50="",$E50=""),"",IF(AND(AB$5&gt;=$D50,AB$5&lt;=$E50),IF(AB$5-$D50+1&lt;=ROUND(($E50-$D50+1)*$F50,0),2,IF(AB$5&lt;CFG_CurWeek,3,1)),""))</f>
        <v/>
      </c>
      <c r="AC50" s="66" t="n">
        <f aca="false">IF(OR($D50="",$E50=""),"",IF(AND(AC$5&gt;=$D50,AC$5&lt;=$E50),IF(AC$5-$D50+1&lt;=ROUND(($E50-$D50+1)*$F50,0),2,IF(AC$5&lt;CFG_CurWeek,3,1)),""))</f>
        <v>1</v>
      </c>
      <c r="AD50" s="66" t="str">
        <f aca="false">IF(OR($D50="",$E50=""),"",IF(AND(AD$5&gt;=$D50,AD$5&lt;=$E50),IF(AD$5-$D50+1&lt;=ROUND(($E50-$D50+1)*$F50,0),2,IF(AD$5&lt;CFG_CurWeek,3,1)),""))</f>
        <v/>
      </c>
      <c r="AE50" s="66" t="str">
        <f aca="false">IF(OR($D50="",$E50=""),"",IF(AND(AE$5&gt;=$D50,AE$5&lt;=$E50),IF(AE$5-$D50+1&lt;=ROUND(($E50-$D50+1)*$F50,0),2,IF(AE$5&lt;CFG_CurWeek,3,1)),""))</f>
        <v/>
      </c>
      <c r="AF50" s="66" t="str">
        <f aca="false">IF(OR($D50="",$E50=""),"",IF(AND(AF$5&gt;=$D50,AF$5&lt;=$E50),IF(AF$5-$D50+1&lt;=ROUND(($E50-$D50+1)*$F50,0),2,IF(AF$5&lt;CFG_CurWeek,3,1)),""))</f>
        <v/>
      </c>
      <c r="AG50" s="66" t="str">
        <f aca="false">IF(OR($D50="",$E50=""),"",IF(AND(AG$5&gt;=$D50,AG$5&lt;=$E50),IF(AG$5-$D50+1&lt;=ROUND(($E50-$D50+1)*$F50,0),2,IF(AG$5&lt;CFG_CurWeek,3,1)),""))</f>
        <v/>
      </c>
      <c r="AH50" s="66" t="str">
        <f aca="false">IF(OR($D50="",$E50=""),"",IF(AND(AH$5&gt;=$D50,AH$5&lt;=$E50),IF(AH$5-$D50+1&lt;=ROUND(($E50-$D50+1)*$F50,0),2,IF(AH$5&lt;CFG_CurWeek,3,1)),""))</f>
        <v/>
      </c>
      <c r="AI50" s="66" t="str">
        <f aca="false">IF(OR($D50="",$E50=""),"",IF(AND(AI$5&gt;=$D50,AI$5&lt;=$E50),IF(AI$5-$D50+1&lt;=ROUND(($E50-$D50+1)*$F50,0),2,IF(AI$5&lt;CFG_CurWeek,3,1)),""))</f>
        <v/>
      </c>
      <c r="AJ50" s="66" t="str">
        <f aca="false">IF(OR($D50="",$E50=""),"",IF(AND(AJ$5&gt;=$D50,AJ$5&lt;=$E50),IF(AJ$5-$D50+1&lt;=ROUND(($E50-$D50+1)*$F50,0),2,IF(AJ$5&lt;CFG_CurWeek,3,1)),""))</f>
        <v/>
      </c>
      <c r="AK50" s="66" t="str">
        <f aca="false">IF(OR($D50="",$E50=""),"",IF(AND(AK$5&gt;=$D50,AK$5&lt;=$E50),IF(AK$5-$D50+1&lt;=ROUND(($E50-$D50+1)*$F50,0),2,IF(AK$5&lt;CFG_CurWeek,3,1)),""))</f>
        <v/>
      </c>
      <c r="AL50" s="66" t="str">
        <f aca="false">IF(OR($D50="",$E50=""),"",IF(AND(AL$5&gt;=$D50,AL$5&lt;=$E50),IF(AL$5-$D50+1&lt;=ROUND(($E50-$D50+1)*$F50,0),2,IF(AL$5&lt;CFG_CurWeek,3,1)),""))</f>
        <v/>
      </c>
      <c r="AM50" s="66" t="str">
        <f aca="false">IF(OR($D50="",$E50=""),"",IF(AND(AM$5&gt;=$D50,AM$5&lt;=$E50),IF(AM$5-$D50+1&lt;=ROUND(($E50-$D50+1)*$F50,0),2,IF(AM$5&lt;CFG_CurWeek,3,1)),""))</f>
        <v/>
      </c>
      <c r="AN50" s="66" t="str">
        <f aca="false">IF(OR($D50="",$E50=""),"",IF(AND(AN$5&gt;=$D50,AN$5&lt;=$E50),IF(AN$5-$D50+1&lt;=ROUND(($E50-$D50+1)*$F50,0),2,IF(AN$5&lt;CFG_CurWeek,3,1)),""))</f>
        <v/>
      </c>
      <c r="AO50" s="66" t="str">
        <f aca="false">IF(OR($D50="",$E50=""),"",IF(AND(AO$5&gt;=$D50,AO$5&lt;=$E50),IF(AO$5-$D50+1&lt;=ROUND(($E50-$D50+1)*$F50,0),2,IF(AO$5&lt;CFG_CurWeek,3,1)),""))</f>
        <v/>
      </c>
    </row>
    <row r="51" customFormat="false" ht="15" hidden="false" customHeight="false" outlineLevel="0" collapsed="false">
      <c r="A51" s="63" t="str">
        <f aca="false">IF('01_WBS &amp; Master Plan'!A48="","",'01_WBS &amp; Master Plan'!A48)</f>
        <v>6.2</v>
      </c>
      <c r="B51" s="64" t="str">
        <f aca="false">IF('01_WBS &amp; Master Plan'!D48="","",'01_WBS &amp; Master Plan'!D48)</f>
        <v>API đăng ký, đăng nhập, refresh, đăng xuất, quên mật khẩu (OTP email)</v>
      </c>
      <c r="C51" s="63" t="str">
        <f aca="false">IF('01_WBS &amp; Master Plan'!E48="","",'01_WBS &amp; Master Plan'!E48)</f>
        <v>Nhật</v>
      </c>
      <c r="D51" s="63" t="n">
        <f aca="false">IF('01_WBS &amp; Master Plan'!H48="","",'01_WBS &amp; Master Plan'!H48)</f>
        <v>22</v>
      </c>
      <c r="E51" s="63" t="n">
        <f aca="false">IF('01_WBS &amp; Master Plan'!I48="","",'01_WBS &amp; Master Plan'!I48)</f>
        <v>23</v>
      </c>
      <c r="F51" s="65" t="n">
        <f aca="false">IF(B51="","",IF('01_WBS &amp; Master Plan'!K48="Done",1,IF('01_WBS &amp; Master Plan'!L48="",0,'01_WBS &amp; Master Plan'!L48)))</f>
        <v>0</v>
      </c>
      <c r="G51" s="63" t="str">
        <f aca="false">IF('01_WBS &amp; Master Plan'!K48="","",'01_WBS &amp; Master Plan'!K48)</f>
        <v>To Do</v>
      </c>
      <c r="H51" s="66" t="str">
        <f aca="false">IF(OR($D51="",$E51=""),"",IF(AND(H$5&gt;=$D51,H$5&lt;=$E51),IF(H$5-$D51+1&lt;=ROUND(($E51-$D51+1)*$F51,0),2,IF(H$5&lt;CFG_CurWeek,3,1)),""))</f>
        <v/>
      </c>
      <c r="I51" s="66" t="str">
        <f aca="false">IF(OR($D51="",$E51=""),"",IF(AND(I$5&gt;=$D51,I$5&lt;=$E51),IF(I$5-$D51+1&lt;=ROUND(($E51-$D51+1)*$F51,0),2,IF(I$5&lt;CFG_CurWeek,3,1)),""))</f>
        <v/>
      </c>
      <c r="J51" s="66" t="str">
        <f aca="false">IF(OR($D51="",$E51=""),"",IF(AND(J$5&gt;=$D51,J$5&lt;=$E51),IF(J$5-$D51+1&lt;=ROUND(($E51-$D51+1)*$F51,0),2,IF(J$5&lt;CFG_CurWeek,3,1)),""))</f>
        <v/>
      </c>
      <c r="K51" s="66" t="str">
        <f aca="false">IF(OR($D51="",$E51=""),"",IF(AND(K$5&gt;=$D51,K$5&lt;=$E51),IF(K$5-$D51+1&lt;=ROUND(($E51-$D51+1)*$F51,0),2,IF(K$5&lt;CFG_CurWeek,3,1)),""))</f>
        <v/>
      </c>
      <c r="L51" s="66" t="str">
        <f aca="false">IF(OR($D51="",$E51=""),"",IF(AND(L$5&gt;=$D51,L$5&lt;=$E51),IF(L$5-$D51+1&lt;=ROUND(($E51-$D51+1)*$F51,0),2,IF(L$5&lt;CFG_CurWeek,3,1)),""))</f>
        <v/>
      </c>
      <c r="M51" s="66" t="str">
        <f aca="false">IF(OR($D51="",$E51=""),"",IF(AND(M$5&gt;=$D51,M$5&lt;=$E51),IF(M$5-$D51+1&lt;=ROUND(($E51-$D51+1)*$F51,0),2,IF(M$5&lt;CFG_CurWeek,3,1)),""))</f>
        <v/>
      </c>
      <c r="N51" s="66" t="str">
        <f aca="false">IF(OR($D51="",$E51=""),"",IF(AND(N$5&gt;=$D51,N$5&lt;=$E51),IF(N$5-$D51+1&lt;=ROUND(($E51-$D51+1)*$F51,0),2,IF(N$5&lt;CFG_CurWeek,3,1)),""))</f>
        <v/>
      </c>
      <c r="O51" s="66" t="str">
        <f aca="false">IF(OR($D51="",$E51=""),"",IF(AND(O$5&gt;=$D51,O$5&lt;=$E51),IF(O$5-$D51+1&lt;=ROUND(($E51-$D51+1)*$F51,0),2,IF(O$5&lt;CFG_CurWeek,3,1)),""))</f>
        <v/>
      </c>
      <c r="P51" s="66" t="str">
        <f aca="false">IF(OR($D51="",$E51=""),"",IF(AND(P$5&gt;=$D51,P$5&lt;=$E51),IF(P$5-$D51+1&lt;=ROUND(($E51-$D51+1)*$F51,0),2,IF(P$5&lt;CFG_CurWeek,3,1)),""))</f>
        <v/>
      </c>
      <c r="Q51" s="66" t="str">
        <f aca="false">IF(OR($D51="",$E51=""),"",IF(AND(Q$5&gt;=$D51,Q$5&lt;=$E51),IF(Q$5-$D51+1&lt;=ROUND(($E51-$D51+1)*$F51,0),2,IF(Q$5&lt;CFG_CurWeek,3,1)),""))</f>
        <v/>
      </c>
      <c r="R51" s="66" t="str">
        <f aca="false">IF(OR($D51="",$E51=""),"",IF(AND(R$5&gt;=$D51,R$5&lt;=$E51),IF(R$5-$D51+1&lt;=ROUND(($E51-$D51+1)*$F51,0),2,IF(R$5&lt;CFG_CurWeek,3,1)),""))</f>
        <v/>
      </c>
      <c r="S51" s="66" t="str">
        <f aca="false">IF(OR($D51="",$E51=""),"",IF(AND(S$5&gt;=$D51,S$5&lt;=$E51),IF(S$5-$D51+1&lt;=ROUND(($E51-$D51+1)*$F51,0),2,IF(S$5&lt;CFG_CurWeek,3,1)),""))</f>
        <v/>
      </c>
      <c r="T51" s="66" t="str">
        <f aca="false">IF(OR($D51="",$E51=""),"",IF(AND(T$5&gt;=$D51,T$5&lt;=$E51),IF(T$5-$D51+1&lt;=ROUND(($E51-$D51+1)*$F51,0),2,IF(T$5&lt;CFG_CurWeek,3,1)),""))</f>
        <v/>
      </c>
      <c r="U51" s="66" t="str">
        <f aca="false">IF(OR($D51="",$E51=""),"",IF(AND(U$5&gt;=$D51,U$5&lt;=$E51),IF(U$5-$D51+1&lt;=ROUND(($E51-$D51+1)*$F51,0),2,IF(U$5&lt;CFG_CurWeek,3,1)),""))</f>
        <v/>
      </c>
      <c r="V51" s="66" t="str">
        <f aca="false">IF(OR($D51="",$E51=""),"",IF(AND(V$5&gt;=$D51,V$5&lt;=$E51),IF(V$5-$D51+1&lt;=ROUND(($E51-$D51+1)*$F51,0),2,IF(V$5&lt;CFG_CurWeek,3,1)),""))</f>
        <v/>
      </c>
      <c r="W51" s="66" t="str">
        <f aca="false">IF(OR($D51="",$E51=""),"",IF(AND(W$5&gt;=$D51,W$5&lt;=$E51),IF(W$5-$D51+1&lt;=ROUND(($E51-$D51+1)*$F51,0),2,IF(W$5&lt;CFG_CurWeek,3,1)),""))</f>
        <v/>
      </c>
      <c r="X51" s="66" t="str">
        <f aca="false">IF(OR($D51="",$E51=""),"",IF(AND(X$5&gt;=$D51,X$5&lt;=$E51),IF(X$5-$D51+1&lt;=ROUND(($E51-$D51+1)*$F51,0),2,IF(X$5&lt;CFG_CurWeek,3,1)),""))</f>
        <v/>
      </c>
      <c r="Y51" s="66" t="str">
        <f aca="false">IF(OR($D51="",$E51=""),"",IF(AND(Y$5&gt;=$D51,Y$5&lt;=$E51),IF(Y$5-$D51+1&lt;=ROUND(($E51-$D51+1)*$F51,0),2,IF(Y$5&lt;CFG_CurWeek,3,1)),""))</f>
        <v/>
      </c>
      <c r="Z51" s="66" t="str">
        <f aca="false">IF(OR($D51="",$E51=""),"",IF(AND(Z$5&gt;=$D51,Z$5&lt;=$E51),IF(Z$5-$D51+1&lt;=ROUND(($E51-$D51+1)*$F51,0),2,IF(Z$5&lt;CFG_CurWeek,3,1)),""))</f>
        <v/>
      </c>
      <c r="AA51" s="66" t="str">
        <f aca="false">IF(OR($D51="",$E51=""),"",IF(AND(AA$5&gt;=$D51,AA$5&lt;=$E51),IF(AA$5-$D51+1&lt;=ROUND(($E51-$D51+1)*$F51,0),2,IF(AA$5&lt;CFG_CurWeek,3,1)),""))</f>
        <v/>
      </c>
      <c r="AB51" s="66" t="str">
        <f aca="false">IF(OR($D51="",$E51=""),"",IF(AND(AB$5&gt;=$D51,AB$5&lt;=$E51),IF(AB$5-$D51+1&lt;=ROUND(($E51-$D51+1)*$F51,0),2,IF(AB$5&lt;CFG_CurWeek,3,1)),""))</f>
        <v/>
      </c>
      <c r="AC51" s="66" t="n">
        <f aca="false">IF(OR($D51="",$E51=""),"",IF(AND(AC$5&gt;=$D51,AC$5&lt;=$E51),IF(AC$5-$D51+1&lt;=ROUND(($E51-$D51+1)*$F51,0),2,IF(AC$5&lt;CFG_CurWeek,3,1)),""))</f>
        <v>1</v>
      </c>
      <c r="AD51" s="66" t="n">
        <f aca="false">IF(OR($D51="",$E51=""),"",IF(AND(AD$5&gt;=$D51,AD$5&lt;=$E51),IF(AD$5-$D51+1&lt;=ROUND(($E51-$D51+1)*$F51,0),2,IF(AD$5&lt;CFG_CurWeek,3,1)),""))</f>
        <v>1</v>
      </c>
      <c r="AE51" s="66" t="str">
        <f aca="false">IF(OR($D51="",$E51=""),"",IF(AND(AE$5&gt;=$D51,AE$5&lt;=$E51),IF(AE$5-$D51+1&lt;=ROUND(($E51-$D51+1)*$F51,0),2,IF(AE$5&lt;CFG_CurWeek,3,1)),""))</f>
        <v/>
      </c>
      <c r="AF51" s="66" t="str">
        <f aca="false">IF(OR($D51="",$E51=""),"",IF(AND(AF$5&gt;=$D51,AF$5&lt;=$E51),IF(AF$5-$D51+1&lt;=ROUND(($E51-$D51+1)*$F51,0),2,IF(AF$5&lt;CFG_CurWeek,3,1)),""))</f>
        <v/>
      </c>
      <c r="AG51" s="66" t="str">
        <f aca="false">IF(OR($D51="",$E51=""),"",IF(AND(AG$5&gt;=$D51,AG$5&lt;=$E51),IF(AG$5-$D51+1&lt;=ROUND(($E51-$D51+1)*$F51,0),2,IF(AG$5&lt;CFG_CurWeek,3,1)),""))</f>
        <v/>
      </c>
      <c r="AH51" s="66" t="str">
        <f aca="false">IF(OR($D51="",$E51=""),"",IF(AND(AH$5&gt;=$D51,AH$5&lt;=$E51),IF(AH$5-$D51+1&lt;=ROUND(($E51-$D51+1)*$F51,0),2,IF(AH$5&lt;CFG_CurWeek,3,1)),""))</f>
        <v/>
      </c>
      <c r="AI51" s="66" t="str">
        <f aca="false">IF(OR($D51="",$E51=""),"",IF(AND(AI$5&gt;=$D51,AI$5&lt;=$E51),IF(AI$5-$D51+1&lt;=ROUND(($E51-$D51+1)*$F51,0),2,IF(AI$5&lt;CFG_CurWeek,3,1)),""))</f>
        <v/>
      </c>
      <c r="AJ51" s="66" t="str">
        <f aca="false">IF(OR($D51="",$E51=""),"",IF(AND(AJ$5&gt;=$D51,AJ$5&lt;=$E51),IF(AJ$5-$D51+1&lt;=ROUND(($E51-$D51+1)*$F51,0),2,IF(AJ$5&lt;CFG_CurWeek,3,1)),""))</f>
        <v/>
      </c>
      <c r="AK51" s="66" t="str">
        <f aca="false">IF(OR($D51="",$E51=""),"",IF(AND(AK$5&gt;=$D51,AK$5&lt;=$E51),IF(AK$5-$D51+1&lt;=ROUND(($E51-$D51+1)*$F51,0),2,IF(AK$5&lt;CFG_CurWeek,3,1)),""))</f>
        <v/>
      </c>
      <c r="AL51" s="66" t="str">
        <f aca="false">IF(OR($D51="",$E51=""),"",IF(AND(AL$5&gt;=$D51,AL$5&lt;=$E51),IF(AL$5-$D51+1&lt;=ROUND(($E51-$D51+1)*$F51,0),2,IF(AL$5&lt;CFG_CurWeek,3,1)),""))</f>
        <v/>
      </c>
      <c r="AM51" s="66" t="str">
        <f aca="false">IF(OR($D51="",$E51=""),"",IF(AND(AM$5&gt;=$D51,AM$5&lt;=$E51),IF(AM$5-$D51+1&lt;=ROUND(($E51-$D51+1)*$F51,0),2,IF(AM$5&lt;CFG_CurWeek,3,1)),""))</f>
        <v/>
      </c>
      <c r="AN51" s="66" t="str">
        <f aca="false">IF(OR($D51="",$E51=""),"",IF(AND(AN$5&gt;=$D51,AN$5&lt;=$E51),IF(AN$5-$D51+1&lt;=ROUND(($E51-$D51+1)*$F51,0),2,IF(AN$5&lt;CFG_CurWeek,3,1)),""))</f>
        <v/>
      </c>
      <c r="AO51" s="66" t="str">
        <f aca="false">IF(OR($D51="",$E51=""),"",IF(AND(AO$5&gt;=$D51,AO$5&lt;=$E51),IF(AO$5-$D51+1&lt;=ROUND(($E51-$D51+1)*$F51,0),2,IF(AO$5&lt;CFG_CurWeek,3,1)),""))</f>
        <v/>
      </c>
    </row>
    <row r="52" customFormat="false" ht="15" hidden="false" customHeight="false" outlineLevel="0" collapsed="false">
      <c r="A52" s="63" t="str">
        <f aca="false">IF('01_WBS &amp; Master Plan'!A49="","",'01_WBS &amp; Master Plan'!A49)</f>
        <v>6.3</v>
      </c>
      <c r="B52" s="64" t="str">
        <f aca="false">IF('01_WBS &amp; Master Plan'!D49="","",'01_WBS &amp; Master Plan'!D49)</f>
        <v>Middleware xác thực + phân quyền User/Artist/Admin; validate Zod</v>
      </c>
      <c r="C52" s="63" t="str">
        <f aca="false">IF('01_WBS &amp; Master Plan'!E49="","",'01_WBS &amp; Master Plan'!E49)</f>
        <v>Nhật</v>
      </c>
      <c r="D52" s="63" t="n">
        <f aca="false">IF('01_WBS &amp; Master Plan'!H49="","",'01_WBS &amp; Master Plan'!H49)</f>
        <v>22</v>
      </c>
      <c r="E52" s="63" t="n">
        <f aca="false">IF('01_WBS &amp; Master Plan'!I49="","",'01_WBS &amp; Master Plan'!I49)</f>
        <v>23</v>
      </c>
      <c r="F52" s="65" t="n">
        <f aca="false">IF(B52="","",IF('01_WBS &amp; Master Plan'!K49="Done",1,IF('01_WBS &amp; Master Plan'!L49="",0,'01_WBS &amp; Master Plan'!L49)))</f>
        <v>0</v>
      </c>
      <c r="G52" s="63" t="str">
        <f aca="false">IF('01_WBS &amp; Master Plan'!K49="","",'01_WBS &amp; Master Plan'!K49)</f>
        <v>To Do</v>
      </c>
      <c r="H52" s="66" t="str">
        <f aca="false">IF(OR($D52="",$E52=""),"",IF(AND(H$5&gt;=$D52,H$5&lt;=$E52),IF(H$5-$D52+1&lt;=ROUND(($E52-$D52+1)*$F52,0),2,IF(H$5&lt;CFG_CurWeek,3,1)),""))</f>
        <v/>
      </c>
      <c r="I52" s="66" t="str">
        <f aca="false">IF(OR($D52="",$E52=""),"",IF(AND(I$5&gt;=$D52,I$5&lt;=$E52),IF(I$5-$D52+1&lt;=ROUND(($E52-$D52+1)*$F52,0),2,IF(I$5&lt;CFG_CurWeek,3,1)),""))</f>
        <v/>
      </c>
      <c r="J52" s="66" t="str">
        <f aca="false">IF(OR($D52="",$E52=""),"",IF(AND(J$5&gt;=$D52,J$5&lt;=$E52),IF(J$5-$D52+1&lt;=ROUND(($E52-$D52+1)*$F52,0),2,IF(J$5&lt;CFG_CurWeek,3,1)),""))</f>
        <v/>
      </c>
      <c r="K52" s="66" t="str">
        <f aca="false">IF(OR($D52="",$E52=""),"",IF(AND(K$5&gt;=$D52,K$5&lt;=$E52),IF(K$5-$D52+1&lt;=ROUND(($E52-$D52+1)*$F52,0),2,IF(K$5&lt;CFG_CurWeek,3,1)),""))</f>
        <v/>
      </c>
      <c r="L52" s="66" t="str">
        <f aca="false">IF(OR($D52="",$E52=""),"",IF(AND(L$5&gt;=$D52,L$5&lt;=$E52),IF(L$5-$D52+1&lt;=ROUND(($E52-$D52+1)*$F52,0),2,IF(L$5&lt;CFG_CurWeek,3,1)),""))</f>
        <v/>
      </c>
      <c r="M52" s="66" t="str">
        <f aca="false">IF(OR($D52="",$E52=""),"",IF(AND(M$5&gt;=$D52,M$5&lt;=$E52),IF(M$5-$D52+1&lt;=ROUND(($E52-$D52+1)*$F52,0),2,IF(M$5&lt;CFG_CurWeek,3,1)),""))</f>
        <v/>
      </c>
      <c r="N52" s="66" t="str">
        <f aca="false">IF(OR($D52="",$E52=""),"",IF(AND(N$5&gt;=$D52,N$5&lt;=$E52),IF(N$5-$D52+1&lt;=ROUND(($E52-$D52+1)*$F52,0),2,IF(N$5&lt;CFG_CurWeek,3,1)),""))</f>
        <v/>
      </c>
      <c r="O52" s="66" t="str">
        <f aca="false">IF(OR($D52="",$E52=""),"",IF(AND(O$5&gt;=$D52,O$5&lt;=$E52),IF(O$5-$D52+1&lt;=ROUND(($E52-$D52+1)*$F52,0),2,IF(O$5&lt;CFG_CurWeek,3,1)),""))</f>
        <v/>
      </c>
      <c r="P52" s="66" t="str">
        <f aca="false">IF(OR($D52="",$E52=""),"",IF(AND(P$5&gt;=$D52,P$5&lt;=$E52),IF(P$5-$D52+1&lt;=ROUND(($E52-$D52+1)*$F52,0),2,IF(P$5&lt;CFG_CurWeek,3,1)),""))</f>
        <v/>
      </c>
      <c r="Q52" s="66" t="str">
        <f aca="false">IF(OR($D52="",$E52=""),"",IF(AND(Q$5&gt;=$D52,Q$5&lt;=$E52),IF(Q$5-$D52+1&lt;=ROUND(($E52-$D52+1)*$F52,0),2,IF(Q$5&lt;CFG_CurWeek,3,1)),""))</f>
        <v/>
      </c>
      <c r="R52" s="66" t="str">
        <f aca="false">IF(OR($D52="",$E52=""),"",IF(AND(R$5&gt;=$D52,R$5&lt;=$E52),IF(R$5-$D52+1&lt;=ROUND(($E52-$D52+1)*$F52,0),2,IF(R$5&lt;CFG_CurWeek,3,1)),""))</f>
        <v/>
      </c>
      <c r="S52" s="66" t="str">
        <f aca="false">IF(OR($D52="",$E52=""),"",IF(AND(S$5&gt;=$D52,S$5&lt;=$E52),IF(S$5-$D52+1&lt;=ROUND(($E52-$D52+1)*$F52,0),2,IF(S$5&lt;CFG_CurWeek,3,1)),""))</f>
        <v/>
      </c>
      <c r="T52" s="66" t="str">
        <f aca="false">IF(OR($D52="",$E52=""),"",IF(AND(T$5&gt;=$D52,T$5&lt;=$E52),IF(T$5-$D52+1&lt;=ROUND(($E52-$D52+1)*$F52,0),2,IF(T$5&lt;CFG_CurWeek,3,1)),""))</f>
        <v/>
      </c>
      <c r="U52" s="66" t="str">
        <f aca="false">IF(OR($D52="",$E52=""),"",IF(AND(U$5&gt;=$D52,U$5&lt;=$E52),IF(U$5-$D52+1&lt;=ROUND(($E52-$D52+1)*$F52,0),2,IF(U$5&lt;CFG_CurWeek,3,1)),""))</f>
        <v/>
      </c>
      <c r="V52" s="66" t="str">
        <f aca="false">IF(OR($D52="",$E52=""),"",IF(AND(V$5&gt;=$D52,V$5&lt;=$E52),IF(V$5-$D52+1&lt;=ROUND(($E52-$D52+1)*$F52,0),2,IF(V$5&lt;CFG_CurWeek,3,1)),""))</f>
        <v/>
      </c>
      <c r="W52" s="66" t="str">
        <f aca="false">IF(OR($D52="",$E52=""),"",IF(AND(W$5&gt;=$D52,W$5&lt;=$E52),IF(W$5-$D52+1&lt;=ROUND(($E52-$D52+1)*$F52,0),2,IF(W$5&lt;CFG_CurWeek,3,1)),""))</f>
        <v/>
      </c>
      <c r="X52" s="66" t="str">
        <f aca="false">IF(OR($D52="",$E52=""),"",IF(AND(X$5&gt;=$D52,X$5&lt;=$E52),IF(X$5-$D52+1&lt;=ROUND(($E52-$D52+1)*$F52,0),2,IF(X$5&lt;CFG_CurWeek,3,1)),""))</f>
        <v/>
      </c>
      <c r="Y52" s="66" t="str">
        <f aca="false">IF(OR($D52="",$E52=""),"",IF(AND(Y$5&gt;=$D52,Y$5&lt;=$E52),IF(Y$5-$D52+1&lt;=ROUND(($E52-$D52+1)*$F52,0),2,IF(Y$5&lt;CFG_CurWeek,3,1)),""))</f>
        <v/>
      </c>
      <c r="Z52" s="66" t="str">
        <f aca="false">IF(OR($D52="",$E52=""),"",IF(AND(Z$5&gt;=$D52,Z$5&lt;=$E52),IF(Z$5-$D52+1&lt;=ROUND(($E52-$D52+1)*$F52,0),2,IF(Z$5&lt;CFG_CurWeek,3,1)),""))</f>
        <v/>
      </c>
      <c r="AA52" s="66" t="str">
        <f aca="false">IF(OR($D52="",$E52=""),"",IF(AND(AA$5&gt;=$D52,AA$5&lt;=$E52),IF(AA$5-$D52+1&lt;=ROUND(($E52-$D52+1)*$F52,0),2,IF(AA$5&lt;CFG_CurWeek,3,1)),""))</f>
        <v/>
      </c>
      <c r="AB52" s="66" t="str">
        <f aca="false">IF(OR($D52="",$E52=""),"",IF(AND(AB$5&gt;=$D52,AB$5&lt;=$E52),IF(AB$5-$D52+1&lt;=ROUND(($E52-$D52+1)*$F52,0),2,IF(AB$5&lt;CFG_CurWeek,3,1)),""))</f>
        <v/>
      </c>
      <c r="AC52" s="66" t="n">
        <f aca="false">IF(OR($D52="",$E52=""),"",IF(AND(AC$5&gt;=$D52,AC$5&lt;=$E52),IF(AC$5-$D52+1&lt;=ROUND(($E52-$D52+1)*$F52,0),2,IF(AC$5&lt;CFG_CurWeek,3,1)),""))</f>
        <v>1</v>
      </c>
      <c r="AD52" s="66" t="n">
        <f aca="false">IF(OR($D52="",$E52=""),"",IF(AND(AD$5&gt;=$D52,AD$5&lt;=$E52),IF(AD$5-$D52+1&lt;=ROUND(($E52-$D52+1)*$F52,0),2,IF(AD$5&lt;CFG_CurWeek,3,1)),""))</f>
        <v>1</v>
      </c>
      <c r="AE52" s="66" t="str">
        <f aca="false">IF(OR($D52="",$E52=""),"",IF(AND(AE$5&gt;=$D52,AE$5&lt;=$E52),IF(AE$5-$D52+1&lt;=ROUND(($E52-$D52+1)*$F52,0),2,IF(AE$5&lt;CFG_CurWeek,3,1)),""))</f>
        <v/>
      </c>
      <c r="AF52" s="66" t="str">
        <f aca="false">IF(OR($D52="",$E52=""),"",IF(AND(AF$5&gt;=$D52,AF$5&lt;=$E52),IF(AF$5-$D52+1&lt;=ROUND(($E52-$D52+1)*$F52,0),2,IF(AF$5&lt;CFG_CurWeek,3,1)),""))</f>
        <v/>
      </c>
      <c r="AG52" s="66" t="str">
        <f aca="false">IF(OR($D52="",$E52=""),"",IF(AND(AG$5&gt;=$D52,AG$5&lt;=$E52),IF(AG$5-$D52+1&lt;=ROUND(($E52-$D52+1)*$F52,0),2,IF(AG$5&lt;CFG_CurWeek,3,1)),""))</f>
        <v/>
      </c>
      <c r="AH52" s="66" t="str">
        <f aca="false">IF(OR($D52="",$E52=""),"",IF(AND(AH$5&gt;=$D52,AH$5&lt;=$E52),IF(AH$5-$D52+1&lt;=ROUND(($E52-$D52+1)*$F52,0),2,IF(AH$5&lt;CFG_CurWeek,3,1)),""))</f>
        <v/>
      </c>
      <c r="AI52" s="66" t="str">
        <f aca="false">IF(OR($D52="",$E52=""),"",IF(AND(AI$5&gt;=$D52,AI$5&lt;=$E52),IF(AI$5-$D52+1&lt;=ROUND(($E52-$D52+1)*$F52,0),2,IF(AI$5&lt;CFG_CurWeek,3,1)),""))</f>
        <v/>
      </c>
      <c r="AJ52" s="66" t="str">
        <f aca="false">IF(OR($D52="",$E52=""),"",IF(AND(AJ$5&gt;=$D52,AJ$5&lt;=$E52),IF(AJ$5-$D52+1&lt;=ROUND(($E52-$D52+1)*$F52,0),2,IF(AJ$5&lt;CFG_CurWeek,3,1)),""))</f>
        <v/>
      </c>
      <c r="AK52" s="66" t="str">
        <f aca="false">IF(OR($D52="",$E52=""),"",IF(AND(AK$5&gt;=$D52,AK$5&lt;=$E52),IF(AK$5-$D52+1&lt;=ROUND(($E52-$D52+1)*$F52,0),2,IF(AK$5&lt;CFG_CurWeek,3,1)),""))</f>
        <v/>
      </c>
      <c r="AL52" s="66" t="str">
        <f aca="false">IF(OR($D52="",$E52=""),"",IF(AND(AL$5&gt;=$D52,AL$5&lt;=$E52),IF(AL$5-$D52+1&lt;=ROUND(($E52-$D52+1)*$F52,0),2,IF(AL$5&lt;CFG_CurWeek,3,1)),""))</f>
        <v/>
      </c>
      <c r="AM52" s="66" t="str">
        <f aca="false">IF(OR($D52="",$E52=""),"",IF(AND(AM$5&gt;=$D52,AM$5&lt;=$E52),IF(AM$5-$D52+1&lt;=ROUND(($E52-$D52+1)*$F52,0),2,IF(AM$5&lt;CFG_CurWeek,3,1)),""))</f>
        <v/>
      </c>
      <c r="AN52" s="66" t="str">
        <f aca="false">IF(OR($D52="",$E52=""),"",IF(AND(AN$5&gt;=$D52,AN$5&lt;=$E52),IF(AN$5-$D52+1&lt;=ROUND(($E52-$D52+1)*$F52,0),2,IF(AN$5&lt;CFG_CurWeek,3,1)),""))</f>
        <v/>
      </c>
      <c r="AO52" s="66" t="str">
        <f aca="false">IF(OR($D52="",$E52=""),"",IF(AND(AO$5&gt;=$D52,AO$5&lt;=$E52),IF(AO$5-$D52+1&lt;=ROUND(($E52-$D52+1)*$F52,0),2,IF(AO$5&lt;CFG_CurWeek,3,1)),""))</f>
        <v/>
      </c>
    </row>
    <row r="53" customFormat="false" ht="15" hidden="false" customHeight="false" outlineLevel="0" collapsed="false">
      <c r="A53" s="63" t="str">
        <f aca="false">IF('01_WBS &amp; Master Plan'!A50="","",'01_WBS &amp; Master Plan'!A50)</f>
        <v>6.4</v>
      </c>
      <c r="B53" s="64" t="str">
        <f aca="false">IF('01_WBS &amp; Master Plan'!D50="","",'01_WBS &amp; Master Plan'!D50)</f>
        <v>Trang đăng ký/đăng nhập/hồ sơ; upload avatar (Multer)</v>
      </c>
      <c r="C53" s="63" t="str">
        <f aca="false">IF('01_WBS &amp; Master Plan'!E50="","",'01_WBS &amp; Master Plan'!E50)</f>
        <v>Nhật</v>
      </c>
      <c r="D53" s="63" t="n">
        <f aca="false">IF('01_WBS &amp; Master Plan'!H50="","",'01_WBS &amp; Master Plan'!H50)</f>
        <v>23</v>
      </c>
      <c r="E53" s="63" t="n">
        <f aca="false">IF('01_WBS &amp; Master Plan'!I50="","",'01_WBS &amp; Master Plan'!I50)</f>
        <v>23</v>
      </c>
      <c r="F53" s="65" t="n">
        <f aca="false">IF(B53="","",IF('01_WBS &amp; Master Plan'!K50="Done",1,IF('01_WBS &amp; Master Plan'!L50="",0,'01_WBS &amp; Master Plan'!L50)))</f>
        <v>0</v>
      </c>
      <c r="G53" s="63" t="str">
        <f aca="false">IF('01_WBS &amp; Master Plan'!K50="","",'01_WBS &amp; Master Plan'!K50)</f>
        <v>To Do</v>
      </c>
      <c r="H53" s="66" t="str">
        <f aca="false">IF(OR($D53="",$E53=""),"",IF(AND(H$5&gt;=$D53,H$5&lt;=$E53),IF(H$5-$D53+1&lt;=ROUND(($E53-$D53+1)*$F53,0),2,IF(H$5&lt;CFG_CurWeek,3,1)),""))</f>
        <v/>
      </c>
      <c r="I53" s="66" t="str">
        <f aca="false">IF(OR($D53="",$E53=""),"",IF(AND(I$5&gt;=$D53,I$5&lt;=$E53),IF(I$5-$D53+1&lt;=ROUND(($E53-$D53+1)*$F53,0),2,IF(I$5&lt;CFG_CurWeek,3,1)),""))</f>
        <v/>
      </c>
      <c r="J53" s="66" t="str">
        <f aca="false">IF(OR($D53="",$E53=""),"",IF(AND(J$5&gt;=$D53,J$5&lt;=$E53),IF(J$5-$D53+1&lt;=ROUND(($E53-$D53+1)*$F53,0),2,IF(J$5&lt;CFG_CurWeek,3,1)),""))</f>
        <v/>
      </c>
      <c r="K53" s="66" t="str">
        <f aca="false">IF(OR($D53="",$E53=""),"",IF(AND(K$5&gt;=$D53,K$5&lt;=$E53),IF(K$5-$D53+1&lt;=ROUND(($E53-$D53+1)*$F53,0),2,IF(K$5&lt;CFG_CurWeek,3,1)),""))</f>
        <v/>
      </c>
      <c r="L53" s="66" t="str">
        <f aca="false">IF(OR($D53="",$E53=""),"",IF(AND(L$5&gt;=$D53,L$5&lt;=$E53),IF(L$5-$D53+1&lt;=ROUND(($E53-$D53+1)*$F53,0),2,IF(L$5&lt;CFG_CurWeek,3,1)),""))</f>
        <v/>
      </c>
      <c r="M53" s="66" t="str">
        <f aca="false">IF(OR($D53="",$E53=""),"",IF(AND(M$5&gt;=$D53,M$5&lt;=$E53),IF(M$5-$D53+1&lt;=ROUND(($E53-$D53+1)*$F53,0),2,IF(M$5&lt;CFG_CurWeek,3,1)),""))</f>
        <v/>
      </c>
      <c r="N53" s="66" t="str">
        <f aca="false">IF(OR($D53="",$E53=""),"",IF(AND(N$5&gt;=$D53,N$5&lt;=$E53),IF(N$5-$D53+1&lt;=ROUND(($E53-$D53+1)*$F53,0),2,IF(N$5&lt;CFG_CurWeek,3,1)),""))</f>
        <v/>
      </c>
      <c r="O53" s="66" t="str">
        <f aca="false">IF(OR($D53="",$E53=""),"",IF(AND(O$5&gt;=$D53,O$5&lt;=$E53),IF(O$5-$D53+1&lt;=ROUND(($E53-$D53+1)*$F53,0),2,IF(O$5&lt;CFG_CurWeek,3,1)),""))</f>
        <v/>
      </c>
      <c r="P53" s="66" t="str">
        <f aca="false">IF(OR($D53="",$E53=""),"",IF(AND(P$5&gt;=$D53,P$5&lt;=$E53),IF(P$5-$D53+1&lt;=ROUND(($E53-$D53+1)*$F53,0),2,IF(P$5&lt;CFG_CurWeek,3,1)),""))</f>
        <v/>
      </c>
      <c r="Q53" s="66" t="str">
        <f aca="false">IF(OR($D53="",$E53=""),"",IF(AND(Q$5&gt;=$D53,Q$5&lt;=$E53),IF(Q$5-$D53+1&lt;=ROUND(($E53-$D53+1)*$F53,0),2,IF(Q$5&lt;CFG_CurWeek,3,1)),""))</f>
        <v/>
      </c>
      <c r="R53" s="66" t="str">
        <f aca="false">IF(OR($D53="",$E53=""),"",IF(AND(R$5&gt;=$D53,R$5&lt;=$E53),IF(R$5-$D53+1&lt;=ROUND(($E53-$D53+1)*$F53,0),2,IF(R$5&lt;CFG_CurWeek,3,1)),""))</f>
        <v/>
      </c>
      <c r="S53" s="66" t="str">
        <f aca="false">IF(OR($D53="",$E53=""),"",IF(AND(S$5&gt;=$D53,S$5&lt;=$E53),IF(S$5-$D53+1&lt;=ROUND(($E53-$D53+1)*$F53,0),2,IF(S$5&lt;CFG_CurWeek,3,1)),""))</f>
        <v/>
      </c>
      <c r="T53" s="66" t="str">
        <f aca="false">IF(OR($D53="",$E53=""),"",IF(AND(T$5&gt;=$D53,T$5&lt;=$E53),IF(T$5-$D53+1&lt;=ROUND(($E53-$D53+1)*$F53,0),2,IF(T$5&lt;CFG_CurWeek,3,1)),""))</f>
        <v/>
      </c>
      <c r="U53" s="66" t="str">
        <f aca="false">IF(OR($D53="",$E53=""),"",IF(AND(U$5&gt;=$D53,U$5&lt;=$E53),IF(U$5-$D53+1&lt;=ROUND(($E53-$D53+1)*$F53,0),2,IF(U$5&lt;CFG_CurWeek,3,1)),""))</f>
        <v/>
      </c>
      <c r="V53" s="66" t="str">
        <f aca="false">IF(OR($D53="",$E53=""),"",IF(AND(V$5&gt;=$D53,V$5&lt;=$E53),IF(V$5-$D53+1&lt;=ROUND(($E53-$D53+1)*$F53,0),2,IF(V$5&lt;CFG_CurWeek,3,1)),""))</f>
        <v/>
      </c>
      <c r="W53" s="66" t="str">
        <f aca="false">IF(OR($D53="",$E53=""),"",IF(AND(W$5&gt;=$D53,W$5&lt;=$E53),IF(W$5-$D53+1&lt;=ROUND(($E53-$D53+1)*$F53,0),2,IF(W$5&lt;CFG_CurWeek,3,1)),""))</f>
        <v/>
      </c>
      <c r="X53" s="66" t="str">
        <f aca="false">IF(OR($D53="",$E53=""),"",IF(AND(X$5&gt;=$D53,X$5&lt;=$E53),IF(X$5-$D53+1&lt;=ROUND(($E53-$D53+1)*$F53,0),2,IF(X$5&lt;CFG_CurWeek,3,1)),""))</f>
        <v/>
      </c>
      <c r="Y53" s="66" t="str">
        <f aca="false">IF(OR($D53="",$E53=""),"",IF(AND(Y$5&gt;=$D53,Y$5&lt;=$E53),IF(Y$5-$D53+1&lt;=ROUND(($E53-$D53+1)*$F53,0),2,IF(Y$5&lt;CFG_CurWeek,3,1)),""))</f>
        <v/>
      </c>
      <c r="Z53" s="66" t="str">
        <f aca="false">IF(OR($D53="",$E53=""),"",IF(AND(Z$5&gt;=$D53,Z$5&lt;=$E53),IF(Z$5-$D53+1&lt;=ROUND(($E53-$D53+1)*$F53,0),2,IF(Z$5&lt;CFG_CurWeek,3,1)),""))</f>
        <v/>
      </c>
      <c r="AA53" s="66" t="str">
        <f aca="false">IF(OR($D53="",$E53=""),"",IF(AND(AA$5&gt;=$D53,AA$5&lt;=$E53),IF(AA$5-$D53+1&lt;=ROUND(($E53-$D53+1)*$F53,0),2,IF(AA$5&lt;CFG_CurWeek,3,1)),""))</f>
        <v/>
      </c>
      <c r="AB53" s="66" t="str">
        <f aca="false">IF(OR($D53="",$E53=""),"",IF(AND(AB$5&gt;=$D53,AB$5&lt;=$E53),IF(AB$5-$D53+1&lt;=ROUND(($E53-$D53+1)*$F53,0),2,IF(AB$5&lt;CFG_CurWeek,3,1)),""))</f>
        <v/>
      </c>
      <c r="AC53" s="66" t="str">
        <f aca="false">IF(OR($D53="",$E53=""),"",IF(AND(AC$5&gt;=$D53,AC$5&lt;=$E53),IF(AC$5-$D53+1&lt;=ROUND(($E53-$D53+1)*$F53,0),2,IF(AC$5&lt;CFG_CurWeek,3,1)),""))</f>
        <v/>
      </c>
      <c r="AD53" s="66" t="n">
        <f aca="false">IF(OR($D53="",$E53=""),"",IF(AND(AD$5&gt;=$D53,AD$5&lt;=$E53),IF(AD$5-$D53+1&lt;=ROUND(($E53-$D53+1)*$F53,0),2,IF(AD$5&lt;CFG_CurWeek,3,1)),""))</f>
        <v>1</v>
      </c>
      <c r="AE53" s="66" t="str">
        <f aca="false">IF(OR($D53="",$E53=""),"",IF(AND(AE$5&gt;=$D53,AE$5&lt;=$E53),IF(AE$5-$D53+1&lt;=ROUND(($E53-$D53+1)*$F53,0),2,IF(AE$5&lt;CFG_CurWeek,3,1)),""))</f>
        <v/>
      </c>
      <c r="AF53" s="66" t="str">
        <f aca="false">IF(OR($D53="",$E53=""),"",IF(AND(AF$5&gt;=$D53,AF$5&lt;=$E53),IF(AF$5-$D53+1&lt;=ROUND(($E53-$D53+1)*$F53,0),2,IF(AF$5&lt;CFG_CurWeek,3,1)),""))</f>
        <v/>
      </c>
      <c r="AG53" s="66" t="str">
        <f aca="false">IF(OR($D53="",$E53=""),"",IF(AND(AG$5&gt;=$D53,AG$5&lt;=$E53),IF(AG$5-$D53+1&lt;=ROUND(($E53-$D53+1)*$F53,0),2,IF(AG$5&lt;CFG_CurWeek,3,1)),""))</f>
        <v/>
      </c>
      <c r="AH53" s="66" t="str">
        <f aca="false">IF(OR($D53="",$E53=""),"",IF(AND(AH$5&gt;=$D53,AH$5&lt;=$E53),IF(AH$5-$D53+1&lt;=ROUND(($E53-$D53+1)*$F53,0),2,IF(AH$5&lt;CFG_CurWeek,3,1)),""))</f>
        <v/>
      </c>
      <c r="AI53" s="66" t="str">
        <f aca="false">IF(OR($D53="",$E53=""),"",IF(AND(AI$5&gt;=$D53,AI$5&lt;=$E53),IF(AI$5-$D53+1&lt;=ROUND(($E53-$D53+1)*$F53,0),2,IF(AI$5&lt;CFG_CurWeek,3,1)),""))</f>
        <v/>
      </c>
      <c r="AJ53" s="66" t="str">
        <f aca="false">IF(OR($D53="",$E53=""),"",IF(AND(AJ$5&gt;=$D53,AJ$5&lt;=$E53),IF(AJ$5-$D53+1&lt;=ROUND(($E53-$D53+1)*$F53,0),2,IF(AJ$5&lt;CFG_CurWeek,3,1)),""))</f>
        <v/>
      </c>
      <c r="AK53" s="66" t="str">
        <f aca="false">IF(OR($D53="",$E53=""),"",IF(AND(AK$5&gt;=$D53,AK$5&lt;=$E53),IF(AK$5-$D53+1&lt;=ROUND(($E53-$D53+1)*$F53,0),2,IF(AK$5&lt;CFG_CurWeek,3,1)),""))</f>
        <v/>
      </c>
      <c r="AL53" s="66" t="str">
        <f aca="false">IF(OR($D53="",$E53=""),"",IF(AND(AL$5&gt;=$D53,AL$5&lt;=$E53),IF(AL$5-$D53+1&lt;=ROUND(($E53-$D53+1)*$F53,0),2,IF(AL$5&lt;CFG_CurWeek,3,1)),""))</f>
        <v/>
      </c>
      <c r="AM53" s="66" t="str">
        <f aca="false">IF(OR($D53="",$E53=""),"",IF(AND(AM$5&gt;=$D53,AM$5&lt;=$E53),IF(AM$5-$D53+1&lt;=ROUND(($E53-$D53+1)*$F53,0),2,IF(AM$5&lt;CFG_CurWeek,3,1)),""))</f>
        <v/>
      </c>
      <c r="AN53" s="66" t="str">
        <f aca="false">IF(OR($D53="",$E53=""),"",IF(AND(AN$5&gt;=$D53,AN$5&lt;=$E53),IF(AN$5-$D53+1&lt;=ROUND(($E53-$D53+1)*$F53,0),2,IF(AN$5&lt;CFG_CurWeek,3,1)),""))</f>
        <v/>
      </c>
      <c r="AO53" s="66" t="str">
        <f aca="false">IF(OR($D53="",$E53=""),"",IF(AND(AO$5&gt;=$D53,AO$5&lt;=$E53),IF(AO$5-$D53+1&lt;=ROUND(($E53-$D53+1)*$F53,0),2,IF(AO$5&lt;CFG_CurWeek,3,1)),""))</f>
        <v/>
      </c>
    </row>
    <row r="54" customFormat="false" ht="15" hidden="false" customHeight="false" outlineLevel="0" collapsed="false">
      <c r="A54" s="63" t="str">
        <f aca="false">IF('01_WBS &amp; Master Plan'!A51="","",'01_WBS &amp; Master Plan'!A51)</f>
        <v>6.5</v>
      </c>
      <c r="B54" s="64" t="str">
        <f aca="false">IF('01_WBS &amp; Master Plan'!D51="","",'01_WBS &amp; Master Plan'!D51)</f>
        <v>API Playlist: tạo/sửa/xóa, thêm/xóa/sắp xếp bài, ảnh bìa</v>
      </c>
      <c r="C54" s="63" t="str">
        <f aca="false">IF('01_WBS &amp; Master Plan'!E51="","",'01_WBS &amp; Master Plan'!E51)</f>
        <v>Nhật</v>
      </c>
      <c r="D54" s="63" t="n">
        <f aca="false">IF('01_WBS &amp; Master Plan'!H51="","",'01_WBS &amp; Master Plan'!H51)</f>
        <v>23</v>
      </c>
      <c r="E54" s="63" t="n">
        <f aca="false">IF('01_WBS &amp; Master Plan'!I51="","",'01_WBS &amp; Master Plan'!I51)</f>
        <v>24</v>
      </c>
      <c r="F54" s="65" t="n">
        <f aca="false">IF(B54="","",IF('01_WBS &amp; Master Plan'!K51="Done",1,IF('01_WBS &amp; Master Plan'!L51="",0,'01_WBS &amp; Master Plan'!L51)))</f>
        <v>0</v>
      </c>
      <c r="G54" s="63" t="str">
        <f aca="false">IF('01_WBS &amp; Master Plan'!K51="","",'01_WBS &amp; Master Plan'!K51)</f>
        <v>To Do</v>
      </c>
      <c r="H54" s="66" t="str">
        <f aca="false">IF(OR($D54="",$E54=""),"",IF(AND(H$5&gt;=$D54,H$5&lt;=$E54),IF(H$5-$D54+1&lt;=ROUND(($E54-$D54+1)*$F54,0),2,IF(H$5&lt;CFG_CurWeek,3,1)),""))</f>
        <v/>
      </c>
      <c r="I54" s="66" t="str">
        <f aca="false">IF(OR($D54="",$E54=""),"",IF(AND(I$5&gt;=$D54,I$5&lt;=$E54),IF(I$5-$D54+1&lt;=ROUND(($E54-$D54+1)*$F54,0),2,IF(I$5&lt;CFG_CurWeek,3,1)),""))</f>
        <v/>
      </c>
      <c r="J54" s="66" t="str">
        <f aca="false">IF(OR($D54="",$E54=""),"",IF(AND(J$5&gt;=$D54,J$5&lt;=$E54),IF(J$5-$D54+1&lt;=ROUND(($E54-$D54+1)*$F54,0),2,IF(J$5&lt;CFG_CurWeek,3,1)),""))</f>
        <v/>
      </c>
      <c r="K54" s="66" t="str">
        <f aca="false">IF(OR($D54="",$E54=""),"",IF(AND(K$5&gt;=$D54,K$5&lt;=$E54),IF(K$5-$D54+1&lt;=ROUND(($E54-$D54+1)*$F54,0),2,IF(K$5&lt;CFG_CurWeek,3,1)),""))</f>
        <v/>
      </c>
      <c r="L54" s="66" t="str">
        <f aca="false">IF(OR($D54="",$E54=""),"",IF(AND(L$5&gt;=$D54,L$5&lt;=$E54),IF(L$5-$D54+1&lt;=ROUND(($E54-$D54+1)*$F54,0),2,IF(L$5&lt;CFG_CurWeek,3,1)),""))</f>
        <v/>
      </c>
      <c r="M54" s="66" t="str">
        <f aca="false">IF(OR($D54="",$E54=""),"",IF(AND(M$5&gt;=$D54,M$5&lt;=$E54),IF(M$5-$D54+1&lt;=ROUND(($E54-$D54+1)*$F54,0),2,IF(M$5&lt;CFG_CurWeek,3,1)),""))</f>
        <v/>
      </c>
      <c r="N54" s="66" t="str">
        <f aca="false">IF(OR($D54="",$E54=""),"",IF(AND(N$5&gt;=$D54,N$5&lt;=$E54),IF(N$5-$D54+1&lt;=ROUND(($E54-$D54+1)*$F54,0),2,IF(N$5&lt;CFG_CurWeek,3,1)),""))</f>
        <v/>
      </c>
      <c r="O54" s="66" t="str">
        <f aca="false">IF(OR($D54="",$E54=""),"",IF(AND(O$5&gt;=$D54,O$5&lt;=$E54),IF(O$5-$D54+1&lt;=ROUND(($E54-$D54+1)*$F54,0),2,IF(O$5&lt;CFG_CurWeek,3,1)),""))</f>
        <v/>
      </c>
      <c r="P54" s="66" t="str">
        <f aca="false">IF(OR($D54="",$E54=""),"",IF(AND(P$5&gt;=$D54,P$5&lt;=$E54),IF(P$5-$D54+1&lt;=ROUND(($E54-$D54+1)*$F54,0),2,IF(P$5&lt;CFG_CurWeek,3,1)),""))</f>
        <v/>
      </c>
      <c r="Q54" s="66" t="str">
        <f aca="false">IF(OR($D54="",$E54=""),"",IF(AND(Q$5&gt;=$D54,Q$5&lt;=$E54),IF(Q$5-$D54+1&lt;=ROUND(($E54-$D54+1)*$F54,0),2,IF(Q$5&lt;CFG_CurWeek,3,1)),""))</f>
        <v/>
      </c>
      <c r="R54" s="66" t="str">
        <f aca="false">IF(OR($D54="",$E54=""),"",IF(AND(R$5&gt;=$D54,R$5&lt;=$E54),IF(R$5-$D54+1&lt;=ROUND(($E54-$D54+1)*$F54,0),2,IF(R$5&lt;CFG_CurWeek,3,1)),""))</f>
        <v/>
      </c>
      <c r="S54" s="66" t="str">
        <f aca="false">IF(OR($D54="",$E54=""),"",IF(AND(S$5&gt;=$D54,S$5&lt;=$E54),IF(S$5-$D54+1&lt;=ROUND(($E54-$D54+1)*$F54,0),2,IF(S$5&lt;CFG_CurWeek,3,1)),""))</f>
        <v/>
      </c>
      <c r="T54" s="66" t="str">
        <f aca="false">IF(OR($D54="",$E54=""),"",IF(AND(T$5&gt;=$D54,T$5&lt;=$E54),IF(T$5-$D54+1&lt;=ROUND(($E54-$D54+1)*$F54,0),2,IF(T$5&lt;CFG_CurWeek,3,1)),""))</f>
        <v/>
      </c>
      <c r="U54" s="66" t="str">
        <f aca="false">IF(OR($D54="",$E54=""),"",IF(AND(U$5&gt;=$D54,U$5&lt;=$E54),IF(U$5-$D54+1&lt;=ROUND(($E54-$D54+1)*$F54,0),2,IF(U$5&lt;CFG_CurWeek,3,1)),""))</f>
        <v/>
      </c>
      <c r="V54" s="66" t="str">
        <f aca="false">IF(OR($D54="",$E54=""),"",IF(AND(V$5&gt;=$D54,V$5&lt;=$E54),IF(V$5-$D54+1&lt;=ROUND(($E54-$D54+1)*$F54,0),2,IF(V$5&lt;CFG_CurWeek,3,1)),""))</f>
        <v/>
      </c>
      <c r="W54" s="66" t="str">
        <f aca="false">IF(OR($D54="",$E54=""),"",IF(AND(W$5&gt;=$D54,W$5&lt;=$E54),IF(W$5-$D54+1&lt;=ROUND(($E54-$D54+1)*$F54,0),2,IF(W$5&lt;CFG_CurWeek,3,1)),""))</f>
        <v/>
      </c>
      <c r="X54" s="66" t="str">
        <f aca="false">IF(OR($D54="",$E54=""),"",IF(AND(X$5&gt;=$D54,X$5&lt;=$E54),IF(X$5-$D54+1&lt;=ROUND(($E54-$D54+1)*$F54,0),2,IF(X$5&lt;CFG_CurWeek,3,1)),""))</f>
        <v/>
      </c>
      <c r="Y54" s="66" t="str">
        <f aca="false">IF(OR($D54="",$E54=""),"",IF(AND(Y$5&gt;=$D54,Y$5&lt;=$E54),IF(Y$5-$D54+1&lt;=ROUND(($E54-$D54+1)*$F54,0),2,IF(Y$5&lt;CFG_CurWeek,3,1)),""))</f>
        <v/>
      </c>
      <c r="Z54" s="66" t="str">
        <f aca="false">IF(OR($D54="",$E54=""),"",IF(AND(Z$5&gt;=$D54,Z$5&lt;=$E54),IF(Z$5-$D54+1&lt;=ROUND(($E54-$D54+1)*$F54,0),2,IF(Z$5&lt;CFG_CurWeek,3,1)),""))</f>
        <v/>
      </c>
      <c r="AA54" s="66" t="str">
        <f aca="false">IF(OR($D54="",$E54=""),"",IF(AND(AA$5&gt;=$D54,AA$5&lt;=$E54),IF(AA$5-$D54+1&lt;=ROUND(($E54-$D54+1)*$F54,0),2,IF(AA$5&lt;CFG_CurWeek,3,1)),""))</f>
        <v/>
      </c>
      <c r="AB54" s="66" t="str">
        <f aca="false">IF(OR($D54="",$E54=""),"",IF(AND(AB$5&gt;=$D54,AB$5&lt;=$E54),IF(AB$5-$D54+1&lt;=ROUND(($E54-$D54+1)*$F54,0),2,IF(AB$5&lt;CFG_CurWeek,3,1)),""))</f>
        <v/>
      </c>
      <c r="AC54" s="66" t="str">
        <f aca="false">IF(OR($D54="",$E54=""),"",IF(AND(AC$5&gt;=$D54,AC$5&lt;=$E54),IF(AC$5-$D54+1&lt;=ROUND(($E54-$D54+1)*$F54,0),2,IF(AC$5&lt;CFG_CurWeek,3,1)),""))</f>
        <v/>
      </c>
      <c r="AD54" s="66" t="n">
        <f aca="false">IF(OR($D54="",$E54=""),"",IF(AND(AD$5&gt;=$D54,AD$5&lt;=$E54),IF(AD$5-$D54+1&lt;=ROUND(($E54-$D54+1)*$F54,0),2,IF(AD$5&lt;CFG_CurWeek,3,1)),""))</f>
        <v>1</v>
      </c>
      <c r="AE54" s="66" t="n">
        <f aca="false">IF(OR($D54="",$E54=""),"",IF(AND(AE$5&gt;=$D54,AE$5&lt;=$E54),IF(AE$5-$D54+1&lt;=ROUND(($E54-$D54+1)*$F54,0),2,IF(AE$5&lt;CFG_CurWeek,3,1)),""))</f>
        <v>1</v>
      </c>
      <c r="AF54" s="66" t="str">
        <f aca="false">IF(OR($D54="",$E54=""),"",IF(AND(AF$5&gt;=$D54,AF$5&lt;=$E54),IF(AF$5-$D54+1&lt;=ROUND(($E54-$D54+1)*$F54,0),2,IF(AF$5&lt;CFG_CurWeek,3,1)),""))</f>
        <v/>
      </c>
      <c r="AG54" s="66" t="str">
        <f aca="false">IF(OR($D54="",$E54=""),"",IF(AND(AG$5&gt;=$D54,AG$5&lt;=$E54),IF(AG$5-$D54+1&lt;=ROUND(($E54-$D54+1)*$F54,0),2,IF(AG$5&lt;CFG_CurWeek,3,1)),""))</f>
        <v/>
      </c>
      <c r="AH54" s="66" t="str">
        <f aca="false">IF(OR($D54="",$E54=""),"",IF(AND(AH$5&gt;=$D54,AH$5&lt;=$E54),IF(AH$5-$D54+1&lt;=ROUND(($E54-$D54+1)*$F54,0),2,IF(AH$5&lt;CFG_CurWeek,3,1)),""))</f>
        <v/>
      </c>
      <c r="AI54" s="66" t="str">
        <f aca="false">IF(OR($D54="",$E54=""),"",IF(AND(AI$5&gt;=$D54,AI$5&lt;=$E54),IF(AI$5-$D54+1&lt;=ROUND(($E54-$D54+1)*$F54,0),2,IF(AI$5&lt;CFG_CurWeek,3,1)),""))</f>
        <v/>
      </c>
      <c r="AJ54" s="66" t="str">
        <f aca="false">IF(OR($D54="",$E54=""),"",IF(AND(AJ$5&gt;=$D54,AJ$5&lt;=$E54),IF(AJ$5-$D54+1&lt;=ROUND(($E54-$D54+1)*$F54,0),2,IF(AJ$5&lt;CFG_CurWeek,3,1)),""))</f>
        <v/>
      </c>
      <c r="AK54" s="66" t="str">
        <f aca="false">IF(OR($D54="",$E54=""),"",IF(AND(AK$5&gt;=$D54,AK$5&lt;=$E54),IF(AK$5-$D54+1&lt;=ROUND(($E54-$D54+1)*$F54,0),2,IF(AK$5&lt;CFG_CurWeek,3,1)),""))</f>
        <v/>
      </c>
      <c r="AL54" s="66" t="str">
        <f aca="false">IF(OR($D54="",$E54=""),"",IF(AND(AL$5&gt;=$D54,AL$5&lt;=$E54),IF(AL$5-$D54+1&lt;=ROUND(($E54-$D54+1)*$F54,0),2,IF(AL$5&lt;CFG_CurWeek,3,1)),""))</f>
        <v/>
      </c>
      <c r="AM54" s="66" t="str">
        <f aca="false">IF(OR($D54="",$E54=""),"",IF(AND(AM$5&gt;=$D54,AM$5&lt;=$E54),IF(AM$5-$D54+1&lt;=ROUND(($E54-$D54+1)*$F54,0),2,IF(AM$5&lt;CFG_CurWeek,3,1)),""))</f>
        <v/>
      </c>
      <c r="AN54" s="66" t="str">
        <f aca="false">IF(OR($D54="",$E54=""),"",IF(AND(AN$5&gt;=$D54,AN$5&lt;=$E54),IF(AN$5-$D54+1&lt;=ROUND(($E54-$D54+1)*$F54,0),2,IF(AN$5&lt;CFG_CurWeek,3,1)),""))</f>
        <v/>
      </c>
      <c r="AO54" s="66" t="str">
        <f aca="false">IF(OR($D54="",$E54=""),"",IF(AND(AO$5&gt;=$D54,AO$5&lt;=$E54),IF(AO$5-$D54+1&lt;=ROUND(($E54-$D54+1)*$F54,0),2,IF(AO$5&lt;CFG_CurWeek,3,1)),""))</f>
        <v/>
      </c>
    </row>
    <row r="55" customFormat="false" ht="15" hidden="false" customHeight="false" outlineLevel="0" collapsed="false">
      <c r="A55" s="63" t="str">
        <f aca="false">IF('01_WBS &amp; Master Plan'!A52="","",'01_WBS &amp; Master Plan'!A52)</f>
        <v>6.6</v>
      </c>
      <c r="B55" s="64" t="str">
        <f aca="false">IF('01_WBS &amp; Master Plan'!D52="","",'01_WBS &amp; Master Plan'!D52)</f>
        <v>UI Playlist: tạo, thêm bài từ menu ⋯, kéo-thả sắp xếp</v>
      </c>
      <c r="C55" s="63" t="str">
        <f aca="false">IF('01_WBS &amp; Master Plan'!E52="","",'01_WBS &amp; Master Plan'!E52)</f>
        <v>Nhật</v>
      </c>
      <c r="D55" s="63" t="n">
        <f aca="false">IF('01_WBS &amp; Master Plan'!H52="","",'01_WBS &amp; Master Plan'!H52)</f>
        <v>24</v>
      </c>
      <c r="E55" s="63" t="n">
        <f aca="false">IF('01_WBS &amp; Master Plan'!I52="","",'01_WBS &amp; Master Plan'!I52)</f>
        <v>24</v>
      </c>
      <c r="F55" s="65" t="n">
        <f aca="false">IF(B55="","",IF('01_WBS &amp; Master Plan'!K52="Done",1,IF('01_WBS &amp; Master Plan'!L52="",0,'01_WBS &amp; Master Plan'!L52)))</f>
        <v>0</v>
      </c>
      <c r="G55" s="63" t="str">
        <f aca="false">IF('01_WBS &amp; Master Plan'!K52="","",'01_WBS &amp; Master Plan'!K52)</f>
        <v>To Do</v>
      </c>
      <c r="H55" s="66" t="str">
        <f aca="false">IF(OR($D55="",$E55=""),"",IF(AND(H$5&gt;=$D55,H$5&lt;=$E55),IF(H$5-$D55+1&lt;=ROUND(($E55-$D55+1)*$F55,0),2,IF(H$5&lt;CFG_CurWeek,3,1)),""))</f>
        <v/>
      </c>
      <c r="I55" s="66" t="str">
        <f aca="false">IF(OR($D55="",$E55=""),"",IF(AND(I$5&gt;=$D55,I$5&lt;=$E55),IF(I$5-$D55+1&lt;=ROUND(($E55-$D55+1)*$F55,0),2,IF(I$5&lt;CFG_CurWeek,3,1)),""))</f>
        <v/>
      </c>
      <c r="J55" s="66" t="str">
        <f aca="false">IF(OR($D55="",$E55=""),"",IF(AND(J$5&gt;=$D55,J$5&lt;=$E55),IF(J$5-$D55+1&lt;=ROUND(($E55-$D55+1)*$F55,0),2,IF(J$5&lt;CFG_CurWeek,3,1)),""))</f>
        <v/>
      </c>
      <c r="K55" s="66" t="str">
        <f aca="false">IF(OR($D55="",$E55=""),"",IF(AND(K$5&gt;=$D55,K$5&lt;=$E55),IF(K$5-$D55+1&lt;=ROUND(($E55-$D55+1)*$F55,0),2,IF(K$5&lt;CFG_CurWeek,3,1)),""))</f>
        <v/>
      </c>
      <c r="L55" s="66" t="str">
        <f aca="false">IF(OR($D55="",$E55=""),"",IF(AND(L$5&gt;=$D55,L$5&lt;=$E55),IF(L$5-$D55+1&lt;=ROUND(($E55-$D55+1)*$F55,0),2,IF(L$5&lt;CFG_CurWeek,3,1)),""))</f>
        <v/>
      </c>
      <c r="M55" s="66" t="str">
        <f aca="false">IF(OR($D55="",$E55=""),"",IF(AND(M$5&gt;=$D55,M$5&lt;=$E55),IF(M$5-$D55+1&lt;=ROUND(($E55-$D55+1)*$F55,0),2,IF(M$5&lt;CFG_CurWeek,3,1)),""))</f>
        <v/>
      </c>
      <c r="N55" s="66" t="str">
        <f aca="false">IF(OR($D55="",$E55=""),"",IF(AND(N$5&gt;=$D55,N$5&lt;=$E55),IF(N$5-$D55+1&lt;=ROUND(($E55-$D55+1)*$F55,0),2,IF(N$5&lt;CFG_CurWeek,3,1)),""))</f>
        <v/>
      </c>
      <c r="O55" s="66" t="str">
        <f aca="false">IF(OR($D55="",$E55=""),"",IF(AND(O$5&gt;=$D55,O$5&lt;=$E55),IF(O$5-$D55+1&lt;=ROUND(($E55-$D55+1)*$F55,0),2,IF(O$5&lt;CFG_CurWeek,3,1)),""))</f>
        <v/>
      </c>
      <c r="P55" s="66" t="str">
        <f aca="false">IF(OR($D55="",$E55=""),"",IF(AND(P$5&gt;=$D55,P$5&lt;=$E55),IF(P$5-$D55+1&lt;=ROUND(($E55-$D55+1)*$F55,0),2,IF(P$5&lt;CFG_CurWeek,3,1)),""))</f>
        <v/>
      </c>
      <c r="Q55" s="66" t="str">
        <f aca="false">IF(OR($D55="",$E55=""),"",IF(AND(Q$5&gt;=$D55,Q$5&lt;=$E55),IF(Q$5-$D55+1&lt;=ROUND(($E55-$D55+1)*$F55,0),2,IF(Q$5&lt;CFG_CurWeek,3,1)),""))</f>
        <v/>
      </c>
      <c r="R55" s="66" t="str">
        <f aca="false">IF(OR($D55="",$E55=""),"",IF(AND(R$5&gt;=$D55,R$5&lt;=$E55),IF(R$5-$D55+1&lt;=ROUND(($E55-$D55+1)*$F55,0),2,IF(R$5&lt;CFG_CurWeek,3,1)),""))</f>
        <v/>
      </c>
      <c r="S55" s="66" t="str">
        <f aca="false">IF(OR($D55="",$E55=""),"",IF(AND(S$5&gt;=$D55,S$5&lt;=$E55),IF(S$5-$D55+1&lt;=ROUND(($E55-$D55+1)*$F55,0),2,IF(S$5&lt;CFG_CurWeek,3,1)),""))</f>
        <v/>
      </c>
      <c r="T55" s="66" t="str">
        <f aca="false">IF(OR($D55="",$E55=""),"",IF(AND(T$5&gt;=$D55,T$5&lt;=$E55),IF(T$5-$D55+1&lt;=ROUND(($E55-$D55+1)*$F55,0),2,IF(T$5&lt;CFG_CurWeek,3,1)),""))</f>
        <v/>
      </c>
      <c r="U55" s="66" t="str">
        <f aca="false">IF(OR($D55="",$E55=""),"",IF(AND(U$5&gt;=$D55,U$5&lt;=$E55),IF(U$5-$D55+1&lt;=ROUND(($E55-$D55+1)*$F55,0),2,IF(U$5&lt;CFG_CurWeek,3,1)),""))</f>
        <v/>
      </c>
      <c r="V55" s="66" t="str">
        <f aca="false">IF(OR($D55="",$E55=""),"",IF(AND(V$5&gt;=$D55,V$5&lt;=$E55),IF(V$5-$D55+1&lt;=ROUND(($E55-$D55+1)*$F55,0),2,IF(V$5&lt;CFG_CurWeek,3,1)),""))</f>
        <v/>
      </c>
      <c r="W55" s="66" t="str">
        <f aca="false">IF(OR($D55="",$E55=""),"",IF(AND(W$5&gt;=$D55,W$5&lt;=$E55),IF(W$5-$D55+1&lt;=ROUND(($E55-$D55+1)*$F55,0),2,IF(W$5&lt;CFG_CurWeek,3,1)),""))</f>
        <v/>
      </c>
      <c r="X55" s="66" t="str">
        <f aca="false">IF(OR($D55="",$E55=""),"",IF(AND(X$5&gt;=$D55,X$5&lt;=$E55),IF(X$5-$D55+1&lt;=ROUND(($E55-$D55+1)*$F55,0),2,IF(X$5&lt;CFG_CurWeek,3,1)),""))</f>
        <v/>
      </c>
      <c r="Y55" s="66" t="str">
        <f aca="false">IF(OR($D55="",$E55=""),"",IF(AND(Y$5&gt;=$D55,Y$5&lt;=$E55),IF(Y$5-$D55+1&lt;=ROUND(($E55-$D55+1)*$F55,0),2,IF(Y$5&lt;CFG_CurWeek,3,1)),""))</f>
        <v/>
      </c>
      <c r="Z55" s="66" t="str">
        <f aca="false">IF(OR($D55="",$E55=""),"",IF(AND(Z$5&gt;=$D55,Z$5&lt;=$E55),IF(Z$5-$D55+1&lt;=ROUND(($E55-$D55+1)*$F55,0),2,IF(Z$5&lt;CFG_CurWeek,3,1)),""))</f>
        <v/>
      </c>
      <c r="AA55" s="66" t="str">
        <f aca="false">IF(OR($D55="",$E55=""),"",IF(AND(AA$5&gt;=$D55,AA$5&lt;=$E55),IF(AA$5-$D55+1&lt;=ROUND(($E55-$D55+1)*$F55,0),2,IF(AA$5&lt;CFG_CurWeek,3,1)),""))</f>
        <v/>
      </c>
      <c r="AB55" s="66" t="str">
        <f aca="false">IF(OR($D55="",$E55=""),"",IF(AND(AB$5&gt;=$D55,AB$5&lt;=$E55),IF(AB$5-$D55+1&lt;=ROUND(($E55-$D55+1)*$F55,0),2,IF(AB$5&lt;CFG_CurWeek,3,1)),""))</f>
        <v/>
      </c>
      <c r="AC55" s="66" t="str">
        <f aca="false">IF(OR($D55="",$E55=""),"",IF(AND(AC$5&gt;=$D55,AC$5&lt;=$E55),IF(AC$5-$D55+1&lt;=ROUND(($E55-$D55+1)*$F55,0),2,IF(AC$5&lt;CFG_CurWeek,3,1)),""))</f>
        <v/>
      </c>
      <c r="AD55" s="66" t="str">
        <f aca="false">IF(OR($D55="",$E55=""),"",IF(AND(AD$5&gt;=$D55,AD$5&lt;=$E55),IF(AD$5-$D55+1&lt;=ROUND(($E55-$D55+1)*$F55,0),2,IF(AD$5&lt;CFG_CurWeek,3,1)),""))</f>
        <v/>
      </c>
      <c r="AE55" s="66" t="n">
        <f aca="false">IF(OR($D55="",$E55=""),"",IF(AND(AE$5&gt;=$D55,AE$5&lt;=$E55),IF(AE$5-$D55+1&lt;=ROUND(($E55-$D55+1)*$F55,0),2,IF(AE$5&lt;CFG_CurWeek,3,1)),""))</f>
        <v>1</v>
      </c>
      <c r="AF55" s="66" t="str">
        <f aca="false">IF(OR($D55="",$E55=""),"",IF(AND(AF$5&gt;=$D55,AF$5&lt;=$E55),IF(AF$5-$D55+1&lt;=ROUND(($E55-$D55+1)*$F55,0),2,IF(AF$5&lt;CFG_CurWeek,3,1)),""))</f>
        <v/>
      </c>
      <c r="AG55" s="66" t="str">
        <f aca="false">IF(OR($D55="",$E55=""),"",IF(AND(AG$5&gt;=$D55,AG$5&lt;=$E55),IF(AG$5-$D55+1&lt;=ROUND(($E55-$D55+1)*$F55,0),2,IF(AG$5&lt;CFG_CurWeek,3,1)),""))</f>
        <v/>
      </c>
      <c r="AH55" s="66" t="str">
        <f aca="false">IF(OR($D55="",$E55=""),"",IF(AND(AH$5&gt;=$D55,AH$5&lt;=$E55),IF(AH$5-$D55+1&lt;=ROUND(($E55-$D55+1)*$F55,0),2,IF(AH$5&lt;CFG_CurWeek,3,1)),""))</f>
        <v/>
      </c>
      <c r="AI55" s="66" t="str">
        <f aca="false">IF(OR($D55="",$E55=""),"",IF(AND(AI$5&gt;=$D55,AI$5&lt;=$E55),IF(AI$5-$D55+1&lt;=ROUND(($E55-$D55+1)*$F55,0),2,IF(AI$5&lt;CFG_CurWeek,3,1)),""))</f>
        <v/>
      </c>
      <c r="AJ55" s="66" t="str">
        <f aca="false">IF(OR($D55="",$E55=""),"",IF(AND(AJ$5&gt;=$D55,AJ$5&lt;=$E55),IF(AJ$5-$D55+1&lt;=ROUND(($E55-$D55+1)*$F55,0),2,IF(AJ$5&lt;CFG_CurWeek,3,1)),""))</f>
        <v/>
      </c>
      <c r="AK55" s="66" t="str">
        <f aca="false">IF(OR($D55="",$E55=""),"",IF(AND(AK$5&gt;=$D55,AK$5&lt;=$E55),IF(AK$5-$D55+1&lt;=ROUND(($E55-$D55+1)*$F55,0),2,IF(AK$5&lt;CFG_CurWeek,3,1)),""))</f>
        <v/>
      </c>
      <c r="AL55" s="66" t="str">
        <f aca="false">IF(OR($D55="",$E55=""),"",IF(AND(AL$5&gt;=$D55,AL$5&lt;=$E55),IF(AL$5-$D55+1&lt;=ROUND(($E55-$D55+1)*$F55,0),2,IF(AL$5&lt;CFG_CurWeek,3,1)),""))</f>
        <v/>
      </c>
      <c r="AM55" s="66" t="str">
        <f aca="false">IF(OR($D55="",$E55=""),"",IF(AND(AM$5&gt;=$D55,AM$5&lt;=$E55),IF(AM$5-$D55+1&lt;=ROUND(($E55-$D55+1)*$F55,0),2,IF(AM$5&lt;CFG_CurWeek,3,1)),""))</f>
        <v/>
      </c>
      <c r="AN55" s="66" t="str">
        <f aca="false">IF(OR($D55="",$E55=""),"",IF(AND(AN$5&gt;=$D55,AN$5&lt;=$E55),IF(AN$5-$D55+1&lt;=ROUND(($E55-$D55+1)*$F55,0),2,IF(AN$5&lt;CFG_CurWeek,3,1)),""))</f>
        <v/>
      </c>
      <c r="AO55" s="66" t="str">
        <f aca="false">IF(OR($D55="",$E55=""),"",IF(AND(AO$5&gt;=$D55,AO$5&lt;=$E55),IF(AO$5-$D55+1&lt;=ROUND(($E55-$D55+1)*$F55,0),2,IF(AO$5&lt;CFG_CurWeek,3,1)),""))</f>
        <v/>
      </c>
    </row>
    <row r="56" customFormat="false" ht="15" hidden="false" customHeight="false" outlineLevel="0" collapsed="false">
      <c r="A56" s="63" t="str">
        <f aca="false">IF('01_WBS &amp; Master Plan'!A53="","",'01_WBS &amp; Master Plan'!A53)</f>
        <v>6.7</v>
      </c>
      <c r="B56" s="64" t="str">
        <f aca="false">IF('01_WBS &amp; Master Plan'!D53="","",'01_WBS &amp; Master Plan'!D53)</f>
        <v>Yêu thích bài/album, theo dõi nghệ sĩ; trang Thư viện</v>
      </c>
      <c r="C56" s="63" t="str">
        <f aca="false">IF('01_WBS &amp; Master Plan'!E53="","",'01_WBS &amp; Master Plan'!E53)</f>
        <v>Nhật</v>
      </c>
      <c r="D56" s="63" t="n">
        <f aca="false">IF('01_WBS &amp; Master Plan'!H53="","",'01_WBS &amp; Master Plan'!H53)</f>
        <v>24</v>
      </c>
      <c r="E56" s="63" t="n">
        <f aca="false">IF('01_WBS &amp; Master Plan'!I53="","",'01_WBS &amp; Master Plan'!I53)</f>
        <v>24</v>
      </c>
      <c r="F56" s="65" t="n">
        <f aca="false">IF(B56="","",IF('01_WBS &amp; Master Plan'!K53="Done",1,IF('01_WBS &amp; Master Plan'!L53="",0,'01_WBS &amp; Master Plan'!L53)))</f>
        <v>0</v>
      </c>
      <c r="G56" s="63" t="str">
        <f aca="false">IF('01_WBS &amp; Master Plan'!K53="","",'01_WBS &amp; Master Plan'!K53)</f>
        <v>To Do</v>
      </c>
      <c r="H56" s="66" t="str">
        <f aca="false">IF(OR($D56="",$E56=""),"",IF(AND(H$5&gt;=$D56,H$5&lt;=$E56),IF(H$5-$D56+1&lt;=ROUND(($E56-$D56+1)*$F56,0),2,IF(H$5&lt;CFG_CurWeek,3,1)),""))</f>
        <v/>
      </c>
      <c r="I56" s="66" t="str">
        <f aca="false">IF(OR($D56="",$E56=""),"",IF(AND(I$5&gt;=$D56,I$5&lt;=$E56),IF(I$5-$D56+1&lt;=ROUND(($E56-$D56+1)*$F56,0),2,IF(I$5&lt;CFG_CurWeek,3,1)),""))</f>
        <v/>
      </c>
      <c r="J56" s="66" t="str">
        <f aca="false">IF(OR($D56="",$E56=""),"",IF(AND(J$5&gt;=$D56,J$5&lt;=$E56),IF(J$5-$D56+1&lt;=ROUND(($E56-$D56+1)*$F56,0),2,IF(J$5&lt;CFG_CurWeek,3,1)),""))</f>
        <v/>
      </c>
      <c r="K56" s="66" t="str">
        <f aca="false">IF(OR($D56="",$E56=""),"",IF(AND(K$5&gt;=$D56,K$5&lt;=$E56),IF(K$5-$D56+1&lt;=ROUND(($E56-$D56+1)*$F56,0),2,IF(K$5&lt;CFG_CurWeek,3,1)),""))</f>
        <v/>
      </c>
      <c r="L56" s="66" t="str">
        <f aca="false">IF(OR($D56="",$E56=""),"",IF(AND(L$5&gt;=$D56,L$5&lt;=$E56),IF(L$5-$D56+1&lt;=ROUND(($E56-$D56+1)*$F56,0),2,IF(L$5&lt;CFG_CurWeek,3,1)),""))</f>
        <v/>
      </c>
      <c r="M56" s="66" t="str">
        <f aca="false">IF(OR($D56="",$E56=""),"",IF(AND(M$5&gt;=$D56,M$5&lt;=$E56),IF(M$5-$D56+1&lt;=ROUND(($E56-$D56+1)*$F56,0),2,IF(M$5&lt;CFG_CurWeek,3,1)),""))</f>
        <v/>
      </c>
      <c r="N56" s="66" t="str">
        <f aca="false">IF(OR($D56="",$E56=""),"",IF(AND(N$5&gt;=$D56,N$5&lt;=$E56),IF(N$5-$D56+1&lt;=ROUND(($E56-$D56+1)*$F56,0),2,IF(N$5&lt;CFG_CurWeek,3,1)),""))</f>
        <v/>
      </c>
      <c r="O56" s="66" t="str">
        <f aca="false">IF(OR($D56="",$E56=""),"",IF(AND(O$5&gt;=$D56,O$5&lt;=$E56),IF(O$5-$D56+1&lt;=ROUND(($E56-$D56+1)*$F56,0),2,IF(O$5&lt;CFG_CurWeek,3,1)),""))</f>
        <v/>
      </c>
      <c r="P56" s="66" t="str">
        <f aca="false">IF(OR($D56="",$E56=""),"",IF(AND(P$5&gt;=$D56,P$5&lt;=$E56),IF(P$5-$D56+1&lt;=ROUND(($E56-$D56+1)*$F56,0),2,IF(P$5&lt;CFG_CurWeek,3,1)),""))</f>
        <v/>
      </c>
      <c r="Q56" s="66" t="str">
        <f aca="false">IF(OR($D56="",$E56=""),"",IF(AND(Q$5&gt;=$D56,Q$5&lt;=$E56),IF(Q$5-$D56+1&lt;=ROUND(($E56-$D56+1)*$F56,0),2,IF(Q$5&lt;CFG_CurWeek,3,1)),""))</f>
        <v/>
      </c>
      <c r="R56" s="66" t="str">
        <f aca="false">IF(OR($D56="",$E56=""),"",IF(AND(R$5&gt;=$D56,R$5&lt;=$E56),IF(R$5-$D56+1&lt;=ROUND(($E56-$D56+1)*$F56,0),2,IF(R$5&lt;CFG_CurWeek,3,1)),""))</f>
        <v/>
      </c>
      <c r="S56" s="66" t="str">
        <f aca="false">IF(OR($D56="",$E56=""),"",IF(AND(S$5&gt;=$D56,S$5&lt;=$E56),IF(S$5-$D56+1&lt;=ROUND(($E56-$D56+1)*$F56,0),2,IF(S$5&lt;CFG_CurWeek,3,1)),""))</f>
        <v/>
      </c>
      <c r="T56" s="66" t="str">
        <f aca="false">IF(OR($D56="",$E56=""),"",IF(AND(T$5&gt;=$D56,T$5&lt;=$E56),IF(T$5-$D56+1&lt;=ROUND(($E56-$D56+1)*$F56,0),2,IF(T$5&lt;CFG_CurWeek,3,1)),""))</f>
        <v/>
      </c>
      <c r="U56" s="66" t="str">
        <f aca="false">IF(OR($D56="",$E56=""),"",IF(AND(U$5&gt;=$D56,U$5&lt;=$E56),IF(U$5-$D56+1&lt;=ROUND(($E56-$D56+1)*$F56,0),2,IF(U$5&lt;CFG_CurWeek,3,1)),""))</f>
        <v/>
      </c>
      <c r="V56" s="66" t="str">
        <f aca="false">IF(OR($D56="",$E56=""),"",IF(AND(V$5&gt;=$D56,V$5&lt;=$E56),IF(V$5-$D56+1&lt;=ROUND(($E56-$D56+1)*$F56,0),2,IF(V$5&lt;CFG_CurWeek,3,1)),""))</f>
        <v/>
      </c>
      <c r="W56" s="66" t="str">
        <f aca="false">IF(OR($D56="",$E56=""),"",IF(AND(W$5&gt;=$D56,W$5&lt;=$E56),IF(W$5-$D56+1&lt;=ROUND(($E56-$D56+1)*$F56,0),2,IF(W$5&lt;CFG_CurWeek,3,1)),""))</f>
        <v/>
      </c>
      <c r="X56" s="66" t="str">
        <f aca="false">IF(OR($D56="",$E56=""),"",IF(AND(X$5&gt;=$D56,X$5&lt;=$E56),IF(X$5-$D56+1&lt;=ROUND(($E56-$D56+1)*$F56,0),2,IF(X$5&lt;CFG_CurWeek,3,1)),""))</f>
        <v/>
      </c>
      <c r="Y56" s="66" t="str">
        <f aca="false">IF(OR($D56="",$E56=""),"",IF(AND(Y$5&gt;=$D56,Y$5&lt;=$E56),IF(Y$5-$D56+1&lt;=ROUND(($E56-$D56+1)*$F56,0),2,IF(Y$5&lt;CFG_CurWeek,3,1)),""))</f>
        <v/>
      </c>
      <c r="Z56" s="66" t="str">
        <f aca="false">IF(OR($D56="",$E56=""),"",IF(AND(Z$5&gt;=$D56,Z$5&lt;=$E56),IF(Z$5-$D56+1&lt;=ROUND(($E56-$D56+1)*$F56,0),2,IF(Z$5&lt;CFG_CurWeek,3,1)),""))</f>
        <v/>
      </c>
      <c r="AA56" s="66" t="str">
        <f aca="false">IF(OR($D56="",$E56=""),"",IF(AND(AA$5&gt;=$D56,AA$5&lt;=$E56),IF(AA$5-$D56+1&lt;=ROUND(($E56-$D56+1)*$F56,0),2,IF(AA$5&lt;CFG_CurWeek,3,1)),""))</f>
        <v/>
      </c>
      <c r="AB56" s="66" t="str">
        <f aca="false">IF(OR($D56="",$E56=""),"",IF(AND(AB$5&gt;=$D56,AB$5&lt;=$E56),IF(AB$5-$D56+1&lt;=ROUND(($E56-$D56+1)*$F56,0),2,IF(AB$5&lt;CFG_CurWeek,3,1)),""))</f>
        <v/>
      </c>
      <c r="AC56" s="66" t="str">
        <f aca="false">IF(OR($D56="",$E56=""),"",IF(AND(AC$5&gt;=$D56,AC$5&lt;=$E56),IF(AC$5-$D56+1&lt;=ROUND(($E56-$D56+1)*$F56,0),2,IF(AC$5&lt;CFG_CurWeek,3,1)),""))</f>
        <v/>
      </c>
      <c r="AD56" s="66" t="str">
        <f aca="false">IF(OR($D56="",$E56=""),"",IF(AND(AD$5&gt;=$D56,AD$5&lt;=$E56),IF(AD$5-$D56+1&lt;=ROUND(($E56-$D56+1)*$F56,0),2,IF(AD$5&lt;CFG_CurWeek,3,1)),""))</f>
        <v/>
      </c>
      <c r="AE56" s="66" t="n">
        <f aca="false">IF(OR($D56="",$E56=""),"",IF(AND(AE$5&gt;=$D56,AE$5&lt;=$E56),IF(AE$5-$D56+1&lt;=ROUND(($E56-$D56+1)*$F56,0),2,IF(AE$5&lt;CFG_CurWeek,3,1)),""))</f>
        <v>1</v>
      </c>
      <c r="AF56" s="66" t="str">
        <f aca="false">IF(OR($D56="",$E56=""),"",IF(AND(AF$5&gt;=$D56,AF$5&lt;=$E56),IF(AF$5-$D56+1&lt;=ROUND(($E56-$D56+1)*$F56,0),2,IF(AF$5&lt;CFG_CurWeek,3,1)),""))</f>
        <v/>
      </c>
      <c r="AG56" s="66" t="str">
        <f aca="false">IF(OR($D56="",$E56=""),"",IF(AND(AG$5&gt;=$D56,AG$5&lt;=$E56),IF(AG$5-$D56+1&lt;=ROUND(($E56-$D56+1)*$F56,0),2,IF(AG$5&lt;CFG_CurWeek,3,1)),""))</f>
        <v/>
      </c>
      <c r="AH56" s="66" t="str">
        <f aca="false">IF(OR($D56="",$E56=""),"",IF(AND(AH$5&gt;=$D56,AH$5&lt;=$E56),IF(AH$5-$D56+1&lt;=ROUND(($E56-$D56+1)*$F56,0),2,IF(AH$5&lt;CFG_CurWeek,3,1)),""))</f>
        <v/>
      </c>
      <c r="AI56" s="66" t="str">
        <f aca="false">IF(OR($D56="",$E56=""),"",IF(AND(AI$5&gt;=$D56,AI$5&lt;=$E56),IF(AI$5-$D56+1&lt;=ROUND(($E56-$D56+1)*$F56,0),2,IF(AI$5&lt;CFG_CurWeek,3,1)),""))</f>
        <v/>
      </c>
      <c r="AJ56" s="66" t="str">
        <f aca="false">IF(OR($D56="",$E56=""),"",IF(AND(AJ$5&gt;=$D56,AJ$5&lt;=$E56),IF(AJ$5-$D56+1&lt;=ROUND(($E56-$D56+1)*$F56,0),2,IF(AJ$5&lt;CFG_CurWeek,3,1)),""))</f>
        <v/>
      </c>
      <c r="AK56" s="66" t="str">
        <f aca="false">IF(OR($D56="",$E56=""),"",IF(AND(AK$5&gt;=$D56,AK$5&lt;=$E56),IF(AK$5-$D56+1&lt;=ROUND(($E56-$D56+1)*$F56,0),2,IF(AK$5&lt;CFG_CurWeek,3,1)),""))</f>
        <v/>
      </c>
      <c r="AL56" s="66" t="str">
        <f aca="false">IF(OR($D56="",$E56=""),"",IF(AND(AL$5&gt;=$D56,AL$5&lt;=$E56),IF(AL$5-$D56+1&lt;=ROUND(($E56-$D56+1)*$F56,0),2,IF(AL$5&lt;CFG_CurWeek,3,1)),""))</f>
        <v/>
      </c>
      <c r="AM56" s="66" t="str">
        <f aca="false">IF(OR($D56="",$E56=""),"",IF(AND(AM$5&gt;=$D56,AM$5&lt;=$E56),IF(AM$5-$D56+1&lt;=ROUND(($E56-$D56+1)*$F56,0),2,IF(AM$5&lt;CFG_CurWeek,3,1)),""))</f>
        <v/>
      </c>
      <c r="AN56" s="66" t="str">
        <f aca="false">IF(OR($D56="",$E56=""),"",IF(AND(AN$5&gt;=$D56,AN$5&lt;=$E56),IF(AN$5-$D56+1&lt;=ROUND(($E56-$D56+1)*$F56,0),2,IF(AN$5&lt;CFG_CurWeek,3,1)),""))</f>
        <v/>
      </c>
      <c r="AO56" s="66" t="str">
        <f aca="false">IF(OR($D56="",$E56=""),"",IF(AND(AO$5&gt;=$D56,AO$5&lt;=$E56),IF(AO$5-$D56+1&lt;=ROUND(($E56-$D56+1)*$F56,0),2,IF(AO$5&lt;CFG_CurWeek,3,1)),""))</f>
        <v/>
      </c>
    </row>
    <row r="57" customFormat="false" ht="15" hidden="false" customHeight="false" outlineLevel="0" collapsed="false">
      <c r="A57" s="63" t="str">
        <f aca="false">IF('01_WBS &amp; Master Plan'!A54="","",'01_WBS &amp; Master Plan'!A54)</f>
        <v>6.8</v>
      </c>
      <c r="B57" s="64" t="str">
        <f aca="false">IF('01_WBS &amp; Master Plan'!D54="","",'01_WBS &amp; Master Plan'!D54)</f>
        <v>Ghi lịch sử nghe + trang Nghe gần đây</v>
      </c>
      <c r="C57" s="63" t="str">
        <f aca="false">IF('01_WBS &amp; Master Plan'!E54="","",'01_WBS &amp; Master Plan'!E54)</f>
        <v>Nhật</v>
      </c>
      <c r="D57" s="63" t="n">
        <f aca="false">IF('01_WBS &amp; Master Plan'!H54="","",'01_WBS &amp; Master Plan'!H54)</f>
        <v>24</v>
      </c>
      <c r="E57" s="63" t="n">
        <f aca="false">IF('01_WBS &amp; Master Plan'!I54="","",'01_WBS &amp; Master Plan'!I54)</f>
        <v>24</v>
      </c>
      <c r="F57" s="65" t="n">
        <f aca="false">IF(B57="","",IF('01_WBS &amp; Master Plan'!K54="Done",1,IF('01_WBS &amp; Master Plan'!L54="",0,'01_WBS &amp; Master Plan'!L54)))</f>
        <v>0</v>
      </c>
      <c r="G57" s="63" t="str">
        <f aca="false">IF('01_WBS &amp; Master Plan'!K54="","",'01_WBS &amp; Master Plan'!K54)</f>
        <v>To Do</v>
      </c>
      <c r="H57" s="66" t="str">
        <f aca="false">IF(OR($D57="",$E57=""),"",IF(AND(H$5&gt;=$D57,H$5&lt;=$E57),IF(H$5-$D57+1&lt;=ROUND(($E57-$D57+1)*$F57,0),2,IF(H$5&lt;CFG_CurWeek,3,1)),""))</f>
        <v/>
      </c>
      <c r="I57" s="66" t="str">
        <f aca="false">IF(OR($D57="",$E57=""),"",IF(AND(I$5&gt;=$D57,I$5&lt;=$E57),IF(I$5-$D57+1&lt;=ROUND(($E57-$D57+1)*$F57,0),2,IF(I$5&lt;CFG_CurWeek,3,1)),""))</f>
        <v/>
      </c>
      <c r="J57" s="66" t="str">
        <f aca="false">IF(OR($D57="",$E57=""),"",IF(AND(J$5&gt;=$D57,J$5&lt;=$E57),IF(J$5-$D57+1&lt;=ROUND(($E57-$D57+1)*$F57,0),2,IF(J$5&lt;CFG_CurWeek,3,1)),""))</f>
        <v/>
      </c>
      <c r="K57" s="66" t="str">
        <f aca="false">IF(OR($D57="",$E57=""),"",IF(AND(K$5&gt;=$D57,K$5&lt;=$E57),IF(K$5-$D57+1&lt;=ROUND(($E57-$D57+1)*$F57,0),2,IF(K$5&lt;CFG_CurWeek,3,1)),""))</f>
        <v/>
      </c>
      <c r="L57" s="66" t="str">
        <f aca="false">IF(OR($D57="",$E57=""),"",IF(AND(L$5&gt;=$D57,L$5&lt;=$E57),IF(L$5-$D57+1&lt;=ROUND(($E57-$D57+1)*$F57,0),2,IF(L$5&lt;CFG_CurWeek,3,1)),""))</f>
        <v/>
      </c>
      <c r="M57" s="66" t="str">
        <f aca="false">IF(OR($D57="",$E57=""),"",IF(AND(M$5&gt;=$D57,M$5&lt;=$E57),IF(M$5-$D57+1&lt;=ROUND(($E57-$D57+1)*$F57,0),2,IF(M$5&lt;CFG_CurWeek,3,1)),""))</f>
        <v/>
      </c>
      <c r="N57" s="66" t="str">
        <f aca="false">IF(OR($D57="",$E57=""),"",IF(AND(N$5&gt;=$D57,N$5&lt;=$E57),IF(N$5-$D57+1&lt;=ROUND(($E57-$D57+1)*$F57,0),2,IF(N$5&lt;CFG_CurWeek,3,1)),""))</f>
        <v/>
      </c>
      <c r="O57" s="66" t="str">
        <f aca="false">IF(OR($D57="",$E57=""),"",IF(AND(O$5&gt;=$D57,O$5&lt;=$E57),IF(O$5-$D57+1&lt;=ROUND(($E57-$D57+1)*$F57,0),2,IF(O$5&lt;CFG_CurWeek,3,1)),""))</f>
        <v/>
      </c>
      <c r="P57" s="66" t="str">
        <f aca="false">IF(OR($D57="",$E57=""),"",IF(AND(P$5&gt;=$D57,P$5&lt;=$E57),IF(P$5-$D57+1&lt;=ROUND(($E57-$D57+1)*$F57,0),2,IF(P$5&lt;CFG_CurWeek,3,1)),""))</f>
        <v/>
      </c>
      <c r="Q57" s="66" t="str">
        <f aca="false">IF(OR($D57="",$E57=""),"",IF(AND(Q$5&gt;=$D57,Q$5&lt;=$E57),IF(Q$5-$D57+1&lt;=ROUND(($E57-$D57+1)*$F57,0),2,IF(Q$5&lt;CFG_CurWeek,3,1)),""))</f>
        <v/>
      </c>
      <c r="R57" s="66" t="str">
        <f aca="false">IF(OR($D57="",$E57=""),"",IF(AND(R$5&gt;=$D57,R$5&lt;=$E57),IF(R$5-$D57+1&lt;=ROUND(($E57-$D57+1)*$F57,0),2,IF(R$5&lt;CFG_CurWeek,3,1)),""))</f>
        <v/>
      </c>
      <c r="S57" s="66" t="str">
        <f aca="false">IF(OR($D57="",$E57=""),"",IF(AND(S$5&gt;=$D57,S$5&lt;=$E57),IF(S$5-$D57+1&lt;=ROUND(($E57-$D57+1)*$F57,0),2,IF(S$5&lt;CFG_CurWeek,3,1)),""))</f>
        <v/>
      </c>
      <c r="T57" s="66" t="str">
        <f aca="false">IF(OR($D57="",$E57=""),"",IF(AND(T$5&gt;=$D57,T$5&lt;=$E57),IF(T$5-$D57+1&lt;=ROUND(($E57-$D57+1)*$F57,0),2,IF(T$5&lt;CFG_CurWeek,3,1)),""))</f>
        <v/>
      </c>
      <c r="U57" s="66" t="str">
        <f aca="false">IF(OR($D57="",$E57=""),"",IF(AND(U$5&gt;=$D57,U$5&lt;=$E57),IF(U$5-$D57+1&lt;=ROUND(($E57-$D57+1)*$F57,0),2,IF(U$5&lt;CFG_CurWeek,3,1)),""))</f>
        <v/>
      </c>
      <c r="V57" s="66" t="str">
        <f aca="false">IF(OR($D57="",$E57=""),"",IF(AND(V$5&gt;=$D57,V$5&lt;=$E57),IF(V$5-$D57+1&lt;=ROUND(($E57-$D57+1)*$F57,0),2,IF(V$5&lt;CFG_CurWeek,3,1)),""))</f>
        <v/>
      </c>
      <c r="W57" s="66" t="str">
        <f aca="false">IF(OR($D57="",$E57=""),"",IF(AND(W$5&gt;=$D57,W$5&lt;=$E57),IF(W$5-$D57+1&lt;=ROUND(($E57-$D57+1)*$F57,0),2,IF(W$5&lt;CFG_CurWeek,3,1)),""))</f>
        <v/>
      </c>
      <c r="X57" s="66" t="str">
        <f aca="false">IF(OR($D57="",$E57=""),"",IF(AND(X$5&gt;=$D57,X$5&lt;=$E57),IF(X$5-$D57+1&lt;=ROUND(($E57-$D57+1)*$F57,0),2,IF(X$5&lt;CFG_CurWeek,3,1)),""))</f>
        <v/>
      </c>
      <c r="Y57" s="66" t="str">
        <f aca="false">IF(OR($D57="",$E57=""),"",IF(AND(Y$5&gt;=$D57,Y$5&lt;=$E57),IF(Y$5-$D57+1&lt;=ROUND(($E57-$D57+1)*$F57,0),2,IF(Y$5&lt;CFG_CurWeek,3,1)),""))</f>
        <v/>
      </c>
      <c r="Z57" s="66" t="str">
        <f aca="false">IF(OR($D57="",$E57=""),"",IF(AND(Z$5&gt;=$D57,Z$5&lt;=$E57),IF(Z$5-$D57+1&lt;=ROUND(($E57-$D57+1)*$F57,0),2,IF(Z$5&lt;CFG_CurWeek,3,1)),""))</f>
        <v/>
      </c>
      <c r="AA57" s="66" t="str">
        <f aca="false">IF(OR($D57="",$E57=""),"",IF(AND(AA$5&gt;=$D57,AA$5&lt;=$E57),IF(AA$5-$D57+1&lt;=ROUND(($E57-$D57+1)*$F57,0),2,IF(AA$5&lt;CFG_CurWeek,3,1)),""))</f>
        <v/>
      </c>
      <c r="AB57" s="66" t="str">
        <f aca="false">IF(OR($D57="",$E57=""),"",IF(AND(AB$5&gt;=$D57,AB$5&lt;=$E57),IF(AB$5-$D57+1&lt;=ROUND(($E57-$D57+1)*$F57,0),2,IF(AB$5&lt;CFG_CurWeek,3,1)),""))</f>
        <v/>
      </c>
      <c r="AC57" s="66" t="str">
        <f aca="false">IF(OR($D57="",$E57=""),"",IF(AND(AC$5&gt;=$D57,AC$5&lt;=$E57),IF(AC$5-$D57+1&lt;=ROUND(($E57-$D57+1)*$F57,0),2,IF(AC$5&lt;CFG_CurWeek,3,1)),""))</f>
        <v/>
      </c>
      <c r="AD57" s="66" t="str">
        <f aca="false">IF(OR($D57="",$E57=""),"",IF(AND(AD$5&gt;=$D57,AD$5&lt;=$E57),IF(AD$5-$D57+1&lt;=ROUND(($E57-$D57+1)*$F57,0),2,IF(AD$5&lt;CFG_CurWeek,3,1)),""))</f>
        <v/>
      </c>
      <c r="AE57" s="66" t="n">
        <f aca="false">IF(OR($D57="",$E57=""),"",IF(AND(AE$5&gt;=$D57,AE$5&lt;=$E57),IF(AE$5-$D57+1&lt;=ROUND(($E57-$D57+1)*$F57,0),2,IF(AE$5&lt;CFG_CurWeek,3,1)),""))</f>
        <v>1</v>
      </c>
      <c r="AF57" s="66" t="str">
        <f aca="false">IF(OR($D57="",$E57=""),"",IF(AND(AF$5&gt;=$D57,AF$5&lt;=$E57),IF(AF$5-$D57+1&lt;=ROUND(($E57-$D57+1)*$F57,0),2,IF(AF$5&lt;CFG_CurWeek,3,1)),""))</f>
        <v/>
      </c>
      <c r="AG57" s="66" t="str">
        <f aca="false">IF(OR($D57="",$E57=""),"",IF(AND(AG$5&gt;=$D57,AG$5&lt;=$E57),IF(AG$5-$D57+1&lt;=ROUND(($E57-$D57+1)*$F57,0),2,IF(AG$5&lt;CFG_CurWeek,3,1)),""))</f>
        <v/>
      </c>
      <c r="AH57" s="66" t="str">
        <f aca="false">IF(OR($D57="",$E57=""),"",IF(AND(AH$5&gt;=$D57,AH$5&lt;=$E57),IF(AH$5-$D57+1&lt;=ROUND(($E57-$D57+1)*$F57,0),2,IF(AH$5&lt;CFG_CurWeek,3,1)),""))</f>
        <v/>
      </c>
      <c r="AI57" s="66" t="str">
        <f aca="false">IF(OR($D57="",$E57=""),"",IF(AND(AI$5&gt;=$D57,AI$5&lt;=$E57),IF(AI$5-$D57+1&lt;=ROUND(($E57-$D57+1)*$F57,0),2,IF(AI$5&lt;CFG_CurWeek,3,1)),""))</f>
        <v/>
      </c>
      <c r="AJ57" s="66" t="str">
        <f aca="false">IF(OR($D57="",$E57=""),"",IF(AND(AJ$5&gt;=$D57,AJ$5&lt;=$E57),IF(AJ$5-$D57+1&lt;=ROUND(($E57-$D57+1)*$F57,0),2,IF(AJ$5&lt;CFG_CurWeek,3,1)),""))</f>
        <v/>
      </c>
      <c r="AK57" s="66" t="str">
        <f aca="false">IF(OR($D57="",$E57=""),"",IF(AND(AK$5&gt;=$D57,AK$5&lt;=$E57),IF(AK$5-$D57+1&lt;=ROUND(($E57-$D57+1)*$F57,0),2,IF(AK$5&lt;CFG_CurWeek,3,1)),""))</f>
        <v/>
      </c>
      <c r="AL57" s="66" t="str">
        <f aca="false">IF(OR($D57="",$E57=""),"",IF(AND(AL$5&gt;=$D57,AL$5&lt;=$E57),IF(AL$5-$D57+1&lt;=ROUND(($E57-$D57+1)*$F57,0),2,IF(AL$5&lt;CFG_CurWeek,3,1)),""))</f>
        <v/>
      </c>
      <c r="AM57" s="66" t="str">
        <f aca="false">IF(OR($D57="",$E57=""),"",IF(AND(AM$5&gt;=$D57,AM$5&lt;=$E57),IF(AM$5-$D57+1&lt;=ROUND(($E57-$D57+1)*$F57,0),2,IF(AM$5&lt;CFG_CurWeek,3,1)),""))</f>
        <v/>
      </c>
      <c r="AN57" s="66" t="str">
        <f aca="false">IF(OR($D57="",$E57=""),"",IF(AND(AN$5&gt;=$D57,AN$5&lt;=$E57),IF(AN$5-$D57+1&lt;=ROUND(($E57-$D57+1)*$F57,0),2,IF(AN$5&lt;CFG_CurWeek,3,1)),""))</f>
        <v/>
      </c>
      <c r="AO57" s="66" t="str">
        <f aca="false">IF(OR($D57="",$E57=""),"",IF(AND(AO$5&gt;=$D57,AO$5&lt;=$E57),IF(AO$5-$D57+1&lt;=ROUND(($E57-$D57+1)*$F57,0),2,IF(AO$5&lt;CFG_CurWeek,3,1)),""))</f>
        <v/>
      </c>
    </row>
    <row r="58" customFormat="false" ht="15" hidden="false" customHeight="false" outlineLevel="0" collapsed="false">
      <c r="A58" s="63" t="str">
        <f aca="false">IF('01_WBS &amp; Master Plan'!A55="","",'01_WBS &amp; Master Plan'!A55)</f>
        <v>6.9</v>
      </c>
      <c r="B58" s="64" t="str">
        <f aca="false">IF('01_WBS &amp; Master Plan'!D55="","",'01_WBS &amp; Master Plan'!D55)</f>
        <v>Kiểm thử bảo mật auth: token hết hạn, truy cập trái quyền → 401/403</v>
      </c>
      <c r="C58" s="63" t="str">
        <f aca="false">IF('01_WBS &amp; Master Plan'!E55="","",'01_WBS &amp; Master Plan'!E55)</f>
        <v>Nhật</v>
      </c>
      <c r="D58" s="63" t="n">
        <f aca="false">IF('01_WBS &amp; Master Plan'!H55="","",'01_WBS &amp; Master Plan'!H55)</f>
        <v>24</v>
      </c>
      <c r="E58" s="63" t="n">
        <f aca="false">IF('01_WBS &amp; Master Plan'!I55="","",'01_WBS &amp; Master Plan'!I55)</f>
        <v>24</v>
      </c>
      <c r="F58" s="65" t="n">
        <f aca="false">IF(B58="","",IF('01_WBS &amp; Master Plan'!K55="Done",1,IF('01_WBS &amp; Master Plan'!L55="",0,'01_WBS &amp; Master Plan'!L55)))</f>
        <v>0</v>
      </c>
      <c r="G58" s="63" t="str">
        <f aca="false">IF('01_WBS &amp; Master Plan'!K55="","",'01_WBS &amp; Master Plan'!K55)</f>
        <v>To Do</v>
      </c>
      <c r="H58" s="66" t="str">
        <f aca="false">IF(OR($D58="",$E58=""),"",IF(AND(H$5&gt;=$D58,H$5&lt;=$E58),IF(H$5-$D58+1&lt;=ROUND(($E58-$D58+1)*$F58,0),2,IF(H$5&lt;CFG_CurWeek,3,1)),""))</f>
        <v/>
      </c>
      <c r="I58" s="66" t="str">
        <f aca="false">IF(OR($D58="",$E58=""),"",IF(AND(I$5&gt;=$D58,I$5&lt;=$E58),IF(I$5-$D58+1&lt;=ROUND(($E58-$D58+1)*$F58,0),2,IF(I$5&lt;CFG_CurWeek,3,1)),""))</f>
        <v/>
      </c>
      <c r="J58" s="66" t="str">
        <f aca="false">IF(OR($D58="",$E58=""),"",IF(AND(J$5&gt;=$D58,J$5&lt;=$E58),IF(J$5-$D58+1&lt;=ROUND(($E58-$D58+1)*$F58,0),2,IF(J$5&lt;CFG_CurWeek,3,1)),""))</f>
        <v/>
      </c>
      <c r="K58" s="66" t="str">
        <f aca="false">IF(OR($D58="",$E58=""),"",IF(AND(K$5&gt;=$D58,K$5&lt;=$E58),IF(K$5-$D58+1&lt;=ROUND(($E58-$D58+1)*$F58,0),2,IF(K$5&lt;CFG_CurWeek,3,1)),""))</f>
        <v/>
      </c>
      <c r="L58" s="66" t="str">
        <f aca="false">IF(OR($D58="",$E58=""),"",IF(AND(L$5&gt;=$D58,L$5&lt;=$E58),IF(L$5-$D58+1&lt;=ROUND(($E58-$D58+1)*$F58,0),2,IF(L$5&lt;CFG_CurWeek,3,1)),""))</f>
        <v/>
      </c>
      <c r="M58" s="66" t="str">
        <f aca="false">IF(OR($D58="",$E58=""),"",IF(AND(M$5&gt;=$D58,M$5&lt;=$E58),IF(M$5-$D58+1&lt;=ROUND(($E58-$D58+1)*$F58,0),2,IF(M$5&lt;CFG_CurWeek,3,1)),""))</f>
        <v/>
      </c>
      <c r="N58" s="66" t="str">
        <f aca="false">IF(OR($D58="",$E58=""),"",IF(AND(N$5&gt;=$D58,N$5&lt;=$E58),IF(N$5-$D58+1&lt;=ROUND(($E58-$D58+1)*$F58,0),2,IF(N$5&lt;CFG_CurWeek,3,1)),""))</f>
        <v/>
      </c>
      <c r="O58" s="66" t="str">
        <f aca="false">IF(OR($D58="",$E58=""),"",IF(AND(O$5&gt;=$D58,O$5&lt;=$E58),IF(O$5-$D58+1&lt;=ROUND(($E58-$D58+1)*$F58,0),2,IF(O$5&lt;CFG_CurWeek,3,1)),""))</f>
        <v/>
      </c>
      <c r="P58" s="66" t="str">
        <f aca="false">IF(OR($D58="",$E58=""),"",IF(AND(P$5&gt;=$D58,P$5&lt;=$E58),IF(P$5-$D58+1&lt;=ROUND(($E58-$D58+1)*$F58,0),2,IF(P$5&lt;CFG_CurWeek,3,1)),""))</f>
        <v/>
      </c>
      <c r="Q58" s="66" t="str">
        <f aca="false">IF(OR($D58="",$E58=""),"",IF(AND(Q$5&gt;=$D58,Q$5&lt;=$E58),IF(Q$5-$D58+1&lt;=ROUND(($E58-$D58+1)*$F58,0),2,IF(Q$5&lt;CFG_CurWeek,3,1)),""))</f>
        <v/>
      </c>
      <c r="R58" s="66" t="str">
        <f aca="false">IF(OR($D58="",$E58=""),"",IF(AND(R$5&gt;=$D58,R$5&lt;=$E58),IF(R$5-$D58+1&lt;=ROUND(($E58-$D58+1)*$F58,0),2,IF(R$5&lt;CFG_CurWeek,3,1)),""))</f>
        <v/>
      </c>
      <c r="S58" s="66" t="str">
        <f aca="false">IF(OR($D58="",$E58=""),"",IF(AND(S$5&gt;=$D58,S$5&lt;=$E58),IF(S$5-$D58+1&lt;=ROUND(($E58-$D58+1)*$F58,0),2,IF(S$5&lt;CFG_CurWeek,3,1)),""))</f>
        <v/>
      </c>
      <c r="T58" s="66" t="str">
        <f aca="false">IF(OR($D58="",$E58=""),"",IF(AND(T$5&gt;=$D58,T$5&lt;=$E58),IF(T$5-$D58+1&lt;=ROUND(($E58-$D58+1)*$F58,0),2,IF(T$5&lt;CFG_CurWeek,3,1)),""))</f>
        <v/>
      </c>
      <c r="U58" s="66" t="str">
        <f aca="false">IF(OR($D58="",$E58=""),"",IF(AND(U$5&gt;=$D58,U$5&lt;=$E58),IF(U$5-$D58+1&lt;=ROUND(($E58-$D58+1)*$F58,0),2,IF(U$5&lt;CFG_CurWeek,3,1)),""))</f>
        <v/>
      </c>
      <c r="V58" s="66" t="str">
        <f aca="false">IF(OR($D58="",$E58=""),"",IF(AND(V$5&gt;=$D58,V$5&lt;=$E58),IF(V$5-$D58+1&lt;=ROUND(($E58-$D58+1)*$F58,0),2,IF(V$5&lt;CFG_CurWeek,3,1)),""))</f>
        <v/>
      </c>
      <c r="W58" s="66" t="str">
        <f aca="false">IF(OR($D58="",$E58=""),"",IF(AND(W$5&gt;=$D58,W$5&lt;=$E58),IF(W$5-$D58+1&lt;=ROUND(($E58-$D58+1)*$F58,0),2,IF(W$5&lt;CFG_CurWeek,3,1)),""))</f>
        <v/>
      </c>
      <c r="X58" s="66" t="str">
        <f aca="false">IF(OR($D58="",$E58=""),"",IF(AND(X$5&gt;=$D58,X$5&lt;=$E58),IF(X$5-$D58+1&lt;=ROUND(($E58-$D58+1)*$F58,0),2,IF(X$5&lt;CFG_CurWeek,3,1)),""))</f>
        <v/>
      </c>
      <c r="Y58" s="66" t="str">
        <f aca="false">IF(OR($D58="",$E58=""),"",IF(AND(Y$5&gt;=$D58,Y$5&lt;=$E58),IF(Y$5-$D58+1&lt;=ROUND(($E58-$D58+1)*$F58,0),2,IF(Y$5&lt;CFG_CurWeek,3,1)),""))</f>
        <v/>
      </c>
      <c r="Z58" s="66" t="str">
        <f aca="false">IF(OR($D58="",$E58=""),"",IF(AND(Z$5&gt;=$D58,Z$5&lt;=$E58),IF(Z$5-$D58+1&lt;=ROUND(($E58-$D58+1)*$F58,0),2,IF(Z$5&lt;CFG_CurWeek,3,1)),""))</f>
        <v/>
      </c>
      <c r="AA58" s="66" t="str">
        <f aca="false">IF(OR($D58="",$E58=""),"",IF(AND(AA$5&gt;=$D58,AA$5&lt;=$E58),IF(AA$5-$D58+1&lt;=ROUND(($E58-$D58+1)*$F58,0),2,IF(AA$5&lt;CFG_CurWeek,3,1)),""))</f>
        <v/>
      </c>
      <c r="AB58" s="66" t="str">
        <f aca="false">IF(OR($D58="",$E58=""),"",IF(AND(AB$5&gt;=$D58,AB$5&lt;=$E58),IF(AB$5-$D58+1&lt;=ROUND(($E58-$D58+1)*$F58,0),2,IF(AB$5&lt;CFG_CurWeek,3,1)),""))</f>
        <v/>
      </c>
      <c r="AC58" s="66" t="str">
        <f aca="false">IF(OR($D58="",$E58=""),"",IF(AND(AC$5&gt;=$D58,AC$5&lt;=$E58),IF(AC$5-$D58+1&lt;=ROUND(($E58-$D58+1)*$F58,0),2,IF(AC$5&lt;CFG_CurWeek,3,1)),""))</f>
        <v/>
      </c>
      <c r="AD58" s="66" t="str">
        <f aca="false">IF(OR($D58="",$E58=""),"",IF(AND(AD$5&gt;=$D58,AD$5&lt;=$E58),IF(AD$5-$D58+1&lt;=ROUND(($E58-$D58+1)*$F58,0),2,IF(AD$5&lt;CFG_CurWeek,3,1)),""))</f>
        <v/>
      </c>
      <c r="AE58" s="66" t="n">
        <f aca="false">IF(OR($D58="",$E58=""),"",IF(AND(AE$5&gt;=$D58,AE$5&lt;=$E58),IF(AE$5-$D58+1&lt;=ROUND(($E58-$D58+1)*$F58,0),2,IF(AE$5&lt;CFG_CurWeek,3,1)),""))</f>
        <v>1</v>
      </c>
      <c r="AF58" s="66" t="str">
        <f aca="false">IF(OR($D58="",$E58=""),"",IF(AND(AF$5&gt;=$D58,AF$5&lt;=$E58),IF(AF$5-$D58+1&lt;=ROUND(($E58-$D58+1)*$F58,0),2,IF(AF$5&lt;CFG_CurWeek,3,1)),""))</f>
        <v/>
      </c>
      <c r="AG58" s="66" t="str">
        <f aca="false">IF(OR($D58="",$E58=""),"",IF(AND(AG$5&gt;=$D58,AG$5&lt;=$E58),IF(AG$5-$D58+1&lt;=ROUND(($E58-$D58+1)*$F58,0),2,IF(AG$5&lt;CFG_CurWeek,3,1)),""))</f>
        <v/>
      </c>
      <c r="AH58" s="66" t="str">
        <f aca="false">IF(OR($D58="",$E58=""),"",IF(AND(AH$5&gt;=$D58,AH$5&lt;=$E58),IF(AH$5-$D58+1&lt;=ROUND(($E58-$D58+1)*$F58,0),2,IF(AH$5&lt;CFG_CurWeek,3,1)),""))</f>
        <v/>
      </c>
      <c r="AI58" s="66" t="str">
        <f aca="false">IF(OR($D58="",$E58=""),"",IF(AND(AI$5&gt;=$D58,AI$5&lt;=$E58),IF(AI$5-$D58+1&lt;=ROUND(($E58-$D58+1)*$F58,0),2,IF(AI$5&lt;CFG_CurWeek,3,1)),""))</f>
        <v/>
      </c>
      <c r="AJ58" s="66" t="str">
        <f aca="false">IF(OR($D58="",$E58=""),"",IF(AND(AJ$5&gt;=$D58,AJ$5&lt;=$E58),IF(AJ$5-$D58+1&lt;=ROUND(($E58-$D58+1)*$F58,0),2,IF(AJ$5&lt;CFG_CurWeek,3,1)),""))</f>
        <v/>
      </c>
      <c r="AK58" s="66" t="str">
        <f aca="false">IF(OR($D58="",$E58=""),"",IF(AND(AK$5&gt;=$D58,AK$5&lt;=$E58),IF(AK$5-$D58+1&lt;=ROUND(($E58-$D58+1)*$F58,0),2,IF(AK$5&lt;CFG_CurWeek,3,1)),""))</f>
        <v/>
      </c>
      <c r="AL58" s="66" t="str">
        <f aca="false">IF(OR($D58="",$E58=""),"",IF(AND(AL$5&gt;=$D58,AL$5&lt;=$E58),IF(AL$5-$D58+1&lt;=ROUND(($E58-$D58+1)*$F58,0),2,IF(AL$5&lt;CFG_CurWeek,3,1)),""))</f>
        <v/>
      </c>
      <c r="AM58" s="66" t="str">
        <f aca="false">IF(OR($D58="",$E58=""),"",IF(AND(AM$5&gt;=$D58,AM$5&lt;=$E58),IF(AM$5-$D58+1&lt;=ROUND(($E58-$D58+1)*$F58,0),2,IF(AM$5&lt;CFG_CurWeek,3,1)),""))</f>
        <v/>
      </c>
      <c r="AN58" s="66" t="str">
        <f aca="false">IF(OR($D58="",$E58=""),"",IF(AND(AN$5&gt;=$D58,AN$5&lt;=$E58),IF(AN$5-$D58+1&lt;=ROUND(($E58-$D58+1)*$F58,0),2,IF(AN$5&lt;CFG_CurWeek,3,1)),""))</f>
        <v/>
      </c>
      <c r="AO58" s="66" t="str">
        <f aca="false">IF(OR($D58="",$E58=""),"",IF(AND(AO$5&gt;=$D58,AO$5&lt;=$E58),IF(AO$5-$D58+1&lt;=ROUND(($E58-$D58+1)*$F58,0),2,IF(AO$5&lt;CFG_CurWeek,3,1)),""))</f>
        <v/>
      </c>
    </row>
    <row r="59" customFormat="false" ht="15" hidden="false" customHeight="false" outlineLevel="0" collapsed="false">
      <c r="A59" s="63" t="str">
        <f aca="false">IF('01_WBS &amp; Master Plan'!A56="","",'01_WBS &amp; Master Plan'!A56)</f>
        <v>7.1</v>
      </c>
      <c r="B59" s="64" t="str">
        <f aca="false">IF('01_WBS &amp; Master Plan'!D56="","",'01_WBS &amp; Master Plan'!D56)</f>
        <v>Học &amp; cấu hình Cloudflare R2 / S3, presigned URL</v>
      </c>
      <c r="C59" s="63" t="str">
        <f aca="false">IF('01_WBS &amp; Master Plan'!E56="","",'01_WBS &amp; Master Plan'!E56)</f>
        <v>Nhật</v>
      </c>
      <c r="D59" s="63" t="n">
        <f aca="false">IF('01_WBS &amp; Master Plan'!H56="","",'01_WBS &amp; Master Plan'!H56)</f>
        <v>25</v>
      </c>
      <c r="E59" s="63" t="n">
        <f aca="false">IF('01_WBS &amp; Master Plan'!I56="","",'01_WBS &amp; Master Plan'!I56)</f>
        <v>25</v>
      </c>
      <c r="F59" s="65" t="n">
        <f aca="false">IF(B59="","",IF('01_WBS &amp; Master Plan'!K56="Done",1,IF('01_WBS &amp; Master Plan'!L56="",0,'01_WBS &amp; Master Plan'!L56)))</f>
        <v>0</v>
      </c>
      <c r="G59" s="63" t="str">
        <f aca="false">IF('01_WBS &amp; Master Plan'!K56="","",'01_WBS &amp; Master Plan'!K56)</f>
        <v>To Do</v>
      </c>
      <c r="H59" s="66" t="str">
        <f aca="false">IF(OR($D59="",$E59=""),"",IF(AND(H$5&gt;=$D59,H$5&lt;=$E59),IF(H$5-$D59+1&lt;=ROUND(($E59-$D59+1)*$F59,0),2,IF(H$5&lt;CFG_CurWeek,3,1)),""))</f>
        <v/>
      </c>
      <c r="I59" s="66" t="str">
        <f aca="false">IF(OR($D59="",$E59=""),"",IF(AND(I$5&gt;=$D59,I$5&lt;=$E59),IF(I$5-$D59+1&lt;=ROUND(($E59-$D59+1)*$F59,0),2,IF(I$5&lt;CFG_CurWeek,3,1)),""))</f>
        <v/>
      </c>
      <c r="J59" s="66" t="str">
        <f aca="false">IF(OR($D59="",$E59=""),"",IF(AND(J$5&gt;=$D59,J$5&lt;=$E59),IF(J$5-$D59+1&lt;=ROUND(($E59-$D59+1)*$F59,0),2,IF(J$5&lt;CFG_CurWeek,3,1)),""))</f>
        <v/>
      </c>
      <c r="K59" s="66" t="str">
        <f aca="false">IF(OR($D59="",$E59=""),"",IF(AND(K$5&gt;=$D59,K$5&lt;=$E59),IF(K$5-$D59+1&lt;=ROUND(($E59-$D59+1)*$F59,0),2,IF(K$5&lt;CFG_CurWeek,3,1)),""))</f>
        <v/>
      </c>
      <c r="L59" s="66" t="str">
        <f aca="false">IF(OR($D59="",$E59=""),"",IF(AND(L$5&gt;=$D59,L$5&lt;=$E59),IF(L$5-$D59+1&lt;=ROUND(($E59-$D59+1)*$F59,0),2,IF(L$5&lt;CFG_CurWeek,3,1)),""))</f>
        <v/>
      </c>
      <c r="M59" s="66" t="str">
        <f aca="false">IF(OR($D59="",$E59=""),"",IF(AND(M$5&gt;=$D59,M$5&lt;=$E59),IF(M$5-$D59+1&lt;=ROUND(($E59-$D59+1)*$F59,0),2,IF(M$5&lt;CFG_CurWeek,3,1)),""))</f>
        <v/>
      </c>
      <c r="N59" s="66" t="str">
        <f aca="false">IF(OR($D59="",$E59=""),"",IF(AND(N$5&gt;=$D59,N$5&lt;=$E59),IF(N$5-$D59+1&lt;=ROUND(($E59-$D59+1)*$F59,0),2,IF(N$5&lt;CFG_CurWeek,3,1)),""))</f>
        <v/>
      </c>
      <c r="O59" s="66" t="str">
        <f aca="false">IF(OR($D59="",$E59=""),"",IF(AND(O$5&gt;=$D59,O$5&lt;=$E59),IF(O$5-$D59+1&lt;=ROUND(($E59-$D59+1)*$F59,0),2,IF(O$5&lt;CFG_CurWeek,3,1)),""))</f>
        <v/>
      </c>
      <c r="P59" s="66" t="str">
        <f aca="false">IF(OR($D59="",$E59=""),"",IF(AND(P$5&gt;=$D59,P$5&lt;=$E59),IF(P$5-$D59+1&lt;=ROUND(($E59-$D59+1)*$F59,0),2,IF(P$5&lt;CFG_CurWeek,3,1)),""))</f>
        <v/>
      </c>
      <c r="Q59" s="66" t="str">
        <f aca="false">IF(OR($D59="",$E59=""),"",IF(AND(Q$5&gt;=$D59,Q$5&lt;=$E59),IF(Q$5-$D59+1&lt;=ROUND(($E59-$D59+1)*$F59,0),2,IF(Q$5&lt;CFG_CurWeek,3,1)),""))</f>
        <v/>
      </c>
      <c r="R59" s="66" t="str">
        <f aca="false">IF(OR($D59="",$E59=""),"",IF(AND(R$5&gt;=$D59,R$5&lt;=$E59),IF(R$5-$D59+1&lt;=ROUND(($E59-$D59+1)*$F59,0),2,IF(R$5&lt;CFG_CurWeek,3,1)),""))</f>
        <v/>
      </c>
      <c r="S59" s="66" t="str">
        <f aca="false">IF(OR($D59="",$E59=""),"",IF(AND(S$5&gt;=$D59,S$5&lt;=$E59),IF(S$5-$D59+1&lt;=ROUND(($E59-$D59+1)*$F59,0),2,IF(S$5&lt;CFG_CurWeek,3,1)),""))</f>
        <v/>
      </c>
      <c r="T59" s="66" t="str">
        <f aca="false">IF(OR($D59="",$E59=""),"",IF(AND(T$5&gt;=$D59,T$5&lt;=$E59),IF(T$5-$D59+1&lt;=ROUND(($E59-$D59+1)*$F59,0),2,IF(T$5&lt;CFG_CurWeek,3,1)),""))</f>
        <v/>
      </c>
      <c r="U59" s="66" t="str">
        <f aca="false">IF(OR($D59="",$E59=""),"",IF(AND(U$5&gt;=$D59,U$5&lt;=$E59),IF(U$5-$D59+1&lt;=ROUND(($E59-$D59+1)*$F59,0),2,IF(U$5&lt;CFG_CurWeek,3,1)),""))</f>
        <v/>
      </c>
      <c r="V59" s="66" t="str">
        <f aca="false">IF(OR($D59="",$E59=""),"",IF(AND(V$5&gt;=$D59,V$5&lt;=$E59),IF(V$5-$D59+1&lt;=ROUND(($E59-$D59+1)*$F59,0),2,IF(V$5&lt;CFG_CurWeek,3,1)),""))</f>
        <v/>
      </c>
      <c r="W59" s="66" t="str">
        <f aca="false">IF(OR($D59="",$E59=""),"",IF(AND(W$5&gt;=$D59,W$5&lt;=$E59),IF(W$5-$D59+1&lt;=ROUND(($E59-$D59+1)*$F59,0),2,IF(W$5&lt;CFG_CurWeek,3,1)),""))</f>
        <v/>
      </c>
      <c r="X59" s="66" t="str">
        <f aca="false">IF(OR($D59="",$E59=""),"",IF(AND(X$5&gt;=$D59,X$5&lt;=$E59),IF(X$5-$D59+1&lt;=ROUND(($E59-$D59+1)*$F59,0),2,IF(X$5&lt;CFG_CurWeek,3,1)),""))</f>
        <v/>
      </c>
      <c r="Y59" s="66" t="str">
        <f aca="false">IF(OR($D59="",$E59=""),"",IF(AND(Y$5&gt;=$D59,Y$5&lt;=$E59),IF(Y$5-$D59+1&lt;=ROUND(($E59-$D59+1)*$F59,0),2,IF(Y$5&lt;CFG_CurWeek,3,1)),""))</f>
        <v/>
      </c>
      <c r="Z59" s="66" t="str">
        <f aca="false">IF(OR($D59="",$E59=""),"",IF(AND(Z$5&gt;=$D59,Z$5&lt;=$E59),IF(Z$5-$D59+1&lt;=ROUND(($E59-$D59+1)*$F59,0),2,IF(Z$5&lt;CFG_CurWeek,3,1)),""))</f>
        <v/>
      </c>
      <c r="AA59" s="66" t="str">
        <f aca="false">IF(OR($D59="",$E59=""),"",IF(AND(AA$5&gt;=$D59,AA$5&lt;=$E59),IF(AA$5-$D59+1&lt;=ROUND(($E59-$D59+1)*$F59,0),2,IF(AA$5&lt;CFG_CurWeek,3,1)),""))</f>
        <v/>
      </c>
      <c r="AB59" s="66" t="str">
        <f aca="false">IF(OR($D59="",$E59=""),"",IF(AND(AB$5&gt;=$D59,AB$5&lt;=$E59),IF(AB$5-$D59+1&lt;=ROUND(($E59-$D59+1)*$F59,0),2,IF(AB$5&lt;CFG_CurWeek,3,1)),""))</f>
        <v/>
      </c>
      <c r="AC59" s="66" t="str">
        <f aca="false">IF(OR($D59="",$E59=""),"",IF(AND(AC$5&gt;=$D59,AC$5&lt;=$E59),IF(AC$5-$D59+1&lt;=ROUND(($E59-$D59+1)*$F59,0),2,IF(AC$5&lt;CFG_CurWeek,3,1)),""))</f>
        <v/>
      </c>
      <c r="AD59" s="66" t="str">
        <f aca="false">IF(OR($D59="",$E59=""),"",IF(AND(AD$5&gt;=$D59,AD$5&lt;=$E59),IF(AD$5-$D59+1&lt;=ROUND(($E59-$D59+1)*$F59,0),2,IF(AD$5&lt;CFG_CurWeek,3,1)),""))</f>
        <v/>
      </c>
      <c r="AE59" s="66" t="str">
        <f aca="false">IF(OR($D59="",$E59=""),"",IF(AND(AE$5&gt;=$D59,AE$5&lt;=$E59),IF(AE$5-$D59+1&lt;=ROUND(($E59-$D59+1)*$F59,0),2,IF(AE$5&lt;CFG_CurWeek,3,1)),""))</f>
        <v/>
      </c>
      <c r="AF59" s="66" t="n">
        <f aca="false">IF(OR($D59="",$E59=""),"",IF(AND(AF$5&gt;=$D59,AF$5&lt;=$E59),IF(AF$5-$D59+1&lt;=ROUND(($E59-$D59+1)*$F59,0),2,IF(AF$5&lt;CFG_CurWeek,3,1)),""))</f>
        <v>1</v>
      </c>
      <c r="AG59" s="66" t="str">
        <f aca="false">IF(OR($D59="",$E59=""),"",IF(AND(AG$5&gt;=$D59,AG$5&lt;=$E59),IF(AG$5-$D59+1&lt;=ROUND(($E59-$D59+1)*$F59,0),2,IF(AG$5&lt;CFG_CurWeek,3,1)),""))</f>
        <v/>
      </c>
      <c r="AH59" s="66" t="str">
        <f aca="false">IF(OR($D59="",$E59=""),"",IF(AND(AH$5&gt;=$D59,AH$5&lt;=$E59),IF(AH$5-$D59+1&lt;=ROUND(($E59-$D59+1)*$F59,0),2,IF(AH$5&lt;CFG_CurWeek,3,1)),""))</f>
        <v/>
      </c>
      <c r="AI59" s="66" t="str">
        <f aca="false">IF(OR($D59="",$E59=""),"",IF(AND(AI$5&gt;=$D59,AI$5&lt;=$E59),IF(AI$5-$D59+1&lt;=ROUND(($E59-$D59+1)*$F59,0),2,IF(AI$5&lt;CFG_CurWeek,3,1)),""))</f>
        <v/>
      </c>
      <c r="AJ59" s="66" t="str">
        <f aca="false">IF(OR($D59="",$E59=""),"",IF(AND(AJ$5&gt;=$D59,AJ$5&lt;=$E59),IF(AJ$5-$D59+1&lt;=ROUND(($E59-$D59+1)*$F59,0),2,IF(AJ$5&lt;CFG_CurWeek,3,1)),""))</f>
        <v/>
      </c>
      <c r="AK59" s="66" t="str">
        <f aca="false">IF(OR($D59="",$E59=""),"",IF(AND(AK$5&gt;=$D59,AK$5&lt;=$E59),IF(AK$5-$D59+1&lt;=ROUND(($E59-$D59+1)*$F59,0),2,IF(AK$5&lt;CFG_CurWeek,3,1)),""))</f>
        <v/>
      </c>
      <c r="AL59" s="66" t="str">
        <f aca="false">IF(OR($D59="",$E59=""),"",IF(AND(AL$5&gt;=$D59,AL$5&lt;=$E59),IF(AL$5-$D59+1&lt;=ROUND(($E59-$D59+1)*$F59,0),2,IF(AL$5&lt;CFG_CurWeek,3,1)),""))</f>
        <v/>
      </c>
      <c r="AM59" s="66" t="str">
        <f aca="false">IF(OR($D59="",$E59=""),"",IF(AND(AM$5&gt;=$D59,AM$5&lt;=$E59),IF(AM$5-$D59+1&lt;=ROUND(($E59-$D59+1)*$F59,0),2,IF(AM$5&lt;CFG_CurWeek,3,1)),""))</f>
        <v/>
      </c>
      <c r="AN59" s="66" t="str">
        <f aca="false">IF(OR($D59="",$E59=""),"",IF(AND(AN$5&gt;=$D59,AN$5&lt;=$E59),IF(AN$5-$D59+1&lt;=ROUND(($E59-$D59+1)*$F59,0),2,IF(AN$5&lt;CFG_CurWeek,3,1)),""))</f>
        <v/>
      </c>
      <c r="AO59" s="66" t="str">
        <f aca="false">IF(OR($D59="",$E59=""),"",IF(AND(AO$5&gt;=$D59,AO$5&lt;=$E59),IF(AO$5-$D59+1&lt;=ROUND(($E59-$D59+1)*$F59,0),2,IF(AO$5&lt;CFG_CurWeek,3,1)),""))</f>
        <v/>
      </c>
    </row>
    <row r="60" customFormat="false" ht="15" hidden="false" customHeight="false" outlineLevel="0" collapsed="false">
      <c r="A60" s="63" t="str">
        <f aca="false">IF('01_WBS &amp; Master Plan'!A57="","",'01_WBS &amp; Master Plan'!A57)</f>
        <v>7.2</v>
      </c>
      <c r="B60" s="64" t="str">
        <f aca="false">IF('01_WBS &amp; Master Plan'!D57="","",'01_WBS &amp; Master Plan'!D57)</f>
        <v>Chuyển mp3 + ảnh bìa lên R2; DB chỉ lưu object key</v>
      </c>
      <c r="C60" s="63" t="str">
        <f aca="false">IF('01_WBS &amp; Master Plan'!E57="","",'01_WBS &amp; Master Plan'!E57)</f>
        <v>Nhật</v>
      </c>
      <c r="D60" s="63" t="n">
        <f aca="false">IF('01_WBS &amp; Master Plan'!H57="","",'01_WBS &amp; Master Plan'!H57)</f>
        <v>25</v>
      </c>
      <c r="E60" s="63" t="n">
        <f aca="false">IF('01_WBS &amp; Master Plan'!I57="","",'01_WBS &amp; Master Plan'!I57)</f>
        <v>26</v>
      </c>
      <c r="F60" s="65" t="n">
        <f aca="false">IF(B60="","",IF('01_WBS &amp; Master Plan'!K57="Done",1,IF('01_WBS &amp; Master Plan'!L57="",0,'01_WBS &amp; Master Plan'!L57)))</f>
        <v>0</v>
      </c>
      <c r="G60" s="63" t="str">
        <f aca="false">IF('01_WBS &amp; Master Plan'!K57="","",'01_WBS &amp; Master Plan'!K57)</f>
        <v>To Do</v>
      </c>
      <c r="H60" s="66" t="str">
        <f aca="false">IF(OR($D60="",$E60=""),"",IF(AND(H$5&gt;=$D60,H$5&lt;=$E60),IF(H$5-$D60+1&lt;=ROUND(($E60-$D60+1)*$F60,0),2,IF(H$5&lt;CFG_CurWeek,3,1)),""))</f>
        <v/>
      </c>
      <c r="I60" s="66" t="str">
        <f aca="false">IF(OR($D60="",$E60=""),"",IF(AND(I$5&gt;=$D60,I$5&lt;=$E60),IF(I$5-$D60+1&lt;=ROUND(($E60-$D60+1)*$F60,0),2,IF(I$5&lt;CFG_CurWeek,3,1)),""))</f>
        <v/>
      </c>
      <c r="J60" s="66" t="str">
        <f aca="false">IF(OR($D60="",$E60=""),"",IF(AND(J$5&gt;=$D60,J$5&lt;=$E60),IF(J$5-$D60+1&lt;=ROUND(($E60-$D60+1)*$F60,0),2,IF(J$5&lt;CFG_CurWeek,3,1)),""))</f>
        <v/>
      </c>
      <c r="K60" s="66" t="str">
        <f aca="false">IF(OR($D60="",$E60=""),"",IF(AND(K$5&gt;=$D60,K$5&lt;=$E60),IF(K$5-$D60+1&lt;=ROUND(($E60-$D60+1)*$F60,0),2,IF(K$5&lt;CFG_CurWeek,3,1)),""))</f>
        <v/>
      </c>
      <c r="L60" s="66" t="str">
        <f aca="false">IF(OR($D60="",$E60=""),"",IF(AND(L$5&gt;=$D60,L$5&lt;=$E60),IF(L$5-$D60+1&lt;=ROUND(($E60-$D60+1)*$F60,0),2,IF(L$5&lt;CFG_CurWeek,3,1)),""))</f>
        <v/>
      </c>
      <c r="M60" s="66" t="str">
        <f aca="false">IF(OR($D60="",$E60=""),"",IF(AND(M$5&gt;=$D60,M$5&lt;=$E60),IF(M$5-$D60+1&lt;=ROUND(($E60-$D60+1)*$F60,0),2,IF(M$5&lt;CFG_CurWeek,3,1)),""))</f>
        <v/>
      </c>
      <c r="N60" s="66" t="str">
        <f aca="false">IF(OR($D60="",$E60=""),"",IF(AND(N$5&gt;=$D60,N$5&lt;=$E60),IF(N$5-$D60+1&lt;=ROUND(($E60-$D60+1)*$F60,0),2,IF(N$5&lt;CFG_CurWeek,3,1)),""))</f>
        <v/>
      </c>
      <c r="O60" s="66" t="str">
        <f aca="false">IF(OR($D60="",$E60=""),"",IF(AND(O$5&gt;=$D60,O$5&lt;=$E60),IF(O$5-$D60+1&lt;=ROUND(($E60-$D60+1)*$F60,0),2,IF(O$5&lt;CFG_CurWeek,3,1)),""))</f>
        <v/>
      </c>
      <c r="P60" s="66" t="str">
        <f aca="false">IF(OR($D60="",$E60=""),"",IF(AND(P$5&gt;=$D60,P$5&lt;=$E60),IF(P$5-$D60+1&lt;=ROUND(($E60-$D60+1)*$F60,0),2,IF(P$5&lt;CFG_CurWeek,3,1)),""))</f>
        <v/>
      </c>
      <c r="Q60" s="66" t="str">
        <f aca="false">IF(OR($D60="",$E60=""),"",IF(AND(Q$5&gt;=$D60,Q$5&lt;=$E60),IF(Q$5-$D60+1&lt;=ROUND(($E60-$D60+1)*$F60,0),2,IF(Q$5&lt;CFG_CurWeek,3,1)),""))</f>
        <v/>
      </c>
      <c r="R60" s="66" t="str">
        <f aca="false">IF(OR($D60="",$E60=""),"",IF(AND(R$5&gt;=$D60,R$5&lt;=$E60),IF(R$5-$D60+1&lt;=ROUND(($E60-$D60+1)*$F60,0),2,IF(R$5&lt;CFG_CurWeek,3,1)),""))</f>
        <v/>
      </c>
      <c r="S60" s="66" t="str">
        <f aca="false">IF(OR($D60="",$E60=""),"",IF(AND(S$5&gt;=$D60,S$5&lt;=$E60),IF(S$5-$D60+1&lt;=ROUND(($E60-$D60+1)*$F60,0),2,IF(S$5&lt;CFG_CurWeek,3,1)),""))</f>
        <v/>
      </c>
      <c r="T60" s="66" t="str">
        <f aca="false">IF(OR($D60="",$E60=""),"",IF(AND(T$5&gt;=$D60,T$5&lt;=$E60),IF(T$5-$D60+1&lt;=ROUND(($E60-$D60+1)*$F60,0),2,IF(T$5&lt;CFG_CurWeek,3,1)),""))</f>
        <v/>
      </c>
      <c r="U60" s="66" t="str">
        <f aca="false">IF(OR($D60="",$E60=""),"",IF(AND(U$5&gt;=$D60,U$5&lt;=$E60),IF(U$5-$D60+1&lt;=ROUND(($E60-$D60+1)*$F60,0),2,IF(U$5&lt;CFG_CurWeek,3,1)),""))</f>
        <v/>
      </c>
      <c r="V60" s="66" t="str">
        <f aca="false">IF(OR($D60="",$E60=""),"",IF(AND(V$5&gt;=$D60,V$5&lt;=$E60),IF(V$5-$D60+1&lt;=ROUND(($E60-$D60+1)*$F60,0),2,IF(V$5&lt;CFG_CurWeek,3,1)),""))</f>
        <v/>
      </c>
      <c r="W60" s="66" t="str">
        <f aca="false">IF(OR($D60="",$E60=""),"",IF(AND(W$5&gt;=$D60,W$5&lt;=$E60),IF(W$5-$D60+1&lt;=ROUND(($E60-$D60+1)*$F60,0),2,IF(W$5&lt;CFG_CurWeek,3,1)),""))</f>
        <v/>
      </c>
      <c r="X60" s="66" t="str">
        <f aca="false">IF(OR($D60="",$E60=""),"",IF(AND(X$5&gt;=$D60,X$5&lt;=$E60),IF(X$5-$D60+1&lt;=ROUND(($E60-$D60+1)*$F60,0),2,IF(X$5&lt;CFG_CurWeek,3,1)),""))</f>
        <v/>
      </c>
      <c r="Y60" s="66" t="str">
        <f aca="false">IF(OR($D60="",$E60=""),"",IF(AND(Y$5&gt;=$D60,Y$5&lt;=$E60),IF(Y$5-$D60+1&lt;=ROUND(($E60-$D60+1)*$F60,0),2,IF(Y$5&lt;CFG_CurWeek,3,1)),""))</f>
        <v/>
      </c>
      <c r="Z60" s="66" t="str">
        <f aca="false">IF(OR($D60="",$E60=""),"",IF(AND(Z$5&gt;=$D60,Z$5&lt;=$E60),IF(Z$5-$D60+1&lt;=ROUND(($E60-$D60+1)*$F60,0),2,IF(Z$5&lt;CFG_CurWeek,3,1)),""))</f>
        <v/>
      </c>
      <c r="AA60" s="66" t="str">
        <f aca="false">IF(OR($D60="",$E60=""),"",IF(AND(AA$5&gt;=$D60,AA$5&lt;=$E60),IF(AA$5-$D60+1&lt;=ROUND(($E60-$D60+1)*$F60,0),2,IF(AA$5&lt;CFG_CurWeek,3,1)),""))</f>
        <v/>
      </c>
      <c r="AB60" s="66" t="str">
        <f aca="false">IF(OR($D60="",$E60=""),"",IF(AND(AB$5&gt;=$D60,AB$5&lt;=$E60),IF(AB$5-$D60+1&lt;=ROUND(($E60-$D60+1)*$F60,0),2,IF(AB$5&lt;CFG_CurWeek,3,1)),""))</f>
        <v/>
      </c>
      <c r="AC60" s="66" t="str">
        <f aca="false">IF(OR($D60="",$E60=""),"",IF(AND(AC$5&gt;=$D60,AC$5&lt;=$E60),IF(AC$5-$D60+1&lt;=ROUND(($E60-$D60+1)*$F60,0),2,IF(AC$5&lt;CFG_CurWeek,3,1)),""))</f>
        <v/>
      </c>
      <c r="AD60" s="66" t="str">
        <f aca="false">IF(OR($D60="",$E60=""),"",IF(AND(AD$5&gt;=$D60,AD$5&lt;=$E60),IF(AD$5-$D60+1&lt;=ROUND(($E60-$D60+1)*$F60,0),2,IF(AD$5&lt;CFG_CurWeek,3,1)),""))</f>
        <v/>
      </c>
      <c r="AE60" s="66" t="str">
        <f aca="false">IF(OR($D60="",$E60=""),"",IF(AND(AE$5&gt;=$D60,AE$5&lt;=$E60),IF(AE$5-$D60+1&lt;=ROUND(($E60-$D60+1)*$F60,0),2,IF(AE$5&lt;CFG_CurWeek,3,1)),""))</f>
        <v/>
      </c>
      <c r="AF60" s="66" t="n">
        <f aca="false">IF(OR($D60="",$E60=""),"",IF(AND(AF$5&gt;=$D60,AF$5&lt;=$E60),IF(AF$5-$D60+1&lt;=ROUND(($E60-$D60+1)*$F60,0),2,IF(AF$5&lt;CFG_CurWeek,3,1)),""))</f>
        <v>1</v>
      </c>
      <c r="AG60" s="66" t="n">
        <f aca="false">IF(OR($D60="",$E60=""),"",IF(AND(AG$5&gt;=$D60,AG$5&lt;=$E60),IF(AG$5-$D60+1&lt;=ROUND(($E60-$D60+1)*$F60,0),2,IF(AG$5&lt;CFG_CurWeek,3,1)),""))</f>
        <v>1</v>
      </c>
      <c r="AH60" s="66" t="str">
        <f aca="false">IF(OR($D60="",$E60=""),"",IF(AND(AH$5&gt;=$D60,AH$5&lt;=$E60),IF(AH$5-$D60+1&lt;=ROUND(($E60-$D60+1)*$F60,0),2,IF(AH$5&lt;CFG_CurWeek,3,1)),""))</f>
        <v/>
      </c>
      <c r="AI60" s="66" t="str">
        <f aca="false">IF(OR($D60="",$E60=""),"",IF(AND(AI$5&gt;=$D60,AI$5&lt;=$E60),IF(AI$5-$D60+1&lt;=ROUND(($E60-$D60+1)*$F60,0),2,IF(AI$5&lt;CFG_CurWeek,3,1)),""))</f>
        <v/>
      </c>
      <c r="AJ60" s="66" t="str">
        <f aca="false">IF(OR($D60="",$E60=""),"",IF(AND(AJ$5&gt;=$D60,AJ$5&lt;=$E60),IF(AJ$5-$D60+1&lt;=ROUND(($E60-$D60+1)*$F60,0),2,IF(AJ$5&lt;CFG_CurWeek,3,1)),""))</f>
        <v/>
      </c>
      <c r="AK60" s="66" t="str">
        <f aca="false">IF(OR($D60="",$E60=""),"",IF(AND(AK$5&gt;=$D60,AK$5&lt;=$E60),IF(AK$5-$D60+1&lt;=ROUND(($E60-$D60+1)*$F60,0),2,IF(AK$5&lt;CFG_CurWeek,3,1)),""))</f>
        <v/>
      </c>
      <c r="AL60" s="66" t="str">
        <f aca="false">IF(OR($D60="",$E60=""),"",IF(AND(AL$5&gt;=$D60,AL$5&lt;=$E60),IF(AL$5-$D60+1&lt;=ROUND(($E60-$D60+1)*$F60,0),2,IF(AL$5&lt;CFG_CurWeek,3,1)),""))</f>
        <v/>
      </c>
      <c r="AM60" s="66" t="str">
        <f aca="false">IF(OR($D60="",$E60=""),"",IF(AND(AM$5&gt;=$D60,AM$5&lt;=$E60),IF(AM$5-$D60+1&lt;=ROUND(($E60-$D60+1)*$F60,0),2,IF(AM$5&lt;CFG_CurWeek,3,1)),""))</f>
        <v/>
      </c>
      <c r="AN60" s="66" t="str">
        <f aca="false">IF(OR($D60="",$E60=""),"",IF(AND(AN$5&gt;=$D60,AN$5&lt;=$E60),IF(AN$5-$D60+1&lt;=ROUND(($E60-$D60+1)*$F60,0),2,IF(AN$5&lt;CFG_CurWeek,3,1)),""))</f>
        <v/>
      </c>
      <c r="AO60" s="66" t="str">
        <f aca="false">IF(OR($D60="",$E60=""),"",IF(AND(AO$5&gt;=$D60,AO$5&lt;=$E60),IF(AO$5-$D60+1&lt;=ROUND(($E60-$D60+1)*$F60,0),2,IF(AO$5&lt;CFG_CurWeek,3,1)),""))</f>
        <v/>
      </c>
    </row>
    <row r="61" customFormat="false" ht="15" hidden="false" customHeight="false" outlineLevel="0" collapsed="false">
      <c r="A61" s="63" t="str">
        <f aca="false">IF('01_WBS &amp; Master Plan'!A58="","",'01_WBS &amp; Master Plan'!A58)</f>
        <v>7.3</v>
      </c>
      <c r="B61" s="64" t="str">
        <f aca="false">IF('01_WBS &amp; Master Plan'!D58="","",'01_WBS &amp; Master Plan'!D58)</f>
        <v>FFmpeg: lấy thời lượng, nén 128/320 kbps</v>
      </c>
      <c r="C61" s="63" t="str">
        <f aca="false">IF('01_WBS &amp; Master Plan'!E58="","",'01_WBS &amp; Master Plan'!E58)</f>
        <v>Nhật</v>
      </c>
      <c r="D61" s="63" t="n">
        <f aca="false">IF('01_WBS &amp; Master Plan'!H58="","",'01_WBS &amp; Master Plan'!H58)</f>
        <v>26</v>
      </c>
      <c r="E61" s="63" t="n">
        <f aca="false">IF('01_WBS &amp; Master Plan'!I58="","",'01_WBS &amp; Master Plan'!I58)</f>
        <v>26</v>
      </c>
      <c r="F61" s="65" t="n">
        <f aca="false">IF(B61="","",IF('01_WBS &amp; Master Plan'!K58="Done",1,IF('01_WBS &amp; Master Plan'!L58="",0,'01_WBS &amp; Master Plan'!L58)))</f>
        <v>0</v>
      </c>
      <c r="G61" s="63" t="str">
        <f aca="false">IF('01_WBS &amp; Master Plan'!K58="","",'01_WBS &amp; Master Plan'!K58)</f>
        <v>To Do</v>
      </c>
      <c r="H61" s="66" t="str">
        <f aca="false">IF(OR($D61="",$E61=""),"",IF(AND(H$5&gt;=$D61,H$5&lt;=$E61),IF(H$5-$D61+1&lt;=ROUND(($E61-$D61+1)*$F61,0),2,IF(H$5&lt;CFG_CurWeek,3,1)),""))</f>
        <v/>
      </c>
      <c r="I61" s="66" t="str">
        <f aca="false">IF(OR($D61="",$E61=""),"",IF(AND(I$5&gt;=$D61,I$5&lt;=$E61),IF(I$5-$D61+1&lt;=ROUND(($E61-$D61+1)*$F61,0),2,IF(I$5&lt;CFG_CurWeek,3,1)),""))</f>
        <v/>
      </c>
      <c r="J61" s="66" t="str">
        <f aca="false">IF(OR($D61="",$E61=""),"",IF(AND(J$5&gt;=$D61,J$5&lt;=$E61),IF(J$5-$D61+1&lt;=ROUND(($E61-$D61+1)*$F61,0),2,IF(J$5&lt;CFG_CurWeek,3,1)),""))</f>
        <v/>
      </c>
      <c r="K61" s="66" t="str">
        <f aca="false">IF(OR($D61="",$E61=""),"",IF(AND(K$5&gt;=$D61,K$5&lt;=$E61),IF(K$5-$D61+1&lt;=ROUND(($E61-$D61+1)*$F61,0),2,IF(K$5&lt;CFG_CurWeek,3,1)),""))</f>
        <v/>
      </c>
      <c r="L61" s="66" t="str">
        <f aca="false">IF(OR($D61="",$E61=""),"",IF(AND(L$5&gt;=$D61,L$5&lt;=$E61),IF(L$5-$D61+1&lt;=ROUND(($E61-$D61+1)*$F61,0),2,IF(L$5&lt;CFG_CurWeek,3,1)),""))</f>
        <v/>
      </c>
      <c r="M61" s="66" t="str">
        <f aca="false">IF(OR($D61="",$E61=""),"",IF(AND(M$5&gt;=$D61,M$5&lt;=$E61),IF(M$5-$D61+1&lt;=ROUND(($E61-$D61+1)*$F61,0),2,IF(M$5&lt;CFG_CurWeek,3,1)),""))</f>
        <v/>
      </c>
      <c r="N61" s="66" t="str">
        <f aca="false">IF(OR($D61="",$E61=""),"",IF(AND(N$5&gt;=$D61,N$5&lt;=$E61),IF(N$5-$D61+1&lt;=ROUND(($E61-$D61+1)*$F61,0),2,IF(N$5&lt;CFG_CurWeek,3,1)),""))</f>
        <v/>
      </c>
      <c r="O61" s="66" t="str">
        <f aca="false">IF(OR($D61="",$E61=""),"",IF(AND(O$5&gt;=$D61,O$5&lt;=$E61),IF(O$5-$D61+1&lt;=ROUND(($E61-$D61+1)*$F61,0),2,IF(O$5&lt;CFG_CurWeek,3,1)),""))</f>
        <v/>
      </c>
      <c r="P61" s="66" t="str">
        <f aca="false">IF(OR($D61="",$E61=""),"",IF(AND(P$5&gt;=$D61,P$5&lt;=$E61),IF(P$5-$D61+1&lt;=ROUND(($E61-$D61+1)*$F61,0),2,IF(P$5&lt;CFG_CurWeek,3,1)),""))</f>
        <v/>
      </c>
      <c r="Q61" s="66" t="str">
        <f aca="false">IF(OR($D61="",$E61=""),"",IF(AND(Q$5&gt;=$D61,Q$5&lt;=$E61),IF(Q$5-$D61+1&lt;=ROUND(($E61-$D61+1)*$F61,0),2,IF(Q$5&lt;CFG_CurWeek,3,1)),""))</f>
        <v/>
      </c>
      <c r="R61" s="66" t="str">
        <f aca="false">IF(OR($D61="",$E61=""),"",IF(AND(R$5&gt;=$D61,R$5&lt;=$E61),IF(R$5-$D61+1&lt;=ROUND(($E61-$D61+1)*$F61,0),2,IF(R$5&lt;CFG_CurWeek,3,1)),""))</f>
        <v/>
      </c>
      <c r="S61" s="66" t="str">
        <f aca="false">IF(OR($D61="",$E61=""),"",IF(AND(S$5&gt;=$D61,S$5&lt;=$E61),IF(S$5-$D61+1&lt;=ROUND(($E61-$D61+1)*$F61,0),2,IF(S$5&lt;CFG_CurWeek,3,1)),""))</f>
        <v/>
      </c>
      <c r="T61" s="66" t="str">
        <f aca="false">IF(OR($D61="",$E61=""),"",IF(AND(T$5&gt;=$D61,T$5&lt;=$E61),IF(T$5-$D61+1&lt;=ROUND(($E61-$D61+1)*$F61,0),2,IF(T$5&lt;CFG_CurWeek,3,1)),""))</f>
        <v/>
      </c>
      <c r="U61" s="66" t="str">
        <f aca="false">IF(OR($D61="",$E61=""),"",IF(AND(U$5&gt;=$D61,U$5&lt;=$E61),IF(U$5-$D61+1&lt;=ROUND(($E61-$D61+1)*$F61,0),2,IF(U$5&lt;CFG_CurWeek,3,1)),""))</f>
        <v/>
      </c>
      <c r="V61" s="66" t="str">
        <f aca="false">IF(OR($D61="",$E61=""),"",IF(AND(V$5&gt;=$D61,V$5&lt;=$E61),IF(V$5-$D61+1&lt;=ROUND(($E61-$D61+1)*$F61,0),2,IF(V$5&lt;CFG_CurWeek,3,1)),""))</f>
        <v/>
      </c>
      <c r="W61" s="66" t="str">
        <f aca="false">IF(OR($D61="",$E61=""),"",IF(AND(W$5&gt;=$D61,W$5&lt;=$E61),IF(W$5-$D61+1&lt;=ROUND(($E61-$D61+1)*$F61,0),2,IF(W$5&lt;CFG_CurWeek,3,1)),""))</f>
        <v/>
      </c>
      <c r="X61" s="66" t="str">
        <f aca="false">IF(OR($D61="",$E61=""),"",IF(AND(X$5&gt;=$D61,X$5&lt;=$E61),IF(X$5-$D61+1&lt;=ROUND(($E61-$D61+1)*$F61,0),2,IF(X$5&lt;CFG_CurWeek,3,1)),""))</f>
        <v/>
      </c>
      <c r="Y61" s="66" t="str">
        <f aca="false">IF(OR($D61="",$E61=""),"",IF(AND(Y$5&gt;=$D61,Y$5&lt;=$E61),IF(Y$5-$D61+1&lt;=ROUND(($E61-$D61+1)*$F61,0),2,IF(Y$5&lt;CFG_CurWeek,3,1)),""))</f>
        <v/>
      </c>
      <c r="Z61" s="66" t="str">
        <f aca="false">IF(OR($D61="",$E61=""),"",IF(AND(Z$5&gt;=$D61,Z$5&lt;=$E61),IF(Z$5-$D61+1&lt;=ROUND(($E61-$D61+1)*$F61,0),2,IF(Z$5&lt;CFG_CurWeek,3,1)),""))</f>
        <v/>
      </c>
      <c r="AA61" s="66" t="str">
        <f aca="false">IF(OR($D61="",$E61=""),"",IF(AND(AA$5&gt;=$D61,AA$5&lt;=$E61),IF(AA$5-$D61+1&lt;=ROUND(($E61-$D61+1)*$F61,0),2,IF(AA$5&lt;CFG_CurWeek,3,1)),""))</f>
        <v/>
      </c>
      <c r="AB61" s="66" t="str">
        <f aca="false">IF(OR($D61="",$E61=""),"",IF(AND(AB$5&gt;=$D61,AB$5&lt;=$E61),IF(AB$5-$D61+1&lt;=ROUND(($E61-$D61+1)*$F61,0),2,IF(AB$5&lt;CFG_CurWeek,3,1)),""))</f>
        <v/>
      </c>
      <c r="AC61" s="66" t="str">
        <f aca="false">IF(OR($D61="",$E61=""),"",IF(AND(AC$5&gt;=$D61,AC$5&lt;=$E61),IF(AC$5-$D61+1&lt;=ROUND(($E61-$D61+1)*$F61,0),2,IF(AC$5&lt;CFG_CurWeek,3,1)),""))</f>
        <v/>
      </c>
      <c r="AD61" s="66" t="str">
        <f aca="false">IF(OR($D61="",$E61=""),"",IF(AND(AD$5&gt;=$D61,AD$5&lt;=$E61),IF(AD$5-$D61+1&lt;=ROUND(($E61-$D61+1)*$F61,0),2,IF(AD$5&lt;CFG_CurWeek,3,1)),""))</f>
        <v/>
      </c>
      <c r="AE61" s="66" t="str">
        <f aca="false">IF(OR($D61="",$E61=""),"",IF(AND(AE$5&gt;=$D61,AE$5&lt;=$E61),IF(AE$5-$D61+1&lt;=ROUND(($E61-$D61+1)*$F61,0),2,IF(AE$5&lt;CFG_CurWeek,3,1)),""))</f>
        <v/>
      </c>
      <c r="AF61" s="66" t="str">
        <f aca="false">IF(OR($D61="",$E61=""),"",IF(AND(AF$5&gt;=$D61,AF$5&lt;=$E61),IF(AF$5-$D61+1&lt;=ROUND(($E61-$D61+1)*$F61,0),2,IF(AF$5&lt;CFG_CurWeek,3,1)),""))</f>
        <v/>
      </c>
      <c r="AG61" s="66" t="n">
        <f aca="false">IF(OR($D61="",$E61=""),"",IF(AND(AG$5&gt;=$D61,AG$5&lt;=$E61),IF(AG$5-$D61+1&lt;=ROUND(($E61-$D61+1)*$F61,0),2,IF(AG$5&lt;CFG_CurWeek,3,1)),""))</f>
        <v>1</v>
      </c>
      <c r="AH61" s="66" t="str">
        <f aca="false">IF(OR($D61="",$E61=""),"",IF(AND(AH$5&gt;=$D61,AH$5&lt;=$E61),IF(AH$5-$D61+1&lt;=ROUND(($E61-$D61+1)*$F61,0),2,IF(AH$5&lt;CFG_CurWeek,3,1)),""))</f>
        <v/>
      </c>
      <c r="AI61" s="66" t="str">
        <f aca="false">IF(OR($D61="",$E61=""),"",IF(AND(AI$5&gt;=$D61,AI$5&lt;=$E61),IF(AI$5-$D61+1&lt;=ROUND(($E61-$D61+1)*$F61,0),2,IF(AI$5&lt;CFG_CurWeek,3,1)),""))</f>
        <v/>
      </c>
      <c r="AJ61" s="66" t="str">
        <f aca="false">IF(OR($D61="",$E61=""),"",IF(AND(AJ$5&gt;=$D61,AJ$5&lt;=$E61),IF(AJ$5-$D61+1&lt;=ROUND(($E61-$D61+1)*$F61,0),2,IF(AJ$5&lt;CFG_CurWeek,3,1)),""))</f>
        <v/>
      </c>
      <c r="AK61" s="66" t="str">
        <f aca="false">IF(OR($D61="",$E61=""),"",IF(AND(AK$5&gt;=$D61,AK$5&lt;=$E61),IF(AK$5-$D61+1&lt;=ROUND(($E61-$D61+1)*$F61,0),2,IF(AK$5&lt;CFG_CurWeek,3,1)),""))</f>
        <v/>
      </c>
      <c r="AL61" s="66" t="str">
        <f aca="false">IF(OR($D61="",$E61=""),"",IF(AND(AL$5&gt;=$D61,AL$5&lt;=$E61),IF(AL$5-$D61+1&lt;=ROUND(($E61-$D61+1)*$F61,0),2,IF(AL$5&lt;CFG_CurWeek,3,1)),""))</f>
        <v/>
      </c>
      <c r="AM61" s="66" t="str">
        <f aca="false">IF(OR($D61="",$E61=""),"",IF(AND(AM$5&gt;=$D61,AM$5&lt;=$E61),IF(AM$5-$D61+1&lt;=ROUND(($E61-$D61+1)*$F61,0),2,IF(AM$5&lt;CFG_CurWeek,3,1)),""))</f>
        <v/>
      </c>
      <c r="AN61" s="66" t="str">
        <f aca="false">IF(OR($D61="",$E61=""),"",IF(AND(AN$5&gt;=$D61,AN$5&lt;=$E61),IF(AN$5-$D61+1&lt;=ROUND(($E61-$D61+1)*$F61,0),2,IF(AN$5&lt;CFG_CurWeek,3,1)),""))</f>
        <v/>
      </c>
      <c r="AO61" s="66" t="str">
        <f aca="false">IF(OR($D61="",$E61=""),"",IF(AND(AO$5&gt;=$D61,AO$5&lt;=$E61),IF(AO$5-$D61+1&lt;=ROUND(($E61-$D61+1)*$F61,0),2,IF(AO$5&lt;CFG_CurWeek,3,1)),""))</f>
        <v/>
      </c>
    </row>
    <row r="62" customFormat="false" ht="15" hidden="false" customHeight="false" outlineLevel="0" collapsed="false">
      <c r="A62" s="63" t="str">
        <f aca="false">IF('01_WBS &amp; Master Plan'!A59="","",'01_WBS &amp; Master Plan'!A59)</f>
        <v>7.4</v>
      </c>
      <c r="B62" s="64" t="str">
        <f aca="false">IF('01_WBS &amp; Master Plan'!D59="","",'01_WBS &amp; Master Plan'!D59)</f>
        <v>Admin Panel: quản lý bài hát, album, nghệ sĩ, thể loại, người dùng</v>
      </c>
      <c r="C62" s="63" t="str">
        <f aca="false">IF('01_WBS &amp; Master Plan'!E59="","",'01_WBS &amp; Master Plan'!E59)</f>
        <v>Nhật</v>
      </c>
      <c r="D62" s="63" t="n">
        <f aca="false">IF('01_WBS &amp; Master Plan'!H59="","",'01_WBS &amp; Master Plan'!H59)</f>
        <v>26</v>
      </c>
      <c r="E62" s="63" t="n">
        <f aca="false">IF('01_WBS &amp; Master Plan'!I59="","",'01_WBS &amp; Master Plan'!I59)</f>
        <v>27</v>
      </c>
      <c r="F62" s="65" t="n">
        <f aca="false">IF(B62="","",IF('01_WBS &amp; Master Plan'!K59="Done",1,IF('01_WBS &amp; Master Plan'!L59="",0,'01_WBS &amp; Master Plan'!L59)))</f>
        <v>0</v>
      </c>
      <c r="G62" s="63" t="str">
        <f aca="false">IF('01_WBS &amp; Master Plan'!K59="","",'01_WBS &amp; Master Plan'!K59)</f>
        <v>To Do</v>
      </c>
      <c r="H62" s="66" t="str">
        <f aca="false">IF(OR($D62="",$E62=""),"",IF(AND(H$5&gt;=$D62,H$5&lt;=$E62),IF(H$5-$D62+1&lt;=ROUND(($E62-$D62+1)*$F62,0),2,IF(H$5&lt;CFG_CurWeek,3,1)),""))</f>
        <v/>
      </c>
      <c r="I62" s="66" t="str">
        <f aca="false">IF(OR($D62="",$E62=""),"",IF(AND(I$5&gt;=$D62,I$5&lt;=$E62),IF(I$5-$D62+1&lt;=ROUND(($E62-$D62+1)*$F62,0),2,IF(I$5&lt;CFG_CurWeek,3,1)),""))</f>
        <v/>
      </c>
      <c r="J62" s="66" t="str">
        <f aca="false">IF(OR($D62="",$E62=""),"",IF(AND(J$5&gt;=$D62,J$5&lt;=$E62),IF(J$5-$D62+1&lt;=ROUND(($E62-$D62+1)*$F62,0),2,IF(J$5&lt;CFG_CurWeek,3,1)),""))</f>
        <v/>
      </c>
      <c r="K62" s="66" t="str">
        <f aca="false">IF(OR($D62="",$E62=""),"",IF(AND(K$5&gt;=$D62,K$5&lt;=$E62),IF(K$5-$D62+1&lt;=ROUND(($E62-$D62+1)*$F62,0),2,IF(K$5&lt;CFG_CurWeek,3,1)),""))</f>
        <v/>
      </c>
      <c r="L62" s="66" t="str">
        <f aca="false">IF(OR($D62="",$E62=""),"",IF(AND(L$5&gt;=$D62,L$5&lt;=$E62),IF(L$5-$D62+1&lt;=ROUND(($E62-$D62+1)*$F62,0),2,IF(L$5&lt;CFG_CurWeek,3,1)),""))</f>
        <v/>
      </c>
      <c r="M62" s="66" t="str">
        <f aca="false">IF(OR($D62="",$E62=""),"",IF(AND(M$5&gt;=$D62,M$5&lt;=$E62),IF(M$5-$D62+1&lt;=ROUND(($E62-$D62+1)*$F62,0),2,IF(M$5&lt;CFG_CurWeek,3,1)),""))</f>
        <v/>
      </c>
      <c r="N62" s="66" t="str">
        <f aca="false">IF(OR($D62="",$E62=""),"",IF(AND(N$5&gt;=$D62,N$5&lt;=$E62),IF(N$5-$D62+1&lt;=ROUND(($E62-$D62+1)*$F62,0),2,IF(N$5&lt;CFG_CurWeek,3,1)),""))</f>
        <v/>
      </c>
      <c r="O62" s="66" t="str">
        <f aca="false">IF(OR($D62="",$E62=""),"",IF(AND(O$5&gt;=$D62,O$5&lt;=$E62),IF(O$5-$D62+1&lt;=ROUND(($E62-$D62+1)*$F62,0),2,IF(O$5&lt;CFG_CurWeek,3,1)),""))</f>
        <v/>
      </c>
      <c r="P62" s="66" t="str">
        <f aca="false">IF(OR($D62="",$E62=""),"",IF(AND(P$5&gt;=$D62,P$5&lt;=$E62),IF(P$5-$D62+1&lt;=ROUND(($E62-$D62+1)*$F62,0),2,IF(P$5&lt;CFG_CurWeek,3,1)),""))</f>
        <v/>
      </c>
      <c r="Q62" s="66" t="str">
        <f aca="false">IF(OR($D62="",$E62=""),"",IF(AND(Q$5&gt;=$D62,Q$5&lt;=$E62),IF(Q$5-$D62+1&lt;=ROUND(($E62-$D62+1)*$F62,0),2,IF(Q$5&lt;CFG_CurWeek,3,1)),""))</f>
        <v/>
      </c>
      <c r="R62" s="66" t="str">
        <f aca="false">IF(OR($D62="",$E62=""),"",IF(AND(R$5&gt;=$D62,R$5&lt;=$E62),IF(R$5-$D62+1&lt;=ROUND(($E62-$D62+1)*$F62,0),2,IF(R$5&lt;CFG_CurWeek,3,1)),""))</f>
        <v/>
      </c>
      <c r="S62" s="66" t="str">
        <f aca="false">IF(OR($D62="",$E62=""),"",IF(AND(S$5&gt;=$D62,S$5&lt;=$E62),IF(S$5-$D62+1&lt;=ROUND(($E62-$D62+1)*$F62,0),2,IF(S$5&lt;CFG_CurWeek,3,1)),""))</f>
        <v/>
      </c>
      <c r="T62" s="66" t="str">
        <f aca="false">IF(OR($D62="",$E62=""),"",IF(AND(T$5&gt;=$D62,T$5&lt;=$E62),IF(T$5-$D62+1&lt;=ROUND(($E62-$D62+1)*$F62,0),2,IF(T$5&lt;CFG_CurWeek,3,1)),""))</f>
        <v/>
      </c>
      <c r="U62" s="66" t="str">
        <f aca="false">IF(OR($D62="",$E62=""),"",IF(AND(U$5&gt;=$D62,U$5&lt;=$E62),IF(U$5-$D62+1&lt;=ROUND(($E62-$D62+1)*$F62,0),2,IF(U$5&lt;CFG_CurWeek,3,1)),""))</f>
        <v/>
      </c>
      <c r="V62" s="66" t="str">
        <f aca="false">IF(OR($D62="",$E62=""),"",IF(AND(V$5&gt;=$D62,V$5&lt;=$E62),IF(V$5-$D62+1&lt;=ROUND(($E62-$D62+1)*$F62,0),2,IF(V$5&lt;CFG_CurWeek,3,1)),""))</f>
        <v/>
      </c>
      <c r="W62" s="66" t="str">
        <f aca="false">IF(OR($D62="",$E62=""),"",IF(AND(W$5&gt;=$D62,W$5&lt;=$E62),IF(W$5-$D62+1&lt;=ROUND(($E62-$D62+1)*$F62,0),2,IF(W$5&lt;CFG_CurWeek,3,1)),""))</f>
        <v/>
      </c>
      <c r="X62" s="66" t="str">
        <f aca="false">IF(OR($D62="",$E62=""),"",IF(AND(X$5&gt;=$D62,X$5&lt;=$E62),IF(X$5-$D62+1&lt;=ROUND(($E62-$D62+1)*$F62,0),2,IF(X$5&lt;CFG_CurWeek,3,1)),""))</f>
        <v/>
      </c>
      <c r="Y62" s="66" t="str">
        <f aca="false">IF(OR($D62="",$E62=""),"",IF(AND(Y$5&gt;=$D62,Y$5&lt;=$E62),IF(Y$5-$D62+1&lt;=ROUND(($E62-$D62+1)*$F62,0),2,IF(Y$5&lt;CFG_CurWeek,3,1)),""))</f>
        <v/>
      </c>
      <c r="Z62" s="66" t="str">
        <f aca="false">IF(OR($D62="",$E62=""),"",IF(AND(Z$5&gt;=$D62,Z$5&lt;=$E62),IF(Z$5-$D62+1&lt;=ROUND(($E62-$D62+1)*$F62,0),2,IF(Z$5&lt;CFG_CurWeek,3,1)),""))</f>
        <v/>
      </c>
      <c r="AA62" s="66" t="str">
        <f aca="false">IF(OR($D62="",$E62=""),"",IF(AND(AA$5&gt;=$D62,AA$5&lt;=$E62),IF(AA$5-$D62+1&lt;=ROUND(($E62-$D62+1)*$F62,0),2,IF(AA$5&lt;CFG_CurWeek,3,1)),""))</f>
        <v/>
      </c>
      <c r="AB62" s="66" t="str">
        <f aca="false">IF(OR($D62="",$E62=""),"",IF(AND(AB$5&gt;=$D62,AB$5&lt;=$E62),IF(AB$5-$D62+1&lt;=ROUND(($E62-$D62+1)*$F62,0),2,IF(AB$5&lt;CFG_CurWeek,3,1)),""))</f>
        <v/>
      </c>
      <c r="AC62" s="66" t="str">
        <f aca="false">IF(OR($D62="",$E62=""),"",IF(AND(AC$5&gt;=$D62,AC$5&lt;=$E62),IF(AC$5-$D62+1&lt;=ROUND(($E62-$D62+1)*$F62,0),2,IF(AC$5&lt;CFG_CurWeek,3,1)),""))</f>
        <v/>
      </c>
      <c r="AD62" s="66" t="str">
        <f aca="false">IF(OR($D62="",$E62=""),"",IF(AND(AD$5&gt;=$D62,AD$5&lt;=$E62),IF(AD$5-$D62+1&lt;=ROUND(($E62-$D62+1)*$F62,0),2,IF(AD$5&lt;CFG_CurWeek,3,1)),""))</f>
        <v/>
      </c>
      <c r="AE62" s="66" t="str">
        <f aca="false">IF(OR($D62="",$E62=""),"",IF(AND(AE$5&gt;=$D62,AE$5&lt;=$E62),IF(AE$5-$D62+1&lt;=ROUND(($E62-$D62+1)*$F62,0),2,IF(AE$5&lt;CFG_CurWeek,3,1)),""))</f>
        <v/>
      </c>
      <c r="AF62" s="66" t="str">
        <f aca="false">IF(OR($D62="",$E62=""),"",IF(AND(AF$5&gt;=$D62,AF$5&lt;=$E62),IF(AF$5-$D62+1&lt;=ROUND(($E62-$D62+1)*$F62,0),2,IF(AF$5&lt;CFG_CurWeek,3,1)),""))</f>
        <v/>
      </c>
      <c r="AG62" s="66" t="n">
        <f aca="false">IF(OR($D62="",$E62=""),"",IF(AND(AG$5&gt;=$D62,AG$5&lt;=$E62),IF(AG$5-$D62+1&lt;=ROUND(($E62-$D62+1)*$F62,0),2,IF(AG$5&lt;CFG_CurWeek,3,1)),""))</f>
        <v>1</v>
      </c>
      <c r="AH62" s="66" t="n">
        <f aca="false">IF(OR($D62="",$E62=""),"",IF(AND(AH$5&gt;=$D62,AH$5&lt;=$E62),IF(AH$5-$D62+1&lt;=ROUND(($E62-$D62+1)*$F62,0),2,IF(AH$5&lt;CFG_CurWeek,3,1)),""))</f>
        <v>1</v>
      </c>
      <c r="AI62" s="66" t="str">
        <f aca="false">IF(OR($D62="",$E62=""),"",IF(AND(AI$5&gt;=$D62,AI$5&lt;=$E62),IF(AI$5-$D62+1&lt;=ROUND(($E62-$D62+1)*$F62,0),2,IF(AI$5&lt;CFG_CurWeek,3,1)),""))</f>
        <v/>
      </c>
      <c r="AJ62" s="66" t="str">
        <f aca="false">IF(OR($D62="",$E62=""),"",IF(AND(AJ$5&gt;=$D62,AJ$5&lt;=$E62),IF(AJ$5-$D62+1&lt;=ROUND(($E62-$D62+1)*$F62,0),2,IF(AJ$5&lt;CFG_CurWeek,3,1)),""))</f>
        <v/>
      </c>
      <c r="AK62" s="66" t="str">
        <f aca="false">IF(OR($D62="",$E62=""),"",IF(AND(AK$5&gt;=$D62,AK$5&lt;=$E62),IF(AK$5-$D62+1&lt;=ROUND(($E62-$D62+1)*$F62,0),2,IF(AK$5&lt;CFG_CurWeek,3,1)),""))</f>
        <v/>
      </c>
      <c r="AL62" s="66" t="str">
        <f aca="false">IF(OR($D62="",$E62=""),"",IF(AND(AL$5&gt;=$D62,AL$5&lt;=$E62),IF(AL$5-$D62+1&lt;=ROUND(($E62-$D62+1)*$F62,0),2,IF(AL$5&lt;CFG_CurWeek,3,1)),""))</f>
        <v/>
      </c>
      <c r="AM62" s="66" t="str">
        <f aca="false">IF(OR($D62="",$E62=""),"",IF(AND(AM$5&gt;=$D62,AM$5&lt;=$E62),IF(AM$5-$D62+1&lt;=ROUND(($E62-$D62+1)*$F62,0),2,IF(AM$5&lt;CFG_CurWeek,3,1)),""))</f>
        <v/>
      </c>
      <c r="AN62" s="66" t="str">
        <f aca="false">IF(OR($D62="",$E62=""),"",IF(AND(AN$5&gt;=$D62,AN$5&lt;=$E62),IF(AN$5-$D62+1&lt;=ROUND(($E62-$D62+1)*$F62,0),2,IF(AN$5&lt;CFG_CurWeek,3,1)),""))</f>
        <v/>
      </c>
      <c r="AO62" s="66" t="str">
        <f aca="false">IF(OR($D62="",$E62=""),"",IF(AND(AO$5&gt;=$D62,AO$5&lt;=$E62),IF(AO$5-$D62+1&lt;=ROUND(($E62-$D62+1)*$F62,0),2,IF(AO$5&lt;CFG_CurWeek,3,1)),""))</f>
        <v/>
      </c>
    </row>
    <row r="63" customFormat="false" ht="15" hidden="false" customHeight="false" outlineLevel="0" collapsed="false">
      <c r="A63" s="63" t="str">
        <f aca="false">IF('01_WBS &amp; Master Plan'!A60="","",'01_WBS &amp; Master Plan'!A60)</f>
        <v>7.5</v>
      </c>
      <c r="B63" s="64" t="str">
        <f aca="false">IF('01_WBS &amp; Master Plan'!D60="","",'01_WBS &amp; Master Plan'!D60)</f>
        <v>Artist Panel: nghệ sĩ upload bài, cam kết bản quyền, chờ duyệt</v>
      </c>
      <c r="C63" s="63" t="str">
        <f aca="false">IF('01_WBS &amp; Master Plan'!E60="","",'01_WBS &amp; Master Plan'!E60)</f>
        <v>Nhật</v>
      </c>
      <c r="D63" s="63" t="n">
        <f aca="false">IF('01_WBS &amp; Master Plan'!H60="","",'01_WBS &amp; Master Plan'!H60)</f>
        <v>27</v>
      </c>
      <c r="E63" s="63" t="n">
        <f aca="false">IF('01_WBS &amp; Master Plan'!I60="","",'01_WBS &amp; Master Plan'!I60)</f>
        <v>27</v>
      </c>
      <c r="F63" s="65" t="n">
        <f aca="false">IF(B63="","",IF('01_WBS &amp; Master Plan'!K60="Done",1,IF('01_WBS &amp; Master Plan'!L60="",0,'01_WBS &amp; Master Plan'!L60)))</f>
        <v>0</v>
      </c>
      <c r="G63" s="63" t="str">
        <f aca="false">IF('01_WBS &amp; Master Plan'!K60="","",'01_WBS &amp; Master Plan'!K60)</f>
        <v>To Do</v>
      </c>
      <c r="H63" s="66" t="str">
        <f aca="false">IF(OR($D63="",$E63=""),"",IF(AND(H$5&gt;=$D63,H$5&lt;=$E63),IF(H$5-$D63+1&lt;=ROUND(($E63-$D63+1)*$F63,0),2,IF(H$5&lt;CFG_CurWeek,3,1)),""))</f>
        <v/>
      </c>
      <c r="I63" s="66" t="str">
        <f aca="false">IF(OR($D63="",$E63=""),"",IF(AND(I$5&gt;=$D63,I$5&lt;=$E63),IF(I$5-$D63+1&lt;=ROUND(($E63-$D63+1)*$F63,0),2,IF(I$5&lt;CFG_CurWeek,3,1)),""))</f>
        <v/>
      </c>
      <c r="J63" s="66" t="str">
        <f aca="false">IF(OR($D63="",$E63=""),"",IF(AND(J$5&gt;=$D63,J$5&lt;=$E63),IF(J$5-$D63+1&lt;=ROUND(($E63-$D63+1)*$F63,0),2,IF(J$5&lt;CFG_CurWeek,3,1)),""))</f>
        <v/>
      </c>
      <c r="K63" s="66" t="str">
        <f aca="false">IF(OR($D63="",$E63=""),"",IF(AND(K$5&gt;=$D63,K$5&lt;=$E63),IF(K$5-$D63+1&lt;=ROUND(($E63-$D63+1)*$F63,0),2,IF(K$5&lt;CFG_CurWeek,3,1)),""))</f>
        <v/>
      </c>
      <c r="L63" s="66" t="str">
        <f aca="false">IF(OR($D63="",$E63=""),"",IF(AND(L$5&gt;=$D63,L$5&lt;=$E63),IF(L$5-$D63+1&lt;=ROUND(($E63-$D63+1)*$F63,0),2,IF(L$5&lt;CFG_CurWeek,3,1)),""))</f>
        <v/>
      </c>
      <c r="M63" s="66" t="str">
        <f aca="false">IF(OR($D63="",$E63=""),"",IF(AND(M$5&gt;=$D63,M$5&lt;=$E63),IF(M$5-$D63+1&lt;=ROUND(($E63-$D63+1)*$F63,0),2,IF(M$5&lt;CFG_CurWeek,3,1)),""))</f>
        <v/>
      </c>
      <c r="N63" s="66" t="str">
        <f aca="false">IF(OR($D63="",$E63=""),"",IF(AND(N$5&gt;=$D63,N$5&lt;=$E63),IF(N$5-$D63+1&lt;=ROUND(($E63-$D63+1)*$F63,0),2,IF(N$5&lt;CFG_CurWeek,3,1)),""))</f>
        <v/>
      </c>
      <c r="O63" s="66" t="str">
        <f aca="false">IF(OR($D63="",$E63=""),"",IF(AND(O$5&gt;=$D63,O$5&lt;=$E63),IF(O$5-$D63+1&lt;=ROUND(($E63-$D63+1)*$F63,0),2,IF(O$5&lt;CFG_CurWeek,3,1)),""))</f>
        <v/>
      </c>
      <c r="P63" s="66" t="str">
        <f aca="false">IF(OR($D63="",$E63=""),"",IF(AND(P$5&gt;=$D63,P$5&lt;=$E63),IF(P$5-$D63+1&lt;=ROUND(($E63-$D63+1)*$F63,0),2,IF(P$5&lt;CFG_CurWeek,3,1)),""))</f>
        <v/>
      </c>
      <c r="Q63" s="66" t="str">
        <f aca="false">IF(OR($D63="",$E63=""),"",IF(AND(Q$5&gt;=$D63,Q$5&lt;=$E63),IF(Q$5-$D63+1&lt;=ROUND(($E63-$D63+1)*$F63,0),2,IF(Q$5&lt;CFG_CurWeek,3,1)),""))</f>
        <v/>
      </c>
      <c r="R63" s="66" t="str">
        <f aca="false">IF(OR($D63="",$E63=""),"",IF(AND(R$5&gt;=$D63,R$5&lt;=$E63),IF(R$5-$D63+1&lt;=ROUND(($E63-$D63+1)*$F63,0),2,IF(R$5&lt;CFG_CurWeek,3,1)),""))</f>
        <v/>
      </c>
      <c r="S63" s="66" t="str">
        <f aca="false">IF(OR($D63="",$E63=""),"",IF(AND(S$5&gt;=$D63,S$5&lt;=$E63),IF(S$5-$D63+1&lt;=ROUND(($E63-$D63+1)*$F63,0),2,IF(S$5&lt;CFG_CurWeek,3,1)),""))</f>
        <v/>
      </c>
      <c r="T63" s="66" t="str">
        <f aca="false">IF(OR($D63="",$E63=""),"",IF(AND(T$5&gt;=$D63,T$5&lt;=$E63),IF(T$5-$D63+1&lt;=ROUND(($E63-$D63+1)*$F63,0),2,IF(T$5&lt;CFG_CurWeek,3,1)),""))</f>
        <v/>
      </c>
      <c r="U63" s="66" t="str">
        <f aca="false">IF(OR($D63="",$E63=""),"",IF(AND(U$5&gt;=$D63,U$5&lt;=$E63),IF(U$5-$D63+1&lt;=ROUND(($E63-$D63+1)*$F63,0),2,IF(U$5&lt;CFG_CurWeek,3,1)),""))</f>
        <v/>
      </c>
      <c r="V63" s="66" t="str">
        <f aca="false">IF(OR($D63="",$E63=""),"",IF(AND(V$5&gt;=$D63,V$5&lt;=$E63),IF(V$5-$D63+1&lt;=ROUND(($E63-$D63+1)*$F63,0),2,IF(V$5&lt;CFG_CurWeek,3,1)),""))</f>
        <v/>
      </c>
      <c r="W63" s="66" t="str">
        <f aca="false">IF(OR($D63="",$E63=""),"",IF(AND(W$5&gt;=$D63,W$5&lt;=$E63),IF(W$5-$D63+1&lt;=ROUND(($E63-$D63+1)*$F63,0),2,IF(W$5&lt;CFG_CurWeek,3,1)),""))</f>
        <v/>
      </c>
      <c r="X63" s="66" t="str">
        <f aca="false">IF(OR($D63="",$E63=""),"",IF(AND(X$5&gt;=$D63,X$5&lt;=$E63),IF(X$5-$D63+1&lt;=ROUND(($E63-$D63+1)*$F63,0),2,IF(X$5&lt;CFG_CurWeek,3,1)),""))</f>
        <v/>
      </c>
      <c r="Y63" s="66" t="str">
        <f aca="false">IF(OR($D63="",$E63=""),"",IF(AND(Y$5&gt;=$D63,Y$5&lt;=$E63),IF(Y$5-$D63+1&lt;=ROUND(($E63-$D63+1)*$F63,0),2,IF(Y$5&lt;CFG_CurWeek,3,1)),""))</f>
        <v/>
      </c>
      <c r="Z63" s="66" t="str">
        <f aca="false">IF(OR($D63="",$E63=""),"",IF(AND(Z$5&gt;=$D63,Z$5&lt;=$E63),IF(Z$5-$D63+1&lt;=ROUND(($E63-$D63+1)*$F63,0),2,IF(Z$5&lt;CFG_CurWeek,3,1)),""))</f>
        <v/>
      </c>
      <c r="AA63" s="66" t="str">
        <f aca="false">IF(OR($D63="",$E63=""),"",IF(AND(AA$5&gt;=$D63,AA$5&lt;=$E63),IF(AA$5-$D63+1&lt;=ROUND(($E63-$D63+1)*$F63,0),2,IF(AA$5&lt;CFG_CurWeek,3,1)),""))</f>
        <v/>
      </c>
      <c r="AB63" s="66" t="str">
        <f aca="false">IF(OR($D63="",$E63=""),"",IF(AND(AB$5&gt;=$D63,AB$5&lt;=$E63),IF(AB$5-$D63+1&lt;=ROUND(($E63-$D63+1)*$F63,0),2,IF(AB$5&lt;CFG_CurWeek,3,1)),""))</f>
        <v/>
      </c>
      <c r="AC63" s="66" t="str">
        <f aca="false">IF(OR($D63="",$E63=""),"",IF(AND(AC$5&gt;=$D63,AC$5&lt;=$E63),IF(AC$5-$D63+1&lt;=ROUND(($E63-$D63+1)*$F63,0),2,IF(AC$5&lt;CFG_CurWeek,3,1)),""))</f>
        <v/>
      </c>
      <c r="AD63" s="66" t="str">
        <f aca="false">IF(OR($D63="",$E63=""),"",IF(AND(AD$5&gt;=$D63,AD$5&lt;=$E63),IF(AD$5-$D63+1&lt;=ROUND(($E63-$D63+1)*$F63,0),2,IF(AD$5&lt;CFG_CurWeek,3,1)),""))</f>
        <v/>
      </c>
      <c r="AE63" s="66" t="str">
        <f aca="false">IF(OR($D63="",$E63=""),"",IF(AND(AE$5&gt;=$D63,AE$5&lt;=$E63),IF(AE$5-$D63+1&lt;=ROUND(($E63-$D63+1)*$F63,0),2,IF(AE$5&lt;CFG_CurWeek,3,1)),""))</f>
        <v/>
      </c>
      <c r="AF63" s="66" t="str">
        <f aca="false">IF(OR($D63="",$E63=""),"",IF(AND(AF$5&gt;=$D63,AF$5&lt;=$E63),IF(AF$5-$D63+1&lt;=ROUND(($E63-$D63+1)*$F63,0),2,IF(AF$5&lt;CFG_CurWeek,3,1)),""))</f>
        <v/>
      </c>
      <c r="AG63" s="66" t="str">
        <f aca="false">IF(OR($D63="",$E63=""),"",IF(AND(AG$5&gt;=$D63,AG$5&lt;=$E63),IF(AG$5-$D63+1&lt;=ROUND(($E63-$D63+1)*$F63,0),2,IF(AG$5&lt;CFG_CurWeek,3,1)),""))</f>
        <v/>
      </c>
      <c r="AH63" s="66" t="n">
        <f aca="false">IF(OR($D63="",$E63=""),"",IF(AND(AH$5&gt;=$D63,AH$5&lt;=$E63),IF(AH$5-$D63+1&lt;=ROUND(($E63-$D63+1)*$F63,0),2,IF(AH$5&lt;CFG_CurWeek,3,1)),""))</f>
        <v>1</v>
      </c>
      <c r="AI63" s="66" t="str">
        <f aca="false">IF(OR($D63="",$E63=""),"",IF(AND(AI$5&gt;=$D63,AI$5&lt;=$E63),IF(AI$5-$D63+1&lt;=ROUND(($E63-$D63+1)*$F63,0),2,IF(AI$5&lt;CFG_CurWeek,3,1)),""))</f>
        <v/>
      </c>
      <c r="AJ63" s="66" t="str">
        <f aca="false">IF(OR($D63="",$E63=""),"",IF(AND(AJ$5&gt;=$D63,AJ$5&lt;=$E63),IF(AJ$5-$D63+1&lt;=ROUND(($E63-$D63+1)*$F63,0),2,IF(AJ$5&lt;CFG_CurWeek,3,1)),""))</f>
        <v/>
      </c>
      <c r="AK63" s="66" t="str">
        <f aca="false">IF(OR($D63="",$E63=""),"",IF(AND(AK$5&gt;=$D63,AK$5&lt;=$E63),IF(AK$5-$D63+1&lt;=ROUND(($E63-$D63+1)*$F63,0),2,IF(AK$5&lt;CFG_CurWeek,3,1)),""))</f>
        <v/>
      </c>
      <c r="AL63" s="66" t="str">
        <f aca="false">IF(OR($D63="",$E63=""),"",IF(AND(AL$5&gt;=$D63,AL$5&lt;=$E63),IF(AL$5-$D63+1&lt;=ROUND(($E63-$D63+1)*$F63,0),2,IF(AL$5&lt;CFG_CurWeek,3,1)),""))</f>
        <v/>
      </c>
      <c r="AM63" s="66" t="str">
        <f aca="false">IF(OR($D63="",$E63=""),"",IF(AND(AM$5&gt;=$D63,AM$5&lt;=$E63),IF(AM$5-$D63+1&lt;=ROUND(($E63-$D63+1)*$F63,0),2,IF(AM$5&lt;CFG_CurWeek,3,1)),""))</f>
        <v/>
      </c>
      <c r="AN63" s="66" t="str">
        <f aca="false">IF(OR($D63="",$E63=""),"",IF(AND(AN$5&gt;=$D63,AN$5&lt;=$E63),IF(AN$5-$D63+1&lt;=ROUND(($E63-$D63+1)*$F63,0),2,IF(AN$5&lt;CFG_CurWeek,3,1)),""))</f>
        <v/>
      </c>
      <c r="AO63" s="66" t="str">
        <f aca="false">IF(OR($D63="",$E63=""),"",IF(AND(AO$5&gt;=$D63,AO$5&lt;=$E63),IF(AO$5-$D63+1&lt;=ROUND(($E63-$D63+1)*$F63,0),2,IF(AO$5&lt;CFG_CurWeek,3,1)),""))</f>
        <v/>
      </c>
    </row>
    <row r="64" customFormat="false" ht="15" hidden="false" customHeight="false" outlineLevel="0" collapsed="false">
      <c r="A64" s="63" t="str">
        <f aca="false">IF('01_WBS &amp; Master Plan'!A61="","",'01_WBS &amp; Master Plan'!A61)</f>
        <v>7.6</v>
      </c>
      <c r="B64" s="64" t="str">
        <f aca="false">IF('01_WBS &amp; Master Plan'!D61="","",'01_WBS &amp; Master Plan'!D61)</f>
        <v>API duyệt/ẩn bài vi phạm + nhật ký kiểm duyệt</v>
      </c>
      <c r="C64" s="63" t="str">
        <f aca="false">IF('01_WBS &amp; Master Plan'!E61="","",'01_WBS &amp; Master Plan'!E61)</f>
        <v>Nhật</v>
      </c>
      <c r="D64" s="63" t="n">
        <f aca="false">IF('01_WBS &amp; Master Plan'!H61="","",'01_WBS &amp; Master Plan'!H61)</f>
        <v>27</v>
      </c>
      <c r="E64" s="63" t="n">
        <f aca="false">IF('01_WBS &amp; Master Plan'!I61="","",'01_WBS &amp; Master Plan'!I61)</f>
        <v>27</v>
      </c>
      <c r="F64" s="65" t="n">
        <f aca="false">IF(B64="","",IF('01_WBS &amp; Master Plan'!K61="Done",1,IF('01_WBS &amp; Master Plan'!L61="",0,'01_WBS &amp; Master Plan'!L61)))</f>
        <v>0</v>
      </c>
      <c r="G64" s="63" t="str">
        <f aca="false">IF('01_WBS &amp; Master Plan'!K61="","",'01_WBS &amp; Master Plan'!K61)</f>
        <v>To Do</v>
      </c>
      <c r="H64" s="66" t="str">
        <f aca="false">IF(OR($D64="",$E64=""),"",IF(AND(H$5&gt;=$D64,H$5&lt;=$E64),IF(H$5-$D64+1&lt;=ROUND(($E64-$D64+1)*$F64,0),2,IF(H$5&lt;CFG_CurWeek,3,1)),""))</f>
        <v/>
      </c>
      <c r="I64" s="66" t="str">
        <f aca="false">IF(OR($D64="",$E64=""),"",IF(AND(I$5&gt;=$D64,I$5&lt;=$E64),IF(I$5-$D64+1&lt;=ROUND(($E64-$D64+1)*$F64,0),2,IF(I$5&lt;CFG_CurWeek,3,1)),""))</f>
        <v/>
      </c>
      <c r="J64" s="66" t="str">
        <f aca="false">IF(OR($D64="",$E64=""),"",IF(AND(J$5&gt;=$D64,J$5&lt;=$E64),IF(J$5-$D64+1&lt;=ROUND(($E64-$D64+1)*$F64,0),2,IF(J$5&lt;CFG_CurWeek,3,1)),""))</f>
        <v/>
      </c>
      <c r="K64" s="66" t="str">
        <f aca="false">IF(OR($D64="",$E64=""),"",IF(AND(K$5&gt;=$D64,K$5&lt;=$E64),IF(K$5-$D64+1&lt;=ROUND(($E64-$D64+1)*$F64,0),2,IF(K$5&lt;CFG_CurWeek,3,1)),""))</f>
        <v/>
      </c>
      <c r="L64" s="66" t="str">
        <f aca="false">IF(OR($D64="",$E64=""),"",IF(AND(L$5&gt;=$D64,L$5&lt;=$E64),IF(L$5-$D64+1&lt;=ROUND(($E64-$D64+1)*$F64,0),2,IF(L$5&lt;CFG_CurWeek,3,1)),""))</f>
        <v/>
      </c>
      <c r="M64" s="66" t="str">
        <f aca="false">IF(OR($D64="",$E64=""),"",IF(AND(M$5&gt;=$D64,M$5&lt;=$E64),IF(M$5-$D64+1&lt;=ROUND(($E64-$D64+1)*$F64,0),2,IF(M$5&lt;CFG_CurWeek,3,1)),""))</f>
        <v/>
      </c>
      <c r="N64" s="66" t="str">
        <f aca="false">IF(OR($D64="",$E64=""),"",IF(AND(N$5&gt;=$D64,N$5&lt;=$E64),IF(N$5-$D64+1&lt;=ROUND(($E64-$D64+1)*$F64,0),2,IF(N$5&lt;CFG_CurWeek,3,1)),""))</f>
        <v/>
      </c>
      <c r="O64" s="66" t="str">
        <f aca="false">IF(OR($D64="",$E64=""),"",IF(AND(O$5&gt;=$D64,O$5&lt;=$E64),IF(O$5-$D64+1&lt;=ROUND(($E64-$D64+1)*$F64,0),2,IF(O$5&lt;CFG_CurWeek,3,1)),""))</f>
        <v/>
      </c>
      <c r="P64" s="66" t="str">
        <f aca="false">IF(OR($D64="",$E64=""),"",IF(AND(P$5&gt;=$D64,P$5&lt;=$E64),IF(P$5-$D64+1&lt;=ROUND(($E64-$D64+1)*$F64,0),2,IF(P$5&lt;CFG_CurWeek,3,1)),""))</f>
        <v/>
      </c>
      <c r="Q64" s="66" t="str">
        <f aca="false">IF(OR($D64="",$E64=""),"",IF(AND(Q$5&gt;=$D64,Q$5&lt;=$E64),IF(Q$5-$D64+1&lt;=ROUND(($E64-$D64+1)*$F64,0),2,IF(Q$5&lt;CFG_CurWeek,3,1)),""))</f>
        <v/>
      </c>
      <c r="R64" s="66" t="str">
        <f aca="false">IF(OR($D64="",$E64=""),"",IF(AND(R$5&gt;=$D64,R$5&lt;=$E64),IF(R$5-$D64+1&lt;=ROUND(($E64-$D64+1)*$F64,0),2,IF(R$5&lt;CFG_CurWeek,3,1)),""))</f>
        <v/>
      </c>
      <c r="S64" s="66" t="str">
        <f aca="false">IF(OR($D64="",$E64=""),"",IF(AND(S$5&gt;=$D64,S$5&lt;=$E64),IF(S$5-$D64+1&lt;=ROUND(($E64-$D64+1)*$F64,0),2,IF(S$5&lt;CFG_CurWeek,3,1)),""))</f>
        <v/>
      </c>
      <c r="T64" s="66" t="str">
        <f aca="false">IF(OR($D64="",$E64=""),"",IF(AND(T$5&gt;=$D64,T$5&lt;=$E64),IF(T$5-$D64+1&lt;=ROUND(($E64-$D64+1)*$F64,0),2,IF(T$5&lt;CFG_CurWeek,3,1)),""))</f>
        <v/>
      </c>
      <c r="U64" s="66" t="str">
        <f aca="false">IF(OR($D64="",$E64=""),"",IF(AND(U$5&gt;=$D64,U$5&lt;=$E64),IF(U$5-$D64+1&lt;=ROUND(($E64-$D64+1)*$F64,0),2,IF(U$5&lt;CFG_CurWeek,3,1)),""))</f>
        <v/>
      </c>
      <c r="V64" s="66" t="str">
        <f aca="false">IF(OR($D64="",$E64=""),"",IF(AND(V$5&gt;=$D64,V$5&lt;=$E64),IF(V$5-$D64+1&lt;=ROUND(($E64-$D64+1)*$F64,0),2,IF(V$5&lt;CFG_CurWeek,3,1)),""))</f>
        <v/>
      </c>
      <c r="W64" s="66" t="str">
        <f aca="false">IF(OR($D64="",$E64=""),"",IF(AND(W$5&gt;=$D64,W$5&lt;=$E64),IF(W$5-$D64+1&lt;=ROUND(($E64-$D64+1)*$F64,0),2,IF(W$5&lt;CFG_CurWeek,3,1)),""))</f>
        <v/>
      </c>
      <c r="X64" s="66" t="str">
        <f aca="false">IF(OR($D64="",$E64=""),"",IF(AND(X$5&gt;=$D64,X$5&lt;=$E64),IF(X$5-$D64+1&lt;=ROUND(($E64-$D64+1)*$F64,0),2,IF(X$5&lt;CFG_CurWeek,3,1)),""))</f>
        <v/>
      </c>
      <c r="Y64" s="66" t="str">
        <f aca="false">IF(OR($D64="",$E64=""),"",IF(AND(Y$5&gt;=$D64,Y$5&lt;=$E64),IF(Y$5-$D64+1&lt;=ROUND(($E64-$D64+1)*$F64,0),2,IF(Y$5&lt;CFG_CurWeek,3,1)),""))</f>
        <v/>
      </c>
      <c r="Z64" s="66" t="str">
        <f aca="false">IF(OR($D64="",$E64=""),"",IF(AND(Z$5&gt;=$D64,Z$5&lt;=$E64),IF(Z$5-$D64+1&lt;=ROUND(($E64-$D64+1)*$F64,0),2,IF(Z$5&lt;CFG_CurWeek,3,1)),""))</f>
        <v/>
      </c>
      <c r="AA64" s="66" t="str">
        <f aca="false">IF(OR($D64="",$E64=""),"",IF(AND(AA$5&gt;=$D64,AA$5&lt;=$E64),IF(AA$5-$D64+1&lt;=ROUND(($E64-$D64+1)*$F64,0),2,IF(AA$5&lt;CFG_CurWeek,3,1)),""))</f>
        <v/>
      </c>
      <c r="AB64" s="66" t="str">
        <f aca="false">IF(OR($D64="",$E64=""),"",IF(AND(AB$5&gt;=$D64,AB$5&lt;=$E64),IF(AB$5-$D64+1&lt;=ROUND(($E64-$D64+1)*$F64,0),2,IF(AB$5&lt;CFG_CurWeek,3,1)),""))</f>
        <v/>
      </c>
      <c r="AC64" s="66" t="str">
        <f aca="false">IF(OR($D64="",$E64=""),"",IF(AND(AC$5&gt;=$D64,AC$5&lt;=$E64),IF(AC$5-$D64+1&lt;=ROUND(($E64-$D64+1)*$F64,0),2,IF(AC$5&lt;CFG_CurWeek,3,1)),""))</f>
        <v/>
      </c>
      <c r="AD64" s="66" t="str">
        <f aca="false">IF(OR($D64="",$E64=""),"",IF(AND(AD$5&gt;=$D64,AD$5&lt;=$E64),IF(AD$5-$D64+1&lt;=ROUND(($E64-$D64+1)*$F64,0),2,IF(AD$5&lt;CFG_CurWeek,3,1)),""))</f>
        <v/>
      </c>
      <c r="AE64" s="66" t="str">
        <f aca="false">IF(OR($D64="",$E64=""),"",IF(AND(AE$5&gt;=$D64,AE$5&lt;=$E64),IF(AE$5-$D64+1&lt;=ROUND(($E64-$D64+1)*$F64,0),2,IF(AE$5&lt;CFG_CurWeek,3,1)),""))</f>
        <v/>
      </c>
      <c r="AF64" s="66" t="str">
        <f aca="false">IF(OR($D64="",$E64=""),"",IF(AND(AF$5&gt;=$D64,AF$5&lt;=$E64),IF(AF$5-$D64+1&lt;=ROUND(($E64-$D64+1)*$F64,0),2,IF(AF$5&lt;CFG_CurWeek,3,1)),""))</f>
        <v/>
      </c>
      <c r="AG64" s="66" t="str">
        <f aca="false">IF(OR($D64="",$E64=""),"",IF(AND(AG$5&gt;=$D64,AG$5&lt;=$E64),IF(AG$5-$D64+1&lt;=ROUND(($E64-$D64+1)*$F64,0),2,IF(AG$5&lt;CFG_CurWeek,3,1)),""))</f>
        <v/>
      </c>
      <c r="AH64" s="66" t="n">
        <f aca="false">IF(OR($D64="",$E64=""),"",IF(AND(AH$5&gt;=$D64,AH$5&lt;=$E64),IF(AH$5-$D64+1&lt;=ROUND(($E64-$D64+1)*$F64,0),2,IF(AH$5&lt;CFG_CurWeek,3,1)),""))</f>
        <v>1</v>
      </c>
      <c r="AI64" s="66" t="str">
        <f aca="false">IF(OR($D64="",$E64=""),"",IF(AND(AI$5&gt;=$D64,AI$5&lt;=$E64),IF(AI$5-$D64+1&lt;=ROUND(($E64-$D64+1)*$F64,0),2,IF(AI$5&lt;CFG_CurWeek,3,1)),""))</f>
        <v/>
      </c>
      <c r="AJ64" s="66" t="str">
        <f aca="false">IF(OR($D64="",$E64=""),"",IF(AND(AJ$5&gt;=$D64,AJ$5&lt;=$E64),IF(AJ$5-$D64+1&lt;=ROUND(($E64-$D64+1)*$F64,0),2,IF(AJ$5&lt;CFG_CurWeek,3,1)),""))</f>
        <v/>
      </c>
      <c r="AK64" s="66" t="str">
        <f aca="false">IF(OR($D64="",$E64=""),"",IF(AND(AK$5&gt;=$D64,AK$5&lt;=$E64),IF(AK$5-$D64+1&lt;=ROUND(($E64-$D64+1)*$F64,0),2,IF(AK$5&lt;CFG_CurWeek,3,1)),""))</f>
        <v/>
      </c>
      <c r="AL64" s="66" t="str">
        <f aca="false">IF(OR($D64="",$E64=""),"",IF(AND(AL$5&gt;=$D64,AL$5&lt;=$E64),IF(AL$5-$D64+1&lt;=ROUND(($E64-$D64+1)*$F64,0),2,IF(AL$5&lt;CFG_CurWeek,3,1)),""))</f>
        <v/>
      </c>
      <c r="AM64" s="66" t="str">
        <f aca="false">IF(OR($D64="",$E64=""),"",IF(AND(AM$5&gt;=$D64,AM$5&lt;=$E64),IF(AM$5-$D64+1&lt;=ROUND(($E64-$D64+1)*$F64,0),2,IF(AM$5&lt;CFG_CurWeek,3,1)),""))</f>
        <v/>
      </c>
      <c r="AN64" s="66" t="str">
        <f aca="false">IF(OR($D64="",$E64=""),"",IF(AND(AN$5&gt;=$D64,AN$5&lt;=$E64),IF(AN$5-$D64+1&lt;=ROUND(($E64-$D64+1)*$F64,0),2,IF(AN$5&lt;CFG_CurWeek,3,1)),""))</f>
        <v/>
      </c>
      <c r="AO64" s="66" t="str">
        <f aca="false">IF(OR($D64="",$E64=""),"",IF(AND(AO$5&gt;=$D64,AO$5&lt;=$E64),IF(AO$5-$D64+1&lt;=ROUND(($E64-$D64+1)*$F64,0),2,IF(AO$5&lt;CFG_CurWeek,3,1)),""))</f>
        <v/>
      </c>
    </row>
    <row r="65" customFormat="false" ht="15" hidden="false" customHeight="false" outlineLevel="0" collapsed="false">
      <c r="A65" s="63" t="str">
        <f aca="false">IF('01_WBS &amp; Master Plan'!A62="","",'01_WBS &amp; Master Plan'!A62)</f>
        <v>7.7</v>
      </c>
      <c r="B65" s="64" t="str">
        <f aca="false">IF('01_WBS &amp; Master Plan'!D62="","",'01_WBS &amp; Master Plan'!D62)</f>
        <v>Beta test với 5–10 người dùng thật, thu phản hồi vào sheet 04</v>
      </c>
      <c r="C65" s="63" t="str">
        <f aca="false">IF('01_WBS &amp; Master Plan'!E62="","",'01_WBS &amp; Master Plan'!E62)</f>
        <v>Nhật</v>
      </c>
      <c r="D65" s="63" t="n">
        <f aca="false">IF('01_WBS &amp; Master Plan'!H62="","",'01_WBS &amp; Master Plan'!H62)</f>
        <v>27</v>
      </c>
      <c r="E65" s="63" t="n">
        <f aca="false">IF('01_WBS &amp; Master Plan'!I62="","",'01_WBS &amp; Master Plan'!I62)</f>
        <v>27</v>
      </c>
      <c r="F65" s="65" t="n">
        <f aca="false">IF(B65="","",IF('01_WBS &amp; Master Plan'!K62="Done",1,IF('01_WBS &amp; Master Plan'!L62="",0,'01_WBS &amp; Master Plan'!L62)))</f>
        <v>0</v>
      </c>
      <c r="G65" s="63" t="str">
        <f aca="false">IF('01_WBS &amp; Master Plan'!K62="","",'01_WBS &amp; Master Plan'!K62)</f>
        <v>To Do</v>
      </c>
      <c r="H65" s="66" t="str">
        <f aca="false">IF(OR($D65="",$E65=""),"",IF(AND(H$5&gt;=$D65,H$5&lt;=$E65),IF(H$5-$D65+1&lt;=ROUND(($E65-$D65+1)*$F65,0),2,IF(H$5&lt;CFG_CurWeek,3,1)),""))</f>
        <v/>
      </c>
      <c r="I65" s="66" t="str">
        <f aca="false">IF(OR($D65="",$E65=""),"",IF(AND(I$5&gt;=$D65,I$5&lt;=$E65),IF(I$5-$D65+1&lt;=ROUND(($E65-$D65+1)*$F65,0),2,IF(I$5&lt;CFG_CurWeek,3,1)),""))</f>
        <v/>
      </c>
      <c r="J65" s="66" t="str">
        <f aca="false">IF(OR($D65="",$E65=""),"",IF(AND(J$5&gt;=$D65,J$5&lt;=$E65),IF(J$5-$D65+1&lt;=ROUND(($E65-$D65+1)*$F65,0),2,IF(J$5&lt;CFG_CurWeek,3,1)),""))</f>
        <v/>
      </c>
      <c r="K65" s="66" t="str">
        <f aca="false">IF(OR($D65="",$E65=""),"",IF(AND(K$5&gt;=$D65,K$5&lt;=$E65),IF(K$5-$D65+1&lt;=ROUND(($E65-$D65+1)*$F65,0),2,IF(K$5&lt;CFG_CurWeek,3,1)),""))</f>
        <v/>
      </c>
      <c r="L65" s="66" t="str">
        <f aca="false">IF(OR($D65="",$E65=""),"",IF(AND(L$5&gt;=$D65,L$5&lt;=$E65),IF(L$5-$D65+1&lt;=ROUND(($E65-$D65+1)*$F65,0),2,IF(L$5&lt;CFG_CurWeek,3,1)),""))</f>
        <v/>
      </c>
      <c r="M65" s="66" t="str">
        <f aca="false">IF(OR($D65="",$E65=""),"",IF(AND(M$5&gt;=$D65,M$5&lt;=$E65),IF(M$5-$D65+1&lt;=ROUND(($E65-$D65+1)*$F65,0),2,IF(M$5&lt;CFG_CurWeek,3,1)),""))</f>
        <v/>
      </c>
      <c r="N65" s="66" t="str">
        <f aca="false">IF(OR($D65="",$E65=""),"",IF(AND(N$5&gt;=$D65,N$5&lt;=$E65),IF(N$5-$D65+1&lt;=ROUND(($E65-$D65+1)*$F65,0),2,IF(N$5&lt;CFG_CurWeek,3,1)),""))</f>
        <v/>
      </c>
      <c r="O65" s="66" t="str">
        <f aca="false">IF(OR($D65="",$E65=""),"",IF(AND(O$5&gt;=$D65,O$5&lt;=$E65),IF(O$5-$D65+1&lt;=ROUND(($E65-$D65+1)*$F65,0),2,IF(O$5&lt;CFG_CurWeek,3,1)),""))</f>
        <v/>
      </c>
      <c r="P65" s="66" t="str">
        <f aca="false">IF(OR($D65="",$E65=""),"",IF(AND(P$5&gt;=$D65,P$5&lt;=$E65),IF(P$5-$D65+1&lt;=ROUND(($E65-$D65+1)*$F65,0),2,IF(P$5&lt;CFG_CurWeek,3,1)),""))</f>
        <v/>
      </c>
      <c r="Q65" s="66" t="str">
        <f aca="false">IF(OR($D65="",$E65=""),"",IF(AND(Q$5&gt;=$D65,Q$5&lt;=$E65),IF(Q$5-$D65+1&lt;=ROUND(($E65-$D65+1)*$F65,0),2,IF(Q$5&lt;CFG_CurWeek,3,1)),""))</f>
        <v/>
      </c>
      <c r="R65" s="66" t="str">
        <f aca="false">IF(OR($D65="",$E65=""),"",IF(AND(R$5&gt;=$D65,R$5&lt;=$E65),IF(R$5-$D65+1&lt;=ROUND(($E65-$D65+1)*$F65,0),2,IF(R$5&lt;CFG_CurWeek,3,1)),""))</f>
        <v/>
      </c>
      <c r="S65" s="66" t="str">
        <f aca="false">IF(OR($D65="",$E65=""),"",IF(AND(S$5&gt;=$D65,S$5&lt;=$E65),IF(S$5-$D65+1&lt;=ROUND(($E65-$D65+1)*$F65,0),2,IF(S$5&lt;CFG_CurWeek,3,1)),""))</f>
        <v/>
      </c>
      <c r="T65" s="66" t="str">
        <f aca="false">IF(OR($D65="",$E65=""),"",IF(AND(T$5&gt;=$D65,T$5&lt;=$E65),IF(T$5-$D65+1&lt;=ROUND(($E65-$D65+1)*$F65,0),2,IF(T$5&lt;CFG_CurWeek,3,1)),""))</f>
        <v/>
      </c>
      <c r="U65" s="66" t="str">
        <f aca="false">IF(OR($D65="",$E65=""),"",IF(AND(U$5&gt;=$D65,U$5&lt;=$E65),IF(U$5-$D65+1&lt;=ROUND(($E65-$D65+1)*$F65,0),2,IF(U$5&lt;CFG_CurWeek,3,1)),""))</f>
        <v/>
      </c>
      <c r="V65" s="66" t="str">
        <f aca="false">IF(OR($D65="",$E65=""),"",IF(AND(V$5&gt;=$D65,V$5&lt;=$E65),IF(V$5-$D65+1&lt;=ROUND(($E65-$D65+1)*$F65,0),2,IF(V$5&lt;CFG_CurWeek,3,1)),""))</f>
        <v/>
      </c>
      <c r="W65" s="66" t="str">
        <f aca="false">IF(OR($D65="",$E65=""),"",IF(AND(W$5&gt;=$D65,W$5&lt;=$E65),IF(W$5-$D65+1&lt;=ROUND(($E65-$D65+1)*$F65,0),2,IF(W$5&lt;CFG_CurWeek,3,1)),""))</f>
        <v/>
      </c>
      <c r="X65" s="66" t="str">
        <f aca="false">IF(OR($D65="",$E65=""),"",IF(AND(X$5&gt;=$D65,X$5&lt;=$E65),IF(X$5-$D65+1&lt;=ROUND(($E65-$D65+1)*$F65,0),2,IF(X$5&lt;CFG_CurWeek,3,1)),""))</f>
        <v/>
      </c>
      <c r="Y65" s="66" t="str">
        <f aca="false">IF(OR($D65="",$E65=""),"",IF(AND(Y$5&gt;=$D65,Y$5&lt;=$E65),IF(Y$5-$D65+1&lt;=ROUND(($E65-$D65+1)*$F65,0),2,IF(Y$5&lt;CFG_CurWeek,3,1)),""))</f>
        <v/>
      </c>
      <c r="Z65" s="66" t="str">
        <f aca="false">IF(OR($D65="",$E65=""),"",IF(AND(Z$5&gt;=$D65,Z$5&lt;=$E65),IF(Z$5-$D65+1&lt;=ROUND(($E65-$D65+1)*$F65,0),2,IF(Z$5&lt;CFG_CurWeek,3,1)),""))</f>
        <v/>
      </c>
      <c r="AA65" s="66" t="str">
        <f aca="false">IF(OR($D65="",$E65=""),"",IF(AND(AA$5&gt;=$D65,AA$5&lt;=$E65),IF(AA$5-$D65+1&lt;=ROUND(($E65-$D65+1)*$F65,0),2,IF(AA$5&lt;CFG_CurWeek,3,1)),""))</f>
        <v/>
      </c>
      <c r="AB65" s="66" t="str">
        <f aca="false">IF(OR($D65="",$E65=""),"",IF(AND(AB$5&gt;=$D65,AB$5&lt;=$E65),IF(AB$5-$D65+1&lt;=ROUND(($E65-$D65+1)*$F65,0),2,IF(AB$5&lt;CFG_CurWeek,3,1)),""))</f>
        <v/>
      </c>
      <c r="AC65" s="66" t="str">
        <f aca="false">IF(OR($D65="",$E65=""),"",IF(AND(AC$5&gt;=$D65,AC$5&lt;=$E65),IF(AC$5-$D65+1&lt;=ROUND(($E65-$D65+1)*$F65,0),2,IF(AC$5&lt;CFG_CurWeek,3,1)),""))</f>
        <v/>
      </c>
      <c r="AD65" s="66" t="str">
        <f aca="false">IF(OR($D65="",$E65=""),"",IF(AND(AD$5&gt;=$D65,AD$5&lt;=$E65),IF(AD$5-$D65+1&lt;=ROUND(($E65-$D65+1)*$F65,0),2,IF(AD$5&lt;CFG_CurWeek,3,1)),""))</f>
        <v/>
      </c>
      <c r="AE65" s="66" t="str">
        <f aca="false">IF(OR($D65="",$E65=""),"",IF(AND(AE$5&gt;=$D65,AE$5&lt;=$E65),IF(AE$5-$D65+1&lt;=ROUND(($E65-$D65+1)*$F65,0),2,IF(AE$5&lt;CFG_CurWeek,3,1)),""))</f>
        <v/>
      </c>
      <c r="AF65" s="66" t="str">
        <f aca="false">IF(OR($D65="",$E65=""),"",IF(AND(AF$5&gt;=$D65,AF$5&lt;=$E65),IF(AF$5-$D65+1&lt;=ROUND(($E65-$D65+1)*$F65,0),2,IF(AF$5&lt;CFG_CurWeek,3,1)),""))</f>
        <v/>
      </c>
      <c r="AG65" s="66" t="str">
        <f aca="false">IF(OR($D65="",$E65=""),"",IF(AND(AG$5&gt;=$D65,AG$5&lt;=$E65),IF(AG$5-$D65+1&lt;=ROUND(($E65-$D65+1)*$F65,0),2,IF(AG$5&lt;CFG_CurWeek,3,1)),""))</f>
        <v/>
      </c>
      <c r="AH65" s="66" t="n">
        <f aca="false">IF(OR($D65="",$E65=""),"",IF(AND(AH$5&gt;=$D65,AH$5&lt;=$E65),IF(AH$5-$D65+1&lt;=ROUND(($E65-$D65+1)*$F65,0),2,IF(AH$5&lt;CFG_CurWeek,3,1)),""))</f>
        <v>1</v>
      </c>
      <c r="AI65" s="66" t="str">
        <f aca="false">IF(OR($D65="",$E65=""),"",IF(AND(AI$5&gt;=$D65,AI$5&lt;=$E65),IF(AI$5-$D65+1&lt;=ROUND(($E65-$D65+1)*$F65,0),2,IF(AI$5&lt;CFG_CurWeek,3,1)),""))</f>
        <v/>
      </c>
      <c r="AJ65" s="66" t="str">
        <f aca="false">IF(OR($D65="",$E65=""),"",IF(AND(AJ$5&gt;=$D65,AJ$5&lt;=$E65),IF(AJ$5-$D65+1&lt;=ROUND(($E65-$D65+1)*$F65,0),2,IF(AJ$5&lt;CFG_CurWeek,3,1)),""))</f>
        <v/>
      </c>
      <c r="AK65" s="66" t="str">
        <f aca="false">IF(OR($D65="",$E65=""),"",IF(AND(AK$5&gt;=$D65,AK$5&lt;=$E65),IF(AK$5-$D65+1&lt;=ROUND(($E65-$D65+1)*$F65,0),2,IF(AK$5&lt;CFG_CurWeek,3,1)),""))</f>
        <v/>
      </c>
      <c r="AL65" s="66" t="str">
        <f aca="false">IF(OR($D65="",$E65=""),"",IF(AND(AL$5&gt;=$D65,AL$5&lt;=$E65),IF(AL$5-$D65+1&lt;=ROUND(($E65-$D65+1)*$F65,0),2,IF(AL$5&lt;CFG_CurWeek,3,1)),""))</f>
        <v/>
      </c>
      <c r="AM65" s="66" t="str">
        <f aca="false">IF(OR($D65="",$E65=""),"",IF(AND(AM$5&gt;=$D65,AM$5&lt;=$E65),IF(AM$5-$D65+1&lt;=ROUND(($E65-$D65+1)*$F65,0),2,IF(AM$5&lt;CFG_CurWeek,3,1)),""))</f>
        <v/>
      </c>
      <c r="AN65" s="66" t="str">
        <f aca="false">IF(OR($D65="",$E65=""),"",IF(AND(AN$5&gt;=$D65,AN$5&lt;=$E65),IF(AN$5-$D65+1&lt;=ROUND(($E65-$D65+1)*$F65,0),2,IF(AN$5&lt;CFG_CurWeek,3,1)),""))</f>
        <v/>
      </c>
      <c r="AO65" s="66" t="str">
        <f aca="false">IF(OR($D65="",$E65=""),"",IF(AND(AO$5&gt;=$D65,AO$5&lt;=$E65),IF(AO$5-$D65+1&lt;=ROUND(($E65-$D65+1)*$F65,0),2,IF(AO$5&lt;CFG_CurWeek,3,1)),""))</f>
        <v/>
      </c>
    </row>
    <row r="66" customFormat="false" ht="15" hidden="false" customHeight="false" outlineLevel="0" collapsed="false">
      <c r="A66" s="63" t="str">
        <f aca="false">IF('01_WBS &amp; Master Plan'!A63="","",'01_WBS &amp; Master Plan'!A63)</f>
        <v>8.1</v>
      </c>
      <c r="B66" s="64" t="str">
        <f aca="false">IF('01_WBS &amp; Master Plan'!D63="","",'01_WBS &amp; Master Plan'!D63)</f>
        <v>Học PWA: manifest, Service Worker, Cache API, IndexedDB, storage quota</v>
      </c>
      <c r="C66" s="63" t="str">
        <f aca="false">IF('01_WBS &amp; Master Plan'!E63="","",'01_WBS &amp; Master Plan'!E63)</f>
        <v>Nhật</v>
      </c>
      <c r="D66" s="63" t="n">
        <f aca="false">IF('01_WBS &amp; Master Plan'!H63="","",'01_WBS &amp; Master Plan'!H63)</f>
        <v>28</v>
      </c>
      <c r="E66" s="63" t="n">
        <f aca="false">IF('01_WBS &amp; Master Plan'!I63="","",'01_WBS &amp; Master Plan'!I63)</f>
        <v>28</v>
      </c>
      <c r="F66" s="65" t="n">
        <f aca="false">IF(B66="","",IF('01_WBS &amp; Master Plan'!K63="Done",1,IF('01_WBS &amp; Master Plan'!L63="",0,'01_WBS &amp; Master Plan'!L63)))</f>
        <v>0</v>
      </c>
      <c r="G66" s="63" t="str">
        <f aca="false">IF('01_WBS &amp; Master Plan'!K63="","",'01_WBS &amp; Master Plan'!K63)</f>
        <v>To Do</v>
      </c>
      <c r="H66" s="66" t="str">
        <f aca="false">IF(OR($D66="",$E66=""),"",IF(AND(H$5&gt;=$D66,H$5&lt;=$E66),IF(H$5-$D66+1&lt;=ROUND(($E66-$D66+1)*$F66,0),2,IF(H$5&lt;CFG_CurWeek,3,1)),""))</f>
        <v/>
      </c>
      <c r="I66" s="66" t="str">
        <f aca="false">IF(OR($D66="",$E66=""),"",IF(AND(I$5&gt;=$D66,I$5&lt;=$E66),IF(I$5-$D66+1&lt;=ROUND(($E66-$D66+1)*$F66,0),2,IF(I$5&lt;CFG_CurWeek,3,1)),""))</f>
        <v/>
      </c>
      <c r="J66" s="66" t="str">
        <f aca="false">IF(OR($D66="",$E66=""),"",IF(AND(J$5&gt;=$D66,J$5&lt;=$E66),IF(J$5-$D66+1&lt;=ROUND(($E66-$D66+1)*$F66,0),2,IF(J$5&lt;CFG_CurWeek,3,1)),""))</f>
        <v/>
      </c>
      <c r="K66" s="66" t="str">
        <f aca="false">IF(OR($D66="",$E66=""),"",IF(AND(K$5&gt;=$D66,K$5&lt;=$E66),IF(K$5-$D66+1&lt;=ROUND(($E66-$D66+1)*$F66,0),2,IF(K$5&lt;CFG_CurWeek,3,1)),""))</f>
        <v/>
      </c>
      <c r="L66" s="66" t="str">
        <f aca="false">IF(OR($D66="",$E66=""),"",IF(AND(L$5&gt;=$D66,L$5&lt;=$E66),IF(L$5-$D66+1&lt;=ROUND(($E66-$D66+1)*$F66,0),2,IF(L$5&lt;CFG_CurWeek,3,1)),""))</f>
        <v/>
      </c>
      <c r="M66" s="66" t="str">
        <f aca="false">IF(OR($D66="",$E66=""),"",IF(AND(M$5&gt;=$D66,M$5&lt;=$E66),IF(M$5-$D66+1&lt;=ROUND(($E66-$D66+1)*$F66,0),2,IF(M$5&lt;CFG_CurWeek,3,1)),""))</f>
        <v/>
      </c>
      <c r="N66" s="66" t="str">
        <f aca="false">IF(OR($D66="",$E66=""),"",IF(AND(N$5&gt;=$D66,N$5&lt;=$E66),IF(N$5-$D66+1&lt;=ROUND(($E66-$D66+1)*$F66,0),2,IF(N$5&lt;CFG_CurWeek,3,1)),""))</f>
        <v/>
      </c>
      <c r="O66" s="66" t="str">
        <f aca="false">IF(OR($D66="",$E66=""),"",IF(AND(O$5&gt;=$D66,O$5&lt;=$E66),IF(O$5-$D66+1&lt;=ROUND(($E66-$D66+1)*$F66,0),2,IF(O$5&lt;CFG_CurWeek,3,1)),""))</f>
        <v/>
      </c>
      <c r="P66" s="66" t="str">
        <f aca="false">IF(OR($D66="",$E66=""),"",IF(AND(P$5&gt;=$D66,P$5&lt;=$E66),IF(P$5-$D66+1&lt;=ROUND(($E66-$D66+1)*$F66,0),2,IF(P$5&lt;CFG_CurWeek,3,1)),""))</f>
        <v/>
      </c>
      <c r="Q66" s="66" t="str">
        <f aca="false">IF(OR($D66="",$E66=""),"",IF(AND(Q$5&gt;=$D66,Q$5&lt;=$E66),IF(Q$5-$D66+1&lt;=ROUND(($E66-$D66+1)*$F66,0),2,IF(Q$5&lt;CFG_CurWeek,3,1)),""))</f>
        <v/>
      </c>
      <c r="R66" s="66" t="str">
        <f aca="false">IF(OR($D66="",$E66=""),"",IF(AND(R$5&gt;=$D66,R$5&lt;=$E66),IF(R$5-$D66+1&lt;=ROUND(($E66-$D66+1)*$F66,0),2,IF(R$5&lt;CFG_CurWeek,3,1)),""))</f>
        <v/>
      </c>
      <c r="S66" s="66" t="str">
        <f aca="false">IF(OR($D66="",$E66=""),"",IF(AND(S$5&gt;=$D66,S$5&lt;=$E66),IF(S$5-$D66+1&lt;=ROUND(($E66-$D66+1)*$F66,0),2,IF(S$5&lt;CFG_CurWeek,3,1)),""))</f>
        <v/>
      </c>
      <c r="T66" s="66" t="str">
        <f aca="false">IF(OR($D66="",$E66=""),"",IF(AND(T$5&gt;=$D66,T$5&lt;=$E66),IF(T$5-$D66+1&lt;=ROUND(($E66-$D66+1)*$F66,0),2,IF(T$5&lt;CFG_CurWeek,3,1)),""))</f>
        <v/>
      </c>
      <c r="U66" s="66" t="str">
        <f aca="false">IF(OR($D66="",$E66=""),"",IF(AND(U$5&gt;=$D66,U$5&lt;=$E66),IF(U$5-$D66+1&lt;=ROUND(($E66-$D66+1)*$F66,0),2,IF(U$5&lt;CFG_CurWeek,3,1)),""))</f>
        <v/>
      </c>
      <c r="V66" s="66" t="str">
        <f aca="false">IF(OR($D66="",$E66=""),"",IF(AND(V$5&gt;=$D66,V$5&lt;=$E66),IF(V$5-$D66+1&lt;=ROUND(($E66-$D66+1)*$F66,0),2,IF(V$5&lt;CFG_CurWeek,3,1)),""))</f>
        <v/>
      </c>
      <c r="W66" s="66" t="str">
        <f aca="false">IF(OR($D66="",$E66=""),"",IF(AND(W$5&gt;=$D66,W$5&lt;=$E66),IF(W$5-$D66+1&lt;=ROUND(($E66-$D66+1)*$F66,0),2,IF(W$5&lt;CFG_CurWeek,3,1)),""))</f>
        <v/>
      </c>
      <c r="X66" s="66" t="str">
        <f aca="false">IF(OR($D66="",$E66=""),"",IF(AND(X$5&gt;=$D66,X$5&lt;=$E66),IF(X$5-$D66+1&lt;=ROUND(($E66-$D66+1)*$F66,0),2,IF(X$5&lt;CFG_CurWeek,3,1)),""))</f>
        <v/>
      </c>
      <c r="Y66" s="66" t="str">
        <f aca="false">IF(OR($D66="",$E66=""),"",IF(AND(Y$5&gt;=$D66,Y$5&lt;=$E66),IF(Y$5-$D66+1&lt;=ROUND(($E66-$D66+1)*$F66,0),2,IF(Y$5&lt;CFG_CurWeek,3,1)),""))</f>
        <v/>
      </c>
      <c r="Z66" s="66" t="str">
        <f aca="false">IF(OR($D66="",$E66=""),"",IF(AND(Z$5&gt;=$D66,Z$5&lt;=$E66),IF(Z$5-$D66+1&lt;=ROUND(($E66-$D66+1)*$F66,0),2,IF(Z$5&lt;CFG_CurWeek,3,1)),""))</f>
        <v/>
      </c>
      <c r="AA66" s="66" t="str">
        <f aca="false">IF(OR($D66="",$E66=""),"",IF(AND(AA$5&gt;=$D66,AA$5&lt;=$E66),IF(AA$5-$D66+1&lt;=ROUND(($E66-$D66+1)*$F66,0),2,IF(AA$5&lt;CFG_CurWeek,3,1)),""))</f>
        <v/>
      </c>
      <c r="AB66" s="66" t="str">
        <f aca="false">IF(OR($D66="",$E66=""),"",IF(AND(AB$5&gt;=$D66,AB$5&lt;=$E66),IF(AB$5-$D66+1&lt;=ROUND(($E66-$D66+1)*$F66,0),2,IF(AB$5&lt;CFG_CurWeek,3,1)),""))</f>
        <v/>
      </c>
      <c r="AC66" s="66" t="str">
        <f aca="false">IF(OR($D66="",$E66=""),"",IF(AND(AC$5&gt;=$D66,AC$5&lt;=$E66),IF(AC$5-$D66+1&lt;=ROUND(($E66-$D66+1)*$F66,0),2,IF(AC$5&lt;CFG_CurWeek,3,1)),""))</f>
        <v/>
      </c>
      <c r="AD66" s="66" t="str">
        <f aca="false">IF(OR($D66="",$E66=""),"",IF(AND(AD$5&gt;=$D66,AD$5&lt;=$E66),IF(AD$5-$D66+1&lt;=ROUND(($E66-$D66+1)*$F66,0),2,IF(AD$5&lt;CFG_CurWeek,3,1)),""))</f>
        <v/>
      </c>
      <c r="AE66" s="66" t="str">
        <f aca="false">IF(OR($D66="",$E66=""),"",IF(AND(AE$5&gt;=$D66,AE$5&lt;=$E66),IF(AE$5-$D66+1&lt;=ROUND(($E66-$D66+1)*$F66,0),2,IF(AE$5&lt;CFG_CurWeek,3,1)),""))</f>
        <v/>
      </c>
      <c r="AF66" s="66" t="str">
        <f aca="false">IF(OR($D66="",$E66=""),"",IF(AND(AF$5&gt;=$D66,AF$5&lt;=$E66),IF(AF$5-$D66+1&lt;=ROUND(($E66-$D66+1)*$F66,0),2,IF(AF$5&lt;CFG_CurWeek,3,1)),""))</f>
        <v/>
      </c>
      <c r="AG66" s="66" t="str">
        <f aca="false">IF(OR($D66="",$E66=""),"",IF(AND(AG$5&gt;=$D66,AG$5&lt;=$E66),IF(AG$5-$D66+1&lt;=ROUND(($E66-$D66+1)*$F66,0),2,IF(AG$5&lt;CFG_CurWeek,3,1)),""))</f>
        <v/>
      </c>
      <c r="AH66" s="66" t="str">
        <f aca="false">IF(OR($D66="",$E66=""),"",IF(AND(AH$5&gt;=$D66,AH$5&lt;=$E66),IF(AH$5-$D66+1&lt;=ROUND(($E66-$D66+1)*$F66,0),2,IF(AH$5&lt;CFG_CurWeek,3,1)),""))</f>
        <v/>
      </c>
      <c r="AI66" s="66" t="n">
        <f aca="false">IF(OR($D66="",$E66=""),"",IF(AND(AI$5&gt;=$D66,AI$5&lt;=$E66),IF(AI$5-$D66+1&lt;=ROUND(($E66-$D66+1)*$F66,0),2,IF(AI$5&lt;CFG_CurWeek,3,1)),""))</f>
        <v>1</v>
      </c>
      <c r="AJ66" s="66" t="str">
        <f aca="false">IF(OR($D66="",$E66=""),"",IF(AND(AJ$5&gt;=$D66,AJ$5&lt;=$E66),IF(AJ$5-$D66+1&lt;=ROUND(($E66-$D66+1)*$F66,0),2,IF(AJ$5&lt;CFG_CurWeek,3,1)),""))</f>
        <v/>
      </c>
      <c r="AK66" s="66" t="str">
        <f aca="false">IF(OR($D66="",$E66=""),"",IF(AND(AK$5&gt;=$D66,AK$5&lt;=$E66),IF(AK$5-$D66+1&lt;=ROUND(($E66-$D66+1)*$F66,0),2,IF(AK$5&lt;CFG_CurWeek,3,1)),""))</f>
        <v/>
      </c>
      <c r="AL66" s="66" t="str">
        <f aca="false">IF(OR($D66="",$E66=""),"",IF(AND(AL$5&gt;=$D66,AL$5&lt;=$E66),IF(AL$5-$D66+1&lt;=ROUND(($E66-$D66+1)*$F66,0),2,IF(AL$5&lt;CFG_CurWeek,3,1)),""))</f>
        <v/>
      </c>
      <c r="AM66" s="66" t="str">
        <f aca="false">IF(OR($D66="",$E66=""),"",IF(AND(AM$5&gt;=$D66,AM$5&lt;=$E66),IF(AM$5-$D66+1&lt;=ROUND(($E66-$D66+1)*$F66,0),2,IF(AM$5&lt;CFG_CurWeek,3,1)),""))</f>
        <v/>
      </c>
      <c r="AN66" s="66" t="str">
        <f aca="false">IF(OR($D66="",$E66=""),"",IF(AND(AN$5&gt;=$D66,AN$5&lt;=$E66),IF(AN$5-$D66+1&lt;=ROUND(($E66-$D66+1)*$F66,0),2,IF(AN$5&lt;CFG_CurWeek,3,1)),""))</f>
        <v/>
      </c>
      <c r="AO66" s="66" t="str">
        <f aca="false">IF(OR($D66="",$E66=""),"",IF(AND(AO$5&gt;=$D66,AO$5&lt;=$E66),IF(AO$5-$D66+1&lt;=ROUND(($E66-$D66+1)*$F66,0),2,IF(AO$5&lt;CFG_CurWeek,3,1)),""))</f>
        <v/>
      </c>
    </row>
    <row r="67" customFormat="false" ht="15" hidden="false" customHeight="false" outlineLevel="0" collapsed="false">
      <c r="A67" s="63" t="str">
        <f aca="false">IF('01_WBS &amp; Master Plan'!A64="","",'01_WBS &amp; Master Plan'!A64)</f>
        <v>8.2</v>
      </c>
      <c r="B67" s="64" t="str">
        <f aca="false">IF('01_WBS &amp; Master Plan'!D64="","",'01_WBS &amp; Master Plan'!D64)</f>
        <v>Cấu hình vite-plugin-pwa (Workbox); cài app lên màn hình chính</v>
      </c>
      <c r="C67" s="63" t="str">
        <f aca="false">IF('01_WBS &amp; Master Plan'!E64="","",'01_WBS &amp; Master Plan'!E64)</f>
        <v>Nhật</v>
      </c>
      <c r="D67" s="63" t="n">
        <f aca="false">IF('01_WBS &amp; Master Plan'!H64="","",'01_WBS &amp; Master Plan'!H64)</f>
        <v>28</v>
      </c>
      <c r="E67" s="63" t="n">
        <f aca="false">IF('01_WBS &amp; Master Plan'!I64="","",'01_WBS &amp; Master Plan'!I64)</f>
        <v>28</v>
      </c>
      <c r="F67" s="65" t="n">
        <f aca="false">IF(B67="","",IF('01_WBS &amp; Master Plan'!K64="Done",1,IF('01_WBS &amp; Master Plan'!L64="",0,'01_WBS &amp; Master Plan'!L64)))</f>
        <v>0</v>
      </c>
      <c r="G67" s="63" t="str">
        <f aca="false">IF('01_WBS &amp; Master Plan'!K64="","",'01_WBS &amp; Master Plan'!K64)</f>
        <v>To Do</v>
      </c>
      <c r="H67" s="66" t="str">
        <f aca="false">IF(OR($D67="",$E67=""),"",IF(AND(H$5&gt;=$D67,H$5&lt;=$E67),IF(H$5-$D67+1&lt;=ROUND(($E67-$D67+1)*$F67,0),2,IF(H$5&lt;CFG_CurWeek,3,1)),""))</f>
        <v/>
      </c>
      <c r="I67" s="66" t="str">
        <f aca="false">IF(OR($D67="",$E67=""),"",IF(AND(I$5&gt;=$D67,I$5&lt;=$E67),IF(I$5-$D67+1&lt;=ROUND(($E67-$D67+1)*$F67,0),2,IF(I$5&lt;CFG_CurWeek,3,1)),""))</f>
        <v/>
      </c>
      <c r="J67" s="66" t="str">
        <f aca="false">IF(OR($D67="",$E67=""),"",IF(AND(J$5&gt;=$D67,J$5&lt;=$E67),IF(J$5-$D67+1&lt;=ROUND(($E67-$D67+1)*$F67,0),2,IF(J$5&lt;CFG_CurWeek,3,1)),""))</f>
        <v/>
      </c>
      <c r="K67" s="66" t="str">
        <f aca="false">IF(OR($D67="",$E67=""),"",IF(AND(K$5&gt;=$D67,K$5&lt;=$E67),IF(K$5-$D67+1&lt;=ROUND(($E67-$D67+1)*$F67,0),2,IF(K$5&lt;CFG_CurWeek,3,1)),""))</f>
        <v/>
      </c>
      <c r="L67" s="66" t="str">
        <f aca="false">IF(OR($D67="",$E67=""),"",IF(AND(L$5&gt;=$D67,L$5&lt;=$E67),IF(L$5-$D67+1&lt;=ROUND(($E67-$D67+1)*$F67,0),2,IF(L$5&lt;CFG_CurWeek,3,1)),""))</f>
        <v/>
      </c>
      <c r="M67" s="66" t="str">
        <f aca="false">IF(OR($D67="",$E67=""),"",IF(AND(M$5&gt;=$D67,M$5&lt;=$E67),IF(M$5-$D67+1&lt;=ROUND(($E67-$D67+1)*$F67,0),2,IF(M$5&lt;CFG_CurWeek,3,1)),""))</f>
        <v/>
      </c>
      <c r="N67" s="66" t="str">
        <f aca="false">IF(OR($D67="",$E67=""),"",IF(AND(N$5&gt;=$D67,N$5&lt;=$E67),IF(N$5-$D67+1&lt;=ROUND(($E67-$D67+1)*$F67,0),2,IF(N$5&lt;CFG_CurWeek,3,1)),""))</f>
        <v/>
      </c>
      <c r="O67" s="66" t="str">
        <f aca="false">IF(OR($D67="",$E67=""),"",IF(AND(O$5&gt;=$D67,O$5&lt;=$E67),IF(O$5-$D67+1&lt;=ROUND(($E67-$D67+1)*$F67,0),2,IF(O$5&lt;CFG_CurWeek,3,1)),""))</f>
        <v/>
      </c>
      <c r="P67" s="66" t="str">
        <f aca="false">IF(OR($D67="",$E67=""),"",IF(AND(P$5&gt;=$D67,P$5&lt;=$E67),IF(P$5-$D67+1&lt;=ROUND(($E67-$D67+1)*$F67,0),2,IF(P$5&lt;CFG_CurWeek,3,1)),""))</f>
        <v/>
      </c>
      <c r="Q67" s="66" t="str">
        <f aca="false">IF(OR($D67="",$E67=""),"",IF(AND(Q$5&gt;=$D67,Q$5&lt;=$E67),IF(Q$5-$D67+1&lt;=ROUND(($E67-$D67+1)*$F67,0),2,IF(Q$5&lt;CFG_CurWeek,3,1)),""))</f>
        <v/>
      </c>
      <c r="R67" s="66" t="str">
        <f aca="false">IF(OR($D67="",$E67=""),"",IF(AND(R$5&gt;=$D67,R$5&lt;=$E67),IF(R$5-$D67+1&lt;=ROUND(($E67-$D67+1)*$F67,0),2,IF(R$5&lt;CFG_CurWeek,3,1)),""))</f>
        <v/>
      </c>
      <c r="S67" s="66" t="str">
        <f aca="false">IF(OR($D67="",$E67=""),"",IF(AND(S$5&gt;=$D67,S$5&lt;=$E67),IF(S$5-$D67+1&lt;=ROUND(($E67-$D67+1)*$F67,0),2,IF(S$5&lt;CFG_CurWeek,3,1)),""))</f>
        <v/>
      </c>
      <c r="T67" s="66" t="str">
        <f aca="false">IF(OR($D67="",$E67=""),"",IF(AND(T$5&gt;=$D67,T$5&lt;=$E67),IF(T$5-$D67+1&lt;=ROUND(($E67-$D67+1)*$F67,0),2,IF(T$5&lt;CFG_CurWeek,3,1)),""))</f>
        <v/>
      </c>
      <c r="U67" s="66" t="str">
        <f aca="false">IF(OR($D67="",$E67=""),"",IF(AND(U$5&gt;=$D67,U$5&lt;=$E67),IF(U$5-$D67+1&lt;=ROUND(($E67-$D67+1)*$F67,0),2,IF(U$5&lt;CFG_CurWeek,3,1)),""))</f>
        <v/>
      </c>
      <c r="V67" s="66" t="str">
        <f aca="false">IF(OR($D67="",$E67=""),"",IF(AND(V$5&gt;=$D67,V$5&lt;=$E67),IF(V$5-$D67+1&lt;=ROUND(($E67-$D67+1)*$F67,0),2,IF(V$5&lt;CFG_CurWeek,3,1)),""))</f>
        <v/>
      </c>
      <c r="W67" s="66" t="str">
        <f aca="false">IF(OR($D67="",$E67=""),"",IF(AND(W$5&gt;=$D67,W$5&lt;=$E67),IF(W$5-$D67+1&lt;=ROUND(($E67-$D67+1)*$F67,0),2,IF(W$5&lt;CFG_CurWeek,3,1)),""))</f>
        <v/>
      </c>
      <c r="X67" s="66" t="str">
        <f aca="false">IF(OR($D67="",$E67=""),"",IF(AND(X$5&gt;=$D67,X$5&lt;=$E67),IF(X$5-$D67+1&lt;=ROUND(($E67-$D67+1)*$F67,0),2,IF(X$5&lt;CFG_CurWeek,3,1)),""))</f>
        <v/>
      </c>
      <c r="Y67" s="66" t="str">
        <f aca="false">IF(OR($D67="",$E67=""),"",IF(AND(Y$5&gt;=$D67,Y$5&lt;=$E67),IF(Y$5-$D67+1&lt;=ROUND(($E67-$D67+1)*$F67,0),2,IF(Y$5&lt;CFG_CurWeek,3,1)),""))</f>
        <v/>
      </c>
      <c r="Z67" s="66" t="str">
        <f aca="false">IF(OR($D67="",$E67=""),"",IF(AND(Z$5&gt;=$D67,Z$5&lt;=$E67),IF(Z$5-$D67+1&lt;=ROUND(($E67-$D67+1)*$F67,0),2,IF(Z$5&lt;CFG_CurWeek,3,1)),""))</f>
        <v/>
      </c>
      <c r="AA67" s="66" t="str">
        <f aca="false">IF(OR($D67="",$E67=""),"",IF(AND(AA$5&gt;=$D67,AA$5&lt;=$E67),IF(AA$5-$D67+1&lt;=ROUND(($E67-$D67+1)*$F67,0),2,IF(AA$5&lt;CFG_CurWeek,3,1)),""))</f>
        <v/>
      </c>
      <c r="AB67" s="66" t="str">
        <f aca="false">IF(OR($D67="",$E67=""),"",IF(AND(AB$5&gt;=$D67,AB$5&lt;=$E67),IF(AB$5-$D67+1&lt;=ROUND(($E67-$D67+1)*$F67,0),2,IF(AB$5&lt;CFG_CurWeek,3,1)),""))</f>
        <v/>
      </c>
      <c r="AC67" s="66" t="str">
        <f aca="false">IF(OR($D67="",$E67=""),"",IF(AND(AC$5&gt;=$D67,AC$5&lt;=$E67),IF(AC$5-$D67+1&lt;=ROUND(($E67-$D67+1)*$F67,0),2,IF(AC$5&lt;CFG_CurWeek,3,1)),""))</f>
        <v/>
      </c>
      <c r="AD67" s="66" t="str">
        <f aca="false">IF(OR($D67="",$E67=""),"",IF(AND(AD$5&gt;=$D67,AD$5&lt;=$E67),IF(AD$5-$D67+1&lt;=ROUND(($E67-$D67+1)*$F67,0),2,IF(AD$5&lt;CFG_CurWeek,3,1)),""))</f>
        <v/>
      </c>
      <c r="AE67" s="66" t="str">
        <f aca="false">IF(OR($D67="",$E67=""),"",IF(AND(AE$5&gt;=$D67,AE$5&lt;=$E67),IF(AE$5-$D67+1&lt;=ROUND(($E67-$D67+1)*$F67,0),2,IF(AE$5&lt;CFG_CurWeek,3,1)),""))</f>
        <v/>
      </c>
      <c r="AF67" s="66" t="str">
        <f aca="false">IF(OR($D67="",$E67=""),"",IF(AND(AF$5&gt;=$D67,AF$5&lt;=$E67),IF(AF$5-$D67+1&lt;=ROUND(($E67-$D67+1)*$F67,0),2,IF(AF$5&lt;CFG_CurWeek,3,1)),""))</f>
        <v/>
      </c>
      <c r="AG67" s="66" t="str">
        <f aca="false">IF(OR($D67="",$E67=""),"",IF(AND(AG$5&gt;=$D67,AG$5&lt;=$E67),IF(AG$5-$D67+1&lt;=ROUND(($E67-$D67+1)*$F67,0),2,IF(AG$5&lt;CFG_CurWeek,3,1)),""))</f>
        <v/>
      </c>
      <c r="AH67" s="66" t="str">
        <f aca="false">IF(OR($D67="",$E67=""),"",IF(AND(AH$5&gt;=$D67,AH$5&lt;=$E67),IF(AH$5-$D67+1&lt;=ROUND(($E67-$D67+1)*$F67,0),2,IF(AH$5&lt;CFG_CurWeek,3,1)),""))</f>
        <v/>
      </c>
      <c r="AI67" s="66" t="n">
        <f aca="false">IF(OR($D67="",$E67=""),"",IF(AND(AI$5&gt;=$D67,AI$5&lt;=$E67),IF(AI$5-$D67+1&lt;=ROUND(($E67-$D67+1)*$F67,0),2,IF(AI$5&lt;CFG_CurWeek,3,1)),""))</f>
        <v>1</v>
      </c>
      <c r="AJ67" s="66" t="str">
        <f aca="false">IF(OR($D67="",$E67=""),"",IF(AND(AJ$5&gt;=$D67,AJ$5&lt;=$E67),IF(AJ$5-$D67+1&lt;=ROUND(($E67-$D67+1)*$F67,0),2,IF(AJ$5&lt;CFG_CurWeek,3,1)),""))</f>
        <v/>
      </c>
      <c r="AK67" s="66" t="str">
        <f aca="false">IF(OR($D67="",$E67=""),"",IF(AND(AK$5&gt;=$D67,AK$5&lt;=$E67),IF(AK$5-$D67+1&lt;=ROUND(($E67-$D67+1)*$F67,0),2,IF(AK$5&lt;CFG_CurWeek,3,1)),""))</f>
        <v/>
      </c>
      <c r="AL67" s="66" t="str">
        <f aca="false">IF(OR($D67="",$E67=""),"",IF(AND(AL$5&gt;=$D67,AL$5&lt;=$E67),IF(AL$5-$D67+1&lt;=ROUND(($E67-$D67+1)*$F67,0),2,IF(AL$5&lt;CFG_CurWeek,3,1)),""))</f>
        <v/>
      </c>
      <c r="AM67" s="66" t="str">
        <f aca="false">IF(OR($D67="",$E67=""),"",IF(AND(AM$5&gt;=$D67,AM$5&lt;=$E67),IF(AM$5-$D67+1&lt;=ROUND(($E67-$D67+1)*$F67,0),2,IF(AM$5&lt;CFG_CurWeek,3,1)),""))</f>
        <v/>
      </c>
      <c r="AN67" s="66" t="str">
        <f aca="false">IF(OR($D67="",$E67=""),"",IF(AND(AN$5&gt;=$D67,AN$5&lt;=$E67),IF(AN$5-$D67+1&lt;=ROUND(($E67-$D67+1)*$F67,0),2,IF(AN$5&lt;CFG_CurWeek,3,1)),""))</f>
        <v/>
      </c>
      <c r="AO67" s="66" t="str">
        <f aca="false">IF(OR($D67="",$E67=""),"",IF(AND(AO$5&gt;=$D67,AO$5&lt;=$E67),IF(AO$5-$D67+1&lt;=ROUND(($E67-$D67+1)*$F67,0),2,IF(AO$5&lt;CFG_CurWeek,3,1)),""))</f>
        <v/>
      </c>
    </row>
    <row r="68" customFormat="false" ht="15" hidden="false" customHeight="false" outlineLevel="0" collapsed="false">
      <c r="A68" s="63" t="str">
        <f aca="false">IF('01_WBS &amp; Master Plan'!A65="","",'01_WBS &amp; Master Plan'!A65)</f>
        <v>8.3</v>
      </c>
      <c r="B68" s="64" t="str">
        <f aca="false">IF('01_WBS &amp; Master Plan'!D65="","",'01_WBS &amp; Master Plan'!D65)</f>
        <v>Nút Tải xuống bài/playlist: lưu audio vào Cache/IndexedDB (chỉ bài license cho phép)</v>
      </c>
      <c r="C68" s="63" t="str">
        <f aca="false">IF('01_WBS &amp; Master Plan'!E65="","",'01_WBS &amp; Master Plan'!E65)</f>
        <v>Nhật</v>
      </c>
      <c r="D68" s="63" t="n">
        <f aca="false">IF('01_WBS &amp; Master Plan'!H65="","",'01_WBS &amp; Master Plan'!H65)</f>
        <v>28</v>
      </c>
      <c r="E68" s="63" t="n">
        <f aca="false">IF('01_WBS &amp; Master Plan'!I65="","",'01_WBS &amp; Master Plan'!I65)</f>
        <v>29</v>
      </c>
      <c r="F68" s="65" t="n">
        <f aca="false">IF(B68="","",IF('01_WBS &amp; Master Plan'!K65="Done",1,IF('01_WBS &amp; Master Plan'!L65="",0,'01_WBS &amp; Master Plan'!L65)))</f>
        <v>0</v>
      </c>
      <c r="G68" s="63" t="str">
        <f aca="false">IF('01_WBS &amp; Master Plan'!K65="","",'01_WBS &amp; Master Plan'!K65)</f>
        <v>To Do</v>
      </c>
      <c r="H68" s="66" t="str">
        <f aca="false">IF(OR($D68="",$E68=""),"",IF(AND(H$5&gt;=$D68,H$5&lt;=$E68),IF(H$5-$D68+1&lt;=ROUND(($E68-$D68+1)*$F68,0),2,IF(H$5&lt;CFG_CurWeek,3,1)),""))</f>
        <v/>
      </c>
      <c r="I68" s="66" t="str">
        <f aca="false">IF(OR($D68="",$E68=""),"",IF(AND(I$5&gt;=$D68,I$5&lt;=$E68),IF(I$5-$D68+1&lt;=ROUND(($E68-$D68+1)*$F68,0),2,IF(I$5&lt;CFG_CurWeek,3,1)),""))</f>
        <v/>
      </c>
      <c r="J68" s="66" t="str">
        <f aca="false">IF(OR($D68="",$E68=""),"",IF(AND(J$5&gt;=$D68,J$5&lt;=$E68),IF(J$5-$D68+1&lt;=ROUND(($E68-$D68+1)*$F68,0),2,IF(J$5&lt;CFG_CurWeek,3,1)),""))</f>
        <v/>
      </c>
      <c r="K68" s="66" t="str">
        <f aca="false">IF(OR($D68="",$E68=""),"",IF(AND(K$5&gt;=$D68,K$5&lt;=$E68),IF(K$5-$D68+1&lt;=ROUND(($E68-$D68+1)*$F68,0),2,IF(K$5&lt;CFG_CurWeek,3,1)),""))</f>
        <v/>
      </c>
      <c r="L68" s="66" t="str">
        <f aca="false">IF(OR($D68="",$E68=""),"",IF(AND(L$5&gt;=$D68,L$5&lt;=$E68),IF(L$5-$D68+1&lt;=ROUND(($E68-$D68+1)*$F68,0),2,IF(L$5&lt;CFG_CurWeek,3,1)),""))</f>
        <v/>
      </c>
      <c r="M68" s="66" t="str">
        <f aca="false">IF(OR($D68="",$E68=""),"",IF(AND(M$5&gt;=$D68,M$5&lt;=$E68),IF(M$5-$D68+1&lt;=ROUND(($E68-$D68+1)*$F68,0),2,IF(M$5&lt;CFG_CurWeek,3,1)),""))</f>
        <v/>
      </c>
      <c r="N68" s="66" t="str">
        <f aca="false">IF(OR($D68="",$E68=""),"",IF(AND(N$5&gt;=$D68,N$5&lt;=$E68),IF(N$5-$D68+1&lt;=ROUND(($E68-$D68+1)*$F68,0),2,IF(N$5&lt;CFG_CurWeek,3,1)),""))</f>
        <v/>
      </c>
      <c r="O68" s="66" t="str">
        <f aca="false">IF(OR($D68="",$E68=""),"",IF(AND(O$5&gt;=$D68,O$5&lt;=$E68),IF(O$5-$D68+1&lt;=ROUND(($E68-$D68+1)*$F68,0),2,IF(O$5&lt;CFG_CurWeek,3,1)),""))</f>
        <v/>
      </c>
      <c r="P68" s="66" t="str">
        <f aca="false">IF(OR($D68="",$E68=""),"",IF(AND(P$5&gt;=$D68,P$5&lt;=$E68),IF(P$5-$D68+1&lt;=ROUND(($E68-$D68+1)*$F68,0),2,IF(P$5&lt;CFG_CurWeek,3,1)),""))</f>
        <v/>
      </c>
      <c r="Q68" s="66" t="str">
        <f aca="false">IF(OR($D68="",$E68=""),"",IF(AND(Q$5&gt;=$D68,Q$5&lt;=$E68),IF(Q$5-$D68+1&lt;=ROUND(($E68-$D68+1)*$F68,0),2,IF(Q$5&lt;CFG_CurWeek,3,1)),""))</f>
        <v/>
      </c>
      <c r="R68" s="66" t="str">
        <f aca="false">IF(OR($D68="",$E68=""),"",IF(AND(R$5&gt;=$D68,R$5&lt;=$E68),IF(R$5-$D68+1&lt;=ROUND(($E68-$D68+1)*$F68,0),2,IF(R$5&lt;CFG_CurWeek,3,1)),""))</f>
        <v/>
      </c>
      <c r="S68" s="66" t="str">
        <f aca="false">IF(OR($D68="",$E68=""),"",IF(AND(S$5&gt;=$D68,S$5&lt;=$E68),IF(S$5-$D68+1&lt;=ROUND(($E68-$D68+1)*$F68,0),2,IF(S$5&lt;CFG_CurWeek,3,1)),""))</f>
        <v/>
      </c>
      <c r="T68" s="66" t="str">
        <f aca="false">IF(OR($D68="",$E68=""),"",IF(AND(T$5&gt;=$D68,T$5&lt;=$E68),IF(T$5-$D68+1&lt;=ROUND(($E68-$D68+1)*$F68,0),2,IF(T$5&lt;CFG_CurWeek,3,1)),""))</f>
        <v/>
      </c>
      <c r="U68" s="66" t="str">
        <f aca="false">IF(OR($D68="",$E68=""),"",IF(AND(U$5&gt;=$D68,U$5&lt;=$E68),IF(U$5-$D68+1&lt;=ROUND(($E68-$D68+1)*$F68,0),2,IF(U$5&lt;CFG_CurWeek,3,1)),""))</f>
        <v/>
      </c>
      <c r="V68" s="66" t="str">
        <f aca="false">IF(OR($D68="",$E68=""),"",IF(AND(V$5&gt;=$D68,V$5&lt;=$E68),IF(V$5-$D68+1&lt;=ROUND(($E68-$D68+1)*$F68,0),2,IF(V$5&lt;CFG_CurWeek,3,1)),""))</f>
        <v/>
      </c>
      <c r="W68" s="66" t="str">
        <f aca="false">IF(OR($D68="",$E68=""),"",IF(AND(W$5&gt;=$D68,W$5&lt;=$E68),IF(W$5-$D68+1&lt;=ROUND(($E68-$D68+1)*$F68,0),2,IF(W$5&lt;CFG_CurWeek,3,1)),""))</f>
        <v/>
      </c>
      <c r="X68" s="66" t="str">
        <f aca="false">IF(OR($D68="",$E68=""),"",IF(AND(X$5&gt;=$D68,X$5&lt;=$E68),IF(X$5-$D68+1&lt;=ROUND(($E68-$D68+1)*$F68,0),2,IF(X$5&lt;CFG_CurWeek,3,1)),""))</f>
        <v/>
      </c>
      <c r="Y68" s="66" t="str">
        <f aca="false">IF(OR($D68="",$E68=""),"",IF(AND(Y$5&gt;=$D68,Y$5&lt;=$E68),IF(Y$5-$D68+1&lt;=ROUND(($E68-$D68+1)*$F68,0),2,IF(Y$5&lt;CFG_CurWeek,3,1)),""))</f>
        <v/>
      </c>
      <c r="Z68" s="66" t="str">
        <f aca="false">IF(OR($D68="",$E68=""),"",IF(AND(Z$5&gt;=$D68,Z$5&lt;=$E68),IF(Z$5-$D68+1&lt;=ROUND(($E68-$D68+1)*$F68,0),2,IF(Z$5&lt;CFG_CurWeek,3,1)),""))</f>
        <v/>
      </c>
      <c r="AA68" s="66" t="str">
        <f aca="false">IF(OR($D68="",$E68=""),"",IF(AND(AA$5&gt;=$D68,AA$5&lt;=$E68),IF(AA$5-$D68+1&lt;=ROUND(($E68-$D68+1)*$F68,0),2,IF(AA$5&lt;CFG_CurWeek,3,1)),""))</f>
        <v/>
      </c>
      <c r="AB68" s="66" t="str">
        <f aca="false">IF(OR($D68="",$E68=""),"",IF(AND(AB$5&gt;=$D68,AB$5&lt;=$E68),IF(AB$5-$D68+1&lt;=ROUND(($E68-$D68+1)*$F68,0),2,IF(AB$5&lt;CFG_CurWeek,3,1)),""))</f>
        <v/>
      </c>
      <c r="AC68" s="66" t="str">
        <f aca="false">IF(OR($D68="",$E68=""),"",IF(AND(AC$5&gt;=$D68,AC$5&lt;=$E68),IF(AC$5-$D68+1&lt;=ROUND(($E68-$D68+1)*$F68,0),2,IF(AC$5&lt;CFG_CurWeek,3,1)),""))</f>
        <v/>
      </c>
      <c r="AD68" s="66" t="str">
        <f aca="false">IF(OR($D68="",$E68=""),"",IF(AND(AD$5&gt;=$D68,AD$5&lt;=$E68),IF(AD$5-$D68+1&lt;=ROUND(($E68-$D68+1)*$F68,0),2,IF(AD$5&lt;CFG_CurWeek,3,1)),""))</f>
        <v/>
      </c>
      <c r="AE68" s="66" t="str">
        <f aca="false">IF(OR($D68="",$E68=""),"",IF(AND(AE$5&gt;=$D68,AE$5&lt;=$E68),IF(AE$5-$D68+1&lt;=ROUND(($E68-$D68+1)*$F68,0),2,IF(AE$5&lt;CFG_CurWeek,3,1)),""))</f>
        <v/>
      </c>
      <c r="AF68" s="66" t="str">
        <f aca="false">IF(OR($D68="",$E68=""),"",IF(AND(AF$5&gt;=$D68,AF$5&lt;=$E68),IF(AF$5-$D68+1&lt;=ROUND(($E68-$D68+1)*$F68,0),2,IF(AF$5&lt;CFG_CurWeek,3,1)),""))</f>
        <v/>
      </c>
      <c r="AG68" s="66" t="str">
        <f aca="false">IF(OR($D68="",$E68=""),"",IF(AND(AG$5&gt;=$D68,AG$5&lt;=$E68),IF(AG$5-$D68+1&lt;=ROUND(($E68-$D68+1)*$F68,0),2,IF(AG$5&lt;CFG_CurWeek,3,1)),""))</f>
        <v/>
      </c>
      <c r="AH68" s="66" t="str">
        <f aca="false">IF(OR($D68="",$E68=""),"",IF(AND(AH$5&gt;=$D68,AH$5&lt;=$E68),IF(AH$5-$D68+1&lt;=ROUND(($E68-$D68+1)*$F68,0),2,IF(AH$5&lt;CFG_CurWeek,3,1)),""))</f>
        <v/>
      </c>
      <c r="AI68" s="66" t="n">
        <f aca="false">IF(OR($D68="",$E68=""),"",IF(AND(AI$5&gt;=$D68,AI$5&lt;=$E68),IF(AI$5-$D68+1&lt;=ROUND(($E68-$D68+1)*$F68,0),2,IF(AI$5&lt;CFG_CurWeek,3,1)),""))</f>
        <v>1</v>
      </c>
      <c r="AJ68" s="66" t="n">
        <f aca="false">IF(OR($D68="",$E68=""),"",IF(AND(AJ$5&gt;=$D68,AJ$5&lt;=$E68),IF(AJ$5-$D68+1&lt;=ROUND(($E68-$D68+1)*$F68,0),2,IF(AJ$5&lt;CFG_CurWeek,3,1)),""))</f>
        <v>1</v>
      </c>
      <c r="AK68" s="66" t="str">
        <f aca="false">IF(OR($D68="",$E68=""),"",IF(AND(AK$5&gt;=$D68,AK$5&lt;=$E68),IF(AK$5-$D68+1&lt;=ROUND(($E68-$D68+1)*$F68,0),2,IF(AK$5&lt;CFG_CurWeek,3,1)),""))</f>
        <v/>
      </c>
      <c r="AL68" s="66" t="str">
        <f aca="false">IF(OR($D68="",$E68=""),"",IF(AND(AL$5&gt;=$D68,AL$5&lt;=$E68),IF(AL$5-$D68+1&lt;=ROUND(($E68-$D68+1)*$F68,0),2,IF(AL$5&lt;CFG_CurWeek,3,1)),""))</f>
        <v/>
      </c>
      <c r="AM68" s="66" t="str">
        <f aca="false">IF(OR($D68="",$E68=""),"",IF(AND(AM$5&gt;=$D68,AM$5&lt;=$E68),IF(AM$5-$D68+1&lt;=ROUND(($E68-$D68+1)*$F68,0),2,IF(AM$5&lt;CFG_CurWeek,3,1)),""))</f>
        <v/>
      </c>
      <c r="AN68" s="66" t="str">
        <f aca="false">IF(OR($D68="",$E68=""),"",IF(AND(AN$5&gt;=$D68,AN$5&lt;=$E68),IF(AN$5-$D68+1&lt;=ROUND(($E68-$D68+1)*$F68,0),2,IF(AN$5&lt;CFG_CurWeek,3,1)),""))</f>
        <v/>
      </c>
      <c r="AO68" s="66" t="str">
        <f aca="false">IF(OR($D68="",$E68=""),"",IF(AND(AO$5&gt;=$D68,AO$5&lt;=$E68),IF(AO$5-$D68+1&lt;=ROUND(($E68-$D68+1)*$F68,0),2,IF(AO$5&lt;CFG_CurWeek,3,1)),""))</f>
        <v/>
      </c>
    </row>
    <row r="69" customFormat="false" ht="15" hidden="false" customHeight="false" outlineLevel="0" collapsed="false">
      <c r="A69" s="63" t="str">
        <f aca="false">IF('01_WBS &amp; Master Plan'!A66="","",'01_WBS &amp; Master Plan'!A66)</f>
        <v>8.4</v>
      </c>
      <c r="B69" s="64" t="str">
        <f aca="false">IF('01_WBS &amp; Master Plan'!D66="","",'01_WBS &amp; Master Plan'!D66)</f>
        <v>Trang Đã tải xuống: dung lượng đã dùng, xóa bản tải</v>
      </c>
      <c r="C69" s="63" t="str">
        <f aca="false">IF('01_WBS &amp; Master Plan'!E66="","",'01_WBS &amp; Master Plan'!E66)</f>
        <v>Nhật</v>
      </c>
      <c r="D69" s="63" t="n">
        <f aca="false">IF('01_WBS &amp; Master Plan'!H66="","",'01_WBS &amp; Master Plan'!H66)</f>
        <v>29</v>
      </c>
      <c r="E69" s="63" t="n">
        <f aca="false">IF('01_WBS &amp; Master Plan'!I66="","",'01_WBS &amp; Master Plan'!I66)</f>
        <v>29</v>
      </c>
      <c r="F69" s="65" t="n">
        <f aca="false">IF(B69="","",IF('01_WBS &amp; Master Plan'!K66="Done",1,IF('01_WBS &amp; Master Plan'!L66="",0,'01_WBS &amp; Master Plan'!L66)))</f>
        <v>0</v>
      </c>
      <c r="G69" s="63" t="str">
        <f aca="false">IF('01_WBS &amp; Master Plan'!K66="","",'01_WBS &amp; Master Plan'!K66)</f>
        <v>To Do</v>
      </c>
      <c r="H69" s="66" t="str">
        <f aca="false">IF(OR($D69="",$E69=""),"",IF(AND(H$5&gt;=$D69,H$5&lt;=$E69),IF(H$5-$D69+1&lt;=ROUND(($E69-$D69+1)*$F69,0),2,IF(H$5&lt;CFG_CurWeek,3,1)),""))</f>
        <v/>
      </c>
      <c r="I69" s="66" t="str">
        <f aca="false">IF(OR($D69="",$E69=""),"",IF(AND(I$5&gt;=$D69,I$5&lt;=$E69),IF(I$5-$D69+1&lt;=ROUND(($E69-$D69+1)*$F69,0),2,IF(I$5&lt;CFG_CurWeek,3,1)),""))</f>
        <v/>
      </c>
      <c r="J69" s="66" t="str">
        <f aca="false">IF(OR($D69="",$E69=""),"",IF(AND(J$5&gt;=$D69,J$5&lt;=$E69),IF(J$5-$D69+1&lt;=ROUND(($E69-$D69+1)*$F69,0),2,IF(J$5&lt;CFG_CurWeek,3,1)),""))</f>
        <v/>
      </c>
      <c r="K69" s="66" t="str">
        <f aca="false">IF(OR($D69="",$E69=""),"",IF(AND(K$5&gt;=$D69,K$5&lt;=$E69),IF(K$5-$D69+1&lt;=ROUND(($E69-$D69+1)*$F69,0),2,IF(K$5&lt;CFG_CurWeek,3,1)),""))</f>
        <v/>
      </c>
      <c r="L69" s="66" t="str">
        <f aca="false">IF(OR($D69="",$E69=""),"",IF(AND(L$5&gt;=$D69,L$5&lt;=$E69),IF(L$5-$D69+1&lt;=ROUND(($E69-$D69+1)*$F69,0),2,IF(L$5&lt;CFG_CurWeek,3,1)),""))</f>
        <v/>
      </c>
      <c r="M69" s="66" t="str">
        <f aca="false">IF(OR($D69="",$E69=""),"",IF(AND(M$5&gt;=$D69,M$5&lt;=$E69),IF(M$5-$D69+1&lt;=ROUND(($E69-$D69+1)*$F69,0),2,IF(M$5&lt;CFG_CurWeek,3,1)),""))</f>
        <v/>
      </c>
      <c r="N69" s="66" t="str">
        <f aca="false">IF(OR($D69="",$E69=""),"",IF(AND(N$5&gt;=$D69,N$5&lt;=$E69),IF(N$5-$D69+1&lt;=ROUND(($E69-$D69+1)*$F69,0),2,IF(N$5&lt;CFG_CurWeek,3,1)),""))</f>
        <v/>
      </c>
      <c r="O69" s="66" t="str">
        <f aca="false">IF(OR($D69="",$E69=""),"",IF(AND(O$5&gt;=$D69,O$5&lt;=$E69),IF(O$5-$D69+1&lt;=ROUND(($E69-$D69+1)*$F69,0),2,IF(O$5&lt;CFG_CurWeek,3,1)),""))</f>
        <v/>
      </c>
      <c r="P69" s="66" t="str">
        <f aca="false">IF(OR($D69="",$E69=""),"",IF(AND(P$5&gt;=$D69,P$5&lt;=$E69),IF(P$5-$D69+1&lt;=ROUND(($E69-$D69+1)*$F69,0),2,IF(P$5&lt;CFG_CurWeek,3,1)),""))</f>
        <v/>
      </c>
      <c r="Q69" s="66" t="str">
        <f aca="false">IF(OR($D69="",$E69=""),"",IF(AND(Q$5&gt;=$D69,Q$5&lt;=$E69),IF(Q$5-$D69+1&lt;=ROUND(($E69-$D69+1)*$F69,0),2,IF(Q$5&lt;CFG_CurWeek,3,1)),""))</f>
        <v/>
      </c>
      <c r="R69" s="66" t="str">
        <f aca="false">IF(OR($D69="",$E69=""),"",IF(AND(R$5&gt;=$D69,R$5&lt;=$E69),IF(R$5-$D69+1&lt;=ROUND(($E69-$D69+1)*$F69,0),2,IF(R$5&lt;CFG_CurWeek,3,1)),""))</f>
        <v/>
      </c>
      <c r="S69" s="66" t="str">
        <f aca="false">IF(OR($D69="",$E69=""),"",IF(AND(S$5&gt;=$D69,S$5&lt;=$E69),IF(S$5-$D69+1&lt;=ROUND(($E69-$D69+1)*$F69,0),2,IF(S$5&lt;CFG_CurWeek,3,1)),""))</f>
        <v/>
      </c>
      <c r="T69" s="66" t="str">
        <f aca="false">IF(OR($D69="",$E69=""),"",IF(AND(T$5&gt;=$D69,T$5&lt;=$E69),IF(T$5-$D69+1&lt;=ROUND(($E69-$D69+1)*$F69,0),2,IF(T$5&lt;CFG_CurWeek,3,1)),""))</f>
        <v/>
      </c>
      <c r="U69" s="66" t="str">
        <f aca="false">IF(OR($D69="",$E69=""),"",IF(AND(U$5&gt;=$D69,U$5&lt;=$E69),IF(U$5-$D69+1&lt;=ROUND(($E69-$D69+1)*$F69,0),2,IF(U$5&lt;CFG_CurWeek,3,1)),""))</f>
        <v/>
      </c>
      <c r="V69" s="66" t="str">
        <f aca="false">IF(OR($D69="",$E69=""),"",IF(AND(V$5&gt;=$D69,V$5&lt;=$E69),IF(V$5-$D69+1&lt;=ROUND(($E69-$D69+1)*$F69,0),2,IF(V$5&lt;CFG_CurWeek,3,1)),""))</f>
        <v/>
      </c>
      <c r="W69" s="66" t="str">
        <f aca="false">IF(OR($D69="",$E69=""),"",IF(AND(W$5&gt;=$D69,W$5&lt;=$E69),IF(W$5-$D69+1&lt;=ROUND(($E69-$D69+1)*$F69,0),2,IF(W$5&lt;CFG_CurWeek,3,1)),""))</f>
        <v/>
      </c>
      <c r="X69" s="66" t="str">
        <f aca="false">IF(OR($D69="",$E69=""),"",IF(AND(X$5&gt;=$D69,X$5&lt;=$E69),IF(X$5-$D69+1&lt;=ROUND(($E69-$D69+1)*$F69,0),2,IF(X$5&lt;CFG_CurWeek,3,1)),""))</f>
        <v/>
      </c>
      <c r="Y69" s="66" t="str">
        <f aca="false">IF(OR($D69="",$E69=""),"",IF(AND(Y$5&gt;=$D69,Y$5&lt;=$E69),IF(Y$5-$D69+1&lt;=ROUND(($E69-$D69+1)*$F69,0),2,IF(Y$5&lt;CFG_CurWeek,3,1)),""))</f>
        <v/>
      </c>
      <c r="Z69" s="66" t="str">
        <f aca="false">IF(OR($D69="",$E69=""),"",IF(AND(Z$5&gt;=$D69,Z$5&lt;=$E69),IF(Z$5-$D69+1&lt;=ROUND(($E69-$D69+1)*$F69,0),2,IF(Z$5&lt;CFG_CurWeek,3,1)),""))</f>
        <v/>
      </c>
      <c r="AA69" s="66" t="str">
        <f aca="false">IF(OR($D69="",$E69=""),"",IF(AND(AA$5&gt;=$D69,AA$5&lt;=$E69),IF(AA$5-$D69+1&lt;=ROUND(($E69-$D69+1)*$F69,0),2,IF(AA$5&lt;CFG_CurWeek,3,1)),""))</f>
        <v/>
      </c>
      <c r="AB69" s="66" t="str">
        <f aca="false">IF(OR($D69="",$E69=""),"",IF(AND(AB$5&gt;=$D69,AB$5&lt;=$E69),IF(AB$5-$D69+1&lt;=ROUND(($E69-$D69+1)*$F69,0),2,IF(AB$5&lt;CFG_CurWeek,3,1)),""))</f>
        <v/>
      </c>
      <c r="AC69" s="66" t="str">
        <f aca="false">IF(OR($D69="",$E69=""),"",IF(AND(AC$5&gt;=$D69,AC$5&lt;=$E69),IF(AC$5-$D69+1&lt;=ROUND(($E69-$D69+1)*$F69,0),2,IF(AC$5&lt;CFG_CurWeek,3,1)),""))</f>
        <v/>
      </c>
      <c r="AD69" s="66" t="str">
        <f aca="false">IF(OR($D69="",$E69=""),"",IF(AND(AD$5&gt;=$D69,AD$5&lt;=$E69),IF(AD$5-$D69+1&lt;=ROUND(($E69-$D69+1)*$F69,0),2,IF(AD$5&lt;CFG_CurWeek,3,1)),""))</f>
        <v/>
      </c>
      <c r="AE69" s="66" t="str">
        <f aca="false">IF(OR($D69="",$E69=""),"",IF(AND(AE$5&gt;=$D69,AE$5&lt;=$E69),IF(AE$5-$D69+1&lt;=ROUND(($E69-$D69+1)*$F69,0),2,IF(AE$5&lt;CFG_CurWeek,3,1)),""))</f>
        <v/>
      </c>
      <c r="AF69" s="66" t="str">
        <f aca="false">IF(OR($D69="",$E69=""),"",IF(AND(AF$5&gt;=$D69,AF$5&lt;=$E69),IF(AF$5-$D69+1&lt;=ROUND(($E69-$D69+1)*$F69,0),2,IF(AF$5&lt;CFG_CurWeek,3,1)),""))</f>
        <v/>
      </c>
      <c r="AG69" s="66" t="str">
        <f aca="false">IF(OR($D69="",$E69=""),"",IF(AND(AG$5&gt;=$D69,AG$5&lt;=$E69),IF(AG$5-$D69+1&lt;=ROUND(($E69-$D69+1)*$F69,0),2,IF(AG$5&lt;CFG_CurWeek,3,1)),""))</f>
        <v/>
      </c>
      <c r="AH69" s="66" t="str">
        <f aca="false">IF(OR($D69="",$E69=""),"",IF(AND(AH$5&gt;=$D69,AH$5&lt;=$E69),IF(AH$5-$D69+1&lt;=ROUND(($E69-$D69+1)*$F69,0),2,IF(AH$5&lt;CFG_CurWeek,3,1)),""))</f>
        <v/>
      </c>
      <c r="AI69" s="66" t="str">
        <f aca="false">IF(OR($D69="",$E69=""),"",IF(AND(AI$5&gt;=$D69,AI$5&lt;=$E69),IF(AI$5-$D69+1&lt;=ROUND(($E69-$D69+1)*$F69,0),2,IF(AI$5&lt;CFG_CurWeek,3,1)),""))</f>
        <v/>
      </c>
      <c r="AJ69" s="66" t="n">
        <f aca="false">IF(OR($D69="",$E69=""),"",IF(AND(AJ$5&gt;=$D69,AJ$5&lt;=$E69),IF(AJ$5-$D69+1&lt;=ROUND(($E69-$D69+1)*$F69,0),2,IF(AJ$5&lt;CFG_CurWeek,3,1)),""))</f>
        <v>1</v>
      </c>
      <c r="AK69" s="66" t="str">
        <f aca="false">IF(OR($D69="",$E69=""),"",IF(AND(AK$5&gt;=$D69,AK$5&lt;=$E69),IF(AK$5-$D69+1&lt;=ROUND(($E69-$D69+1)*$F69,0),2,IF(AK$5&lt;CFG_CurWeek,3,1)),""))</f>
        <v/>
      </c>
      <c r="AL69" s="66" t="str">
        <f aca="false">IF(OR($D69="",$E69=""),"",IF(AND(AL$5&gt;=$D69,AL$5&lt;=$E69),IF(AL$5-$D69+1&lt;=ROUND(($E69-$D69+1)*$F69,0),2,IF(AL$5&lt;CFG_CurWeek,3,1)),""))</f>
        <v/>
      </c>
      <c r="AM69" s="66" t="str">
        <f aca="false">IF(OR($D69="",$E69=""),"",IF(AND(AM$5&gt;=$D69,AM$5&lt;=$E69),IF(AM$5-$D69+1&lt;=ROUND(($E69-$D69+1)*$F69,0),2,IF(AM$5&lt;CFG_CurWeek,3,1)),""))</f>
        <v/>
      </c>
      <c r="AN69" s="66" t="str">
        <f aca="false">IF(OR($D69="",$E69=""),"",IF(AND(AN$5&gt;=$D69,AN$5&lt;=$E69),IF(AN$5-$D69+1&lt;=ROUND(($E69-$D69+1)*$F69,0),2,IF(AN$5&lt;CFG_CurWeek,3,1)),""))</f>
        <v/>
      </c>
      <c r="AO69" s="66" t="str">
        <f aca="false">IF(OR($D69="",$E69=""),"",IF(AND(AO$5&gt;=$D69,AO$5&lt;=$E69),IF(AO$5-$D69+1&lt;=ROUND(($E69-$D69+1)*$F69,0),2,IF(AO$5&lt;CFG_CurWeek,3,1)),""))</f>
        <v/>
      </c>
    </row>
    <row r="70" customFormat="false" ht="15" hidden="false" customHeight="false" outlineLevel="0" collapsed="false">
      <c r="A70" s="63" t="str">
        <f aca="false">IF('01_WBS &amp; Master Plan'!A67="","",'01_WBS &amp; Master Plan'!A67)</f>
        <v>8.5</v>
      </c>
      <c r="B70" s="64" t="str">
        <f aca="false">IF('01_WBS &amp; Master Plan'!D67="","",'01_WBS &amp; Master Plan'!D67)</f>
        <v>Tự phát bản offline khi mất mạng; banner trạng thái mạng</v>
      </c>
      <c r="C70" s="63" t="str">
        <f aca="false">IF('01_WBS &amp; Master Plan'!E67="","",'01_WBS &amp; Master Plan'!E67)</f>
        <v>Nhật</v>
      </c>
      <c r="D70" s="63" t="n">
        <f aca="false">IF('01_WBS &amp; Master Plan'!H67="","",'01_WBS &amp; Master Plan'!H67)</f>
        <v>29</v>
      </c>
      <c r="E70" s="63" t="n">
        <f aca="false">IF('01_WBS &amp; Master Plan'!I67="","",'01_WBS &amp; Master Plan'!I67)</f>
        <v>30</v>
      </c>
      <c r="F70" s="65" t="n">
        <f aca="false">IF(B70="","",IF('01_WBS &amp; Master Plan'!K67="Done",1,IF('01_WBS &amp; Master Plan'!L67="",0,'01_WBS &amp; Master Plan'!L67)))</f>
        <v>0</v>
      </c>
      <c r="G70" s="63" t="str">
        <f aca="false">IF('01_WBS &amp; Master Plan'!K67="","",'01_WBS &amp; Master Plan'!K67)</f>
        <v>To Do</v>
      </c>
      <c r="H70" s="66" t="str">
        <f aca="false">IF(OR($D70="",$E70=""),"",IF(AND(H$5&gt;=$D70,H$5&lt;=$E70),IF(H$5-$D70+1&lt;=ROUND(($E70-$D70+1)*$F70,0),2,IF(H$5&lt;CFG_CurWeek,3,1)),""))</f>
        <v/>
      </c>
      <c r="I70" s="66" t="str">
        <f aca="false">IF(OR($D70="",$E70=""),"",IF(AND(I$5&gt;=$D70,I$5&lt;=$E70),IF(I$5-$D70+1&lt;=ROUND(($E70-$D70+1)*$F70,0),2,IF(I$5&lt;CFG_CurWeek,3,1)),""))</f>
        <v/>
      </c>
      <c r="J70" s="66" t="str">
        <f aca="false">IF(OR($D70="",$E70=""),"",IF(AND(J$5&gt;=$D70,J$5&lt;=$E70),IF(J$5-$D70+1&lt;=ROUND(($E70-$D70+1)*$F70,0),2,IF(J$5&lt;CFG_CurWeek,3,1)),""))</f>
        <v/>
      </c>
      <c r="K70" s="66" t="str">
        <f aca="false">IF(OR($D70="",$E70=""),"",IF(AND(K$5&gt;=$D70,K$5&lt;=$E70),IF(K$5-$D70+1&lt;=ROUND(($E70-$D70+1)*$F70,0),2,IF(K$5&lt;CFG_CurWeek,3,1)),""))</f>
        <v/>
      </c>
      <c r="L70" s="66" t="str">
        <f aca="false">IF(OR($D70="",$E70=""),"",IF(AND(L$5&gt;=$D70,L$5&lt;=$E70),IF(L$5-$D70+1&lt;=ROUND(($E70-$D70+1)*$F70,0),2,IF(L$5&lt;CFG_CurWeek,3,1)),""))</f>
        <v/>
      </c>
      <c r="M70" s="66" t="str">
        <f aca="false">IF(OR($D70="",$E70=""),"",IF(AND(M$5&gt;=$D70,M$5&lt;=$E70),IF(M$5-$D70+1&lt;=ROUND(($E70-$D70+1)*$F70,0),2,IF(M$5&lt;CFG_CurWeek,3,1)),""))</f>
        <v/>
      </c>
      <c r="N70" s="66" t="str">
        <f aca="false">IF(OR($D70="",$E70=""),"",IF(AND(N$5&gt;=$D70,N$5&lt;=$E70),IF(N$5-$D70+1&lt;=ROUND(($E70-$D70+1)*$F70,0),2,IF(N$5&lt;CFG_CurWeek,3,1)),""))</f>
        <v/>
      </c>
      <c r="O70" s="66" t="str">
        <f aca="false">IF(OR($D70="",$E70=""),"",IF(AND(O$5&gt;=$D70,O$5&lt;=$E70),IF(O$5-$D70+1&lt;=ROUND(($E70-$D70+1)*$F70,0),2,IF(O$5&lt;CFG_CurWeek,3,1)),""))</f>
        <v/>
      </c>
      <c r="P70" s="66" t="str">
        <f aca="false">IF(OR($D70="",$E70=""),"",IF(AND(P$5&gt;=$D70,P$5&lt;=$E70),IF(P$5-$D70+1&lt;=ROUND(($E70-$D70+1)*$F70,0),2,IF(P$5&lt;CFG_CurWeek,3,1)),""))</f>
        <v/>
      </c>
      <c r="Q70" s="66" t="str">
        <f aca="false">IF(OR($D70="",$E70=""),"",IF(AND(Q$5&gt;=$D70,Q$5&lt;=$E70),IF(Q$5-$D70+1&lt;=ROUND(($E70-$D70+1)*$F70,0),2,IF(Q$5&lt;CFG_CurWeek,3,1)),""))</f>
        <v/>
      </c>
      <c r="R70" s="66" t="str">
        <f aca="false">IF(OR($D70="",$E70=""),"",IF(AND(R$5&gt;=$D70,R$5&lt;=$E70),IF(R$5-$D70+1&lt;=ROUND(($E70-$D70+1)*$F70,0),2,IF(R$5&lt;CFG_CurWeek,3,1)),""))</f>
        <v/>
      </c>
      <c r="S70" s="66" t="str">
        <f aca="false">IF(OR($D70="",$E70=""),"",IF(AND(S$5&gt;=$D70,S$5&lt;=$E70),IF(S$5-$D70+1&lt;=ROUND(($E70-$D70+1)*$F70,0),2,IF(S$5&lt;CFG_CurWeek,3,1)),""))</f>
        <v/>
      </c>
      <c r="T70" s="66" t="str">
        <f aca="false">IF(OR($D70="",$E70=""),"",IF(AND(T$5&gt;=$D70,T$5&lt;=$E70),IF(T$5-$D70+1&lt;=ROUND(($E70-$D70+1)*$F70,0),2,IF(T$5&lt;CFG_CurWeek,3,1)),""))</f>
        <v/>
      </c>
      <c r="U70" s="66" t="str">
        <f aca="false">IF(OR($D70="",$E70=""),"",IF(AND(U$5&gt;=$D70,U$5&lt;=$E70),IF(U$5-$D70+1&lt;=ROUND(($E70-$D70+1)*$F70,0),2,IF(U$5&lt;CFG_CurWeek,3,1)),""))</f>
        <v/>
      </c>
      <c r="V70" s="66" t="str">
        <f aca="false">IF(OR($D70="",$E70=""),"",IF(AND(V$5&gt;=$D70,V$5&lt;=$E70),IF(V$5-$D70+1&lt;=ROUND(($E70-$D70+1)*$F70,0),2,IF(V$5&lt;CFG_CurWeek,3,1)),""))</f>
        <v/>
      </c>
      <c r="W70" s="66" t="str">
        <f aca="false">IF(OR($D70="",$E70=""),"",IF(AND(W$5&gt;=$D70,W$5&lt;=$E70),IF(W$5-$D70+1&lt;=ROUND(($E70-$D70+1)*$F70,0),2,IF(W$5&lt;CFG_CurWeek,3,1)),""))</f>
        <v/>
      </c>
      <c r="X70" s="66" t="str">
        <f aca="false">IF(OR($D70="",$E70=""),"",IF(AND(X$5&gt;=$D70,X$5&lt;=$E70),IF(X$5-$D70+1&lt;=ROUND(($E70-$D70+1)*$F70,0),2,IF(X$5&lt;CFG_CurWeek,3,1)),""))</f>
        <v/>
      </c>
      <c r="Y70" s="66" t="str">
        <f aca="false">IF(OR($D70="",$E70=""),"",IF(AND(Y$5&gt;=$D70,Y$5&lt;=$E70),IF(Y$5-$D70+1&lt;=ROUND(($E70-$D70+1)*$F70,0),2,IF(Y$5&lt;CFG_CurWeek,3,1)),""))</f>
        <v/>
      </c>
      <c r="Z70" s="66" t="str">
        <f aca="false">IF(OR($D70="",$E70=""),"",IF(AND(Z$5&gt;=$D70,Z$5&lt;=$E70),IF(Z$5-$D70+1&lt;=ROUND(($E70-$D70+1)*$F70,0),2,IF(Z$5&lt;CFG_CurWeek,3,1)),""))</f>
        <v/>
      </c>
      <c r="AA70" s="66" t="str">
        <f aca="false">IF(OR($D70="",$E70=""),"",IF(AND(AA$5&gt;=$D70,AA$5&lt;=$E70),IF(AA$5-$D70+1&lt;=ROUND(($E70-$D70+1)*$F70,0),2,IF(AA$5&lt;CFG_CurWeek,3,1)),""))</f>
        <v/>
      </c>
      <c r="AB70" s="66" t="str">
        <f aca="false">IF(OR($D70="",$E70=""),"",IF(AND(AB$5&gt;=$D70,AB$5&lt;=$E70),IF(AB$5-$D70+1&lt;=ROUND(($E70-$D70+1)*$F70,0),2,IF(AB$5&lt;CFG_CurWeek,3,1)),""))</f>
        <v/>
      </c>
      <c r="AC70" s="66" t="str">
        <f aca="false">IF(OR($D70="",$E70=""),"",IF(AND(AC$5&gt;=$D70,AC$5&lt;=$E70),IF(AC$5-$D70+1&lt;=ROUND(($E70-$D70+1)*$F70,0),2,IF(AC$5&lt;CFG_CurWeek,3,1)),""))</f>
        <v/>
      </c>
      <c r="AD70" s="66" t="str">
        <f aca="false">IF(OR($D70="",$E70=""),"",IF(AND(AD$5&gt;=$D70,AD$5&lt;=$E70),IF(AD$5-$D70+1&lt;=ROUND(($E70-$D70+1)*$F70,0),2,IF(AD$5&lt;CFG_CurWeek,3,1)),""))</f>
        <v/>
      </c>
      <c r="AE70" s="66" t="str">
        <f aca="false">IF(OR($D70="",$E70=""),"",IF(AND(AE$5&gt;=$D70,AE$5&lt;=$E70),IF(AE$5-$D70+1&lt;=ROUND(($E70-$D70+1)*$F70,0),2,IF(AE$5&lt;CFG_CurWeek,3,1)),""))</f>
        <v/>
      </c>
      <c r="AF70" s="66" t="str">
        <f aca="false">IF(OR($D70="",$E70=""),"",IF(AND(AF$5&gt;=$D70,AF$5&lt;=$E70),IF(AF$5-$D70+1&lt;=ROUND(($E70-$D70+1)*$F70,0),2,IF(AF$5&lt;CFG_CurWeek,3,1)),""))</f>
        <v/>
      </c>
      <c r="AG70" s="66" t="str">
        <f aca="false">IF(OR($D70="",$E70=""),"",IF(AND(AG$5&gt;=$D70,AG$5&lt;=$E70),IF(AG$5-$D70+1&lt;=ROUND(($E70-$D70+1)*$F70,0),2,IF(AG$5&lt;CFG_CurWeek,3,1)),""))</f>
        <v/>
      </c>
      <c r="AH70" s="66" t="str">
        <f aca="false">IF(OR($D70="",$E70=""),"",IF(AND(AH$5&gt;=$D70,AH$5&lt;=$E70),IF(AH$5-$D70+1&lt;=ROUND(($E70-$D70+1)*$F70,0),2,IF(AH$5&lt;CFG_CurWeek,3,1)),""))</f>
        <v/>
      </c>
      <c r="AI70" s="66" t="str">
        <f aca="false">IF(OR($D70="",$E70=""),"",IF(AND(AI$5&gt;=$D70,AI$5&lt;=$E70),IF(AI$5-$D70+1&lt;=ROUND(($E70-$D70+1)*$F70,0),2,IF(AI$5&lt;CFG_CurWeek,3,1)),""))</f>
        <v/>
      </c>
      <c r="AJ70" s="66" t="n">
        <f aca="false">IF(OR($D70="",$E70=""),"",IF(AND(AJ$5&gt;=$D70,AJ$5&lt;=$E70),IF(AJ$5-$D70+1&lt;=ROUND(($E70-$D70+1)*$F70,0),2,IF(AJ$5&lt;CFG_CurWeek,3,1)),""))</f>
        <v>1</v>
      </c>
      <c r="AK70" s="66" t="n">
        <f aca="false">IF(OR($D70="",$E70=""),"",IF(AND(AK$5&gt;=$D70,AK$5&lt;=$E70),IF(AK$5-$D70+1&lt;=ROUND(($E70-$D70+1)*$F70,0),2,IF(AK$5&lt;CFG_CurWeek,3,1)),""))</f>
        <v>1</v>
      </c>
      <c r="AL70" s="66" t="str">
        <f aca="false">IF(OR($D70="",$E70=""),"",IF(AND(AL$5&gt;=$D70,AL$5&lt;=$E70),IF(AL$5-$D70+1&lt;=ROUND(($E70-$D70+1)*$F70,0),2,IF(AL$5&lt;CFG_CurWeek,3,1)),""))</f>
        <v/>
      </c>
      <c r="AM70" s="66" t="str">
        <f aca="false">IF(OR($D70="",$E70=""),"",IF(AND(AM$5&gt;=$D70,AM$5&lt;=$E70),IF(AM$5-$D70+1&lt;=ROUND(($E70-$D70+1)*$F70,0),2,IF(AM$5&lt;CFG_CurWeek,3,1)),""))</f>
        <v/>
      </c>
      <c r="AN70" s="66" t="str">
        <f aca="false">IF(OR($D70="",$E70=""),"",IF(AND(AN$5&gt;=$D70,AN$5&lt;=$E70),IF(AN$5-$D70+1&lt;=ROUND(($E70-$D70+1)*$F70,0),2,IF(AN$5&lt;CFG_CurWeek,3,1)),""))</f>
        <v/>
      </c>
      <c r="AO70" s="66" t="str">
        <f aca="false">IF(OR($D70="",$E70=""),"",IF(AND(AO$5&gt;=$D70,AO$5&lt;=$E70),IF(AO$5-$D70+1&lt;=ROUND(($E70-$D70+1)*$F70,0),2,IF(AO$5&lt;CFG_CurWeek,3,1)),""))</f>
        <v/>
      </c>
    </row>
    <row r="71" customFormat="false" ht="15" hidden="false" customHeight="false" outlineLevel="0" collapsed="false">
      <c r="A71" s="63" t="str">
        <f aca="false">IF('01_WBS &amp; Master Plan'!A68="","",'01_WBS &amp; Master Plan'!A68)</f>
        <v>8.6</v>
      </c>
      <c r="B71" s="64" t="str">
        <f aca="false">IF('01_WBS &amp; Master Plan'!D68="","",'01_WBS &amp; Master Plan'!D68)</f>
        <v>Lưu lyric dạng .lrc; API GET /lyrics/:songId</v>
      </c>
      <c r="C71" s="63" t="str">
        <f aca="false">IF('01_WBS &amp; Master Plan'!E68="","",'01_WBS &amp; Master Plan'!E68)</f>
        <v>Nhật</v>
      </c>
      <c r="D71" s="63" t="n">
        <f aca="false">IF('01_WBS &amp; Master Plan'!H68="","",'01_WBS &amp; Master Plan'!H68)</f>
        <v>29</v>
      </c>
      <c r="E71" s="63" t="n">
        <f aca="false">IF('01_WBS &amp; Master Plan'!I68="","",'01_WBS &amp; Master Plan'!I68)</f>
        <v>29</v>
      </c>
      <c r="F71" s="65" t="n">
        <f aca="false">IF(B71="","",IF('01_WBS &amp; Master Plan'!K68="Done",1,IF('01_WBS &amp; Master Plan'!L68="",0,'01_WBS &amp; Master Plan'!L68)))</f>
        <v>0</v>
      </c>
      <c r="G71" s="63" t="str">
        <f aca="false">IF('01_WBS &amp; Master Plan'!K68="","",'01_WBS &amp; Master Plan'!K68)</f>
        <v>To Do</v>
      </c>
      <c r="H71" s="66" t="str">
        <f aca="false">IF(OR($D71="",$E71=""),"",IF(AND(H$5&gt;=$D71,H$5&lt;=$E71),IF(H$5-$D71+1&lt;=ROUND(($E71-$D71+1)*$F71,0),2,IF(H$5&lt;CFG_CurWeek,3,1)),""))</f>
        <v/>
      </c>
      <c r="I71" s="66" t="str">
        <f aca="false">IF(OR($D71="",$E71=""),"",IF(AND(I$5&gt;=$D71,I$5&lt;=$E71),IF(I$5-$D71+1&lt;=ROUND(($E71-$D71+1)*$F71,0),2,IF(I$5&lt;CFG_CurWeek,3,1)),""))</f>
        <v/>
      </c>
      <c r="J71" s="66" t="str">
        <f aca="false">IF(OR($D71="",$E71=""),"",IF(AND(J$5&gt;=$D71,J$5&lt;=$E71),IF(J$5-$D71+1&lt;=ROUND(($E71-$D71+1)*$F71,0),2,IF(J$5&lt;CFG_CurWeek,3,1)),""))</f>
        <v/>
      </c>
      <c r="K71" s="66" t="str">
        <f aca="false">IF(OR($D71="",$E71=""),"",IF(AND(K$5&gt;=$D71,K$5&lt;=$E71),IF(K$5-$D71+1&lt;=ROUND(($E71-$D71+1)*$F71,0),2,IF(K$5&lt;CFG_CurWeek,3,1)),""))</f>
        <v/>
      </c>
      <c r="L71" s="66" t="str">
        <f aca="false">IF(OR($D71="",$E71=""),"",IF(AND(L$5&gt;=$D71,L$5&lt;=$E71),IF(L$5-$D71+1&lt;=ROUND(($E71-$D71+1)*$F71,0),2,IF(L$5&lt;CFG_CurWeek,3,1)),""))</f>
        <v/>
      </c>
      <c r="M71" s="66" t="str">
        <f aca="false">IF(OR($D71="",$E71=""),"",IF(AND(M$5&gt;=$D71,M$5&lt;=$E71),IF(M$5-$D71+1&lt;=ROUND(($E71-$D71+1)*$F71,0),2,IF(M$5&lt;CFG_CurWeek,3,1)),""))</f>
        <v/>
      </c>
      <c r="N71" s="66" t="str">
        <f aca="false">IF(OR($D71="",$E71=""),"",IF(AND(N$5&gt;=$D71,N$5&lt;=$E71),IF(N$5-$D71+1&lt;=ROUND(($E71-$D71+1)*$F71,0),2,IF(N$5&lt;CFG_CurWeek,3,1)),""))</f>
        <v/>
      </c>
      <c r="O71" s="66" t="str">
        <f aca="false">IF(OR($D71="",$E71=""),"",IF(AND(O$5&gt;=$D71,O$5&lt;=$E71),IF(O$5-$D71+1&lt;=ROUND(($E71-$D71+1)*$F71,0),2,IF(O$5&lt;CFG_CurWeek,3,1)),""))</f>
        <v/>
      </c>
      <c r="P71" s="66" t="str">
        <f aca="false">IF(OR($D71="",$E71=""),"",IF(AND(P$5&gt;=$D71,P$5&lt;=$E71),IF(P$5-$D71+1&lt;=ROUND(($E71-$D71+1)*$F71,0),2,IF(P$5&lt;CFG_CurWeek,3,1)),""))</f>
        <v/>
      </c>
      <c r="Q71" s="66" t="str">
        <f aca="false">IF(OR($D71="",$E71=""),"",IF(AND(Q$5&gt;=$D71,Q$5&lt;=$E71),IF(Q$5-$D71+1&lt;=ROUND(($E71-$D71+1)*$F71,0),2,IF(Q$5&lt;CFG_CurWeek,3,1)),""))</f>
        <v/>
      </c>
      <c r="R71" s="66" t="str">
        <f aca="false">IF(OR($D71="",$E71=""),"",IF(AND(R$5&gt;=$D71,R$5&lt;=$E71),IF(R$5-$D71+1&lt;=ROUND(($E71-$D71+1)*$F71,0),2,IF(R$5&lt;CFG_CurWeek,3,1)),""))</f>
        <v/>
      </c>
      <c r="S71" s="66" t="str">
        <f aca="false">IF(OR($D71="",$E71=""),"",IF(AND(S$5&gt;=$D71,S$5&lt;=$E71),IF(S$5-$D71+1&lt;=ROUND(($E71-$D71+1)*$F71,0),2,IF(S$5&lt;CFG_CurWeek,3,1)),""))</f>
        <v/>
      </c>
      <c r="T71" s="66" t="str">
        <f aca="false">IF(OR($D71="",$E71=""),"",IF(AND(T$5&gt;=$D71,T$5&lt;=$E71),IF(T$5-$D71+1&lt;=ROUND(($E71-$D71+1)*$F71,0),2,IF(T$5&lt;CFG_CurWeek,3,1)),""))</f>
        <v/>
      </c>
      <c r="U71" s="66" t="str">
        <f aca="false">IF(OR($D71="",$E71=""),"",IF(AND(U$5&gt;=$D71,U$5&lt;=$E71),IF(U$5-$D71+1&lt;=ROUND(($E71-$D71+1)*$F71,0),2,IF(U$5&lt;CFG_CurWeek,3,1)),""))</f>
        <v/>
      </c>
      <c r="V71" s="66" t="str">
        <f aca="false">IF(OR($D71="",$E71=""),"",IF(AND(V$5&gt;=$D71,V$5&lt;=$E71),IF(V$5-$D71+1&lt;=ROUND(($E71-$D71+1)*$F71,0),2,IF(V$5&lt;CFG_CurWeek,3,1)),""))</f>
        <v/>
      </c>
      <c r="W71" s="66" t="str">
        <f aca="false">IF(OR($D71="",$E71=""),"",IF(AND(W$5&gt;=$D71,W$5&lt;=$E71),IF(W$5-$D71+1&lt;=ROUND(($E71-$D71+1)*$F71,0),2,IF(W$5&lt;CFG_CurWeek,3,1)),""))</f>
        <v/>
      </c>
      <c r="X71" s="66" t="str">
        <f aca="false">IF(OR($D71="",$E71=""),"",IF(AND(X$5&gt;=$D71,X$5&lt;=$E71),IF(X$5-$D71+1&lt;=ROUND(($E71-$D71+1)*$F71,0),2,IF(X$5&lt;CFG_CurWeek,3,1)),""))</f>
        <v/>
      </c>
      <c r="Y71" s="66" t="str">
        <f aca="false">IF(OR($D71="",$E71=""),"",IF(AND(Y$5&gt;=$D71,Y$5&lt;=$E71),IF(Y$5-$D71+1&lt;=ROUND(($E71-$D71+1)*$F71,0),2,IF(Y$5&lt;CFG_CurWeek,3,1)),""))</f>
        <v/>
      </c>
      <c r="Z71" s="66" t="str">
        <f aca="false">IF(OR($D71="",$E71=""),"",IF(AND(Z$5&gt;=$D71,Z$5&lt;=$E71),IF(Z$5-$D71+1&lt;=ROUND(($E71-$D71+1)*$F71,0),2,IF(Z$5&lt;CFG_CurWeek,3,1)),""))</f>
        <v/>
      </c>
      <c r="AA71" s="66" t="str">
        <f aca="false">IF(OR($D71="",$E71=""),"",IF(AND(AA$5&gt;=$D71,AA$5&lt;=$E71),IF(AA$5-$D71+1&lt;=ROUND(($E71-$D71+1)*$F71,0),2,IF(AA$5&lt;CFG_CurWeek,3,1)),""))</f>
        <v/>
      </c>
      <c r="AB71" s="66" t="str">
        <f aca="false">IF(OR($D71="",$E71=""),"",IF(AND(AB$5&gt;=$D71,AB$5&lt;=$E71),IF(AB$5-$D71+1&lt;=ROUND(($E71-$D71+1)*$F71,0),2,IF(AB$5&lt;CFG_CurWeek,3,1)),""))</f>
        <v/>
      </c>
      <c r="AC71" s="66" t="str">
        <f aca="false">IF(OR($D71="",$E71=""),"",IF(AND(AC$5&gt;=$D71,AC$5&lt;=$E71),IF(AC$5-$D71+1&lt;=ROUND(($E71-$D71+1)*$F71,0),2,IF(AC$5&lt;CFG_CurWeek,3,1)),""))</f>
        <v/>
      </c>
      <c r="AD71" s="66" t="str">
        <f aca="false">IF(OR($D71="",$E71=""),"",IF(AND(AD$5&gt;=$D71,AD$5&lt;=$E71),IF(AD$5-$D71+1&lt;=ROUND(($E71-$D71+1)*$F71,0),2,IF(AD$5&lt;CFG_CurWeek,3,1)),""))</f>
        <v/>
      </c>
      <c r="AE71" s="66" t="str">
        <f aca="false">IF(OR($D71="",$E71=""),"",IF(AND(AE$5&gt;=$D71,AE$5&lt;=$E71),IF(AE$5-$D71+1&lt;=ROUND(($E71-$D71+1)*$F71,0),2,IF(AE$5&lt;CFG_CurWeek,3,1)),""))</f>
        <v/>
      </c>
      <c r="AF71" s="66" t="str">
        <f aca="false">IF(OR($D71="",$E71=""),"",IF(AND(AF$5&gt;=$D71,AF$5&lt;=$E71),IF(AF$5-$D71+1&lt;=ROUND(($E71-$D71+1)*$F71,0),2,IF(AF$5&lt;CFG_CurWeek,3,1)),""))</f>
        <v/>
      </c>
      <c r="AG71" s="66" t="str">
        <f aca="false">IF(OR($D71="",$E71=""),"",IF(AND(AG$5&gt;=$D71,AG$5&lt;=$E71),IF(AG$5-$D71+1&lt;=ROUND(($E71-$D71+1)*$F71,0),2,IF(AG$5&lt;CFG_CurWeek,3,1)),""))</f>
        <v/>
      </c>
      <c r="AH71" s="66" t="str">
        <f aca="false">IF(OR($D71="",$E71=""),"",IF(AND(AH$5&gt;=$D71,AH$5&lt;=$E71),IF(AH$5-$D71+1&lt;=ROUND(($E71-$D71+1)*$F71,0),2,IF(AH$5&lt;CFG_CurWeek,3,1)),""))</f>
        <v/>
      </c>
      <c r="AI71" s="66" t="str">
        <f aca="false">IF(OR($D71="",$E71=""),"",IF(AND(AI$5&gt;=$D71,AI$5&lt;=$E71),IF(AI$5-$D71+1&lt;=ROUND(($E71-$D71+1)*$F71,0),2,IF(AI$5&lt;CFG_CurWeek,3,1)),""))</f>
        <v/>
      </c>
      <c r="AJ71" s="66" t="n">
        <f aca="false">IF(OR($D71="",$E71=""),"",IF(AND(AJ$5&gt;=$D71,AJ$5&lt;=$E71),IF(AJ$5-$D71+1&lt;=ROUND(($E71-$D71+1)*$F71,0),2,IF(AJ$5&lt;CFG_CurWeek,3,1)),""))</f>
        <v>1</v>
      </c>
      <c r="AK71" s="66" t="str">
        <f aca="false">IF(OR($D71="",$E71=""),"",IF(AND(AK$5&gt;=$D71,AK$5&lt;=$E71),IF(AK$5-$D71+1&lt;=ROUND(($E71-$D71+1)*$F71,0),2,IF(AK$5&lt;CFG_CurWeek,3,1)),""))</f>
        <v/>
      </c>
      <c r="AL71" s="66" t="str">
        <f aca="false">IF(OR($D71="",$E71=""),"",IF(AND(AL$5&gt;=$D71,AL$5&lt;=$E71),IF(AL$5-$D71+1&lt;=ROUND(($E71-$D71+1)*$F71,0),2,IF(AL$5&lt;CFG_CurWeek,3,1)),""))</f>
        <v/>
      </c>
      <c r="AM71" s="66" t="str">
        <f aca="false">IF(OR($D71="",$E71=""),"",IF(AND(AM$5&gt;=$D71,AM$5&lt;=$E71),IF(AM$5-$D71+1&lt;=ROUND(($E71-$D71+1)*$F71,0),2,IF(AM$5&lt;CFG_CurWeek,3,1)),""))</f>
        <v/>
      </c>
      <c r="AN71" s="66" t="str">
        <f aca="false">IF(OR($D71="",$E71=""),"",IF(AND(AN$5&gt;=$D71,AN$5&lt;=$E71),IF(AN$5-$D71+1&lt;=ROUND(($E71-$D71+1)*$F71,0),2,IF(AN$5&lt;CFG_CurWeek,3,1)),""))</f>
        <v/>
      </c>
      <c r="AO71" s="66" t="str">
        <f aca="false">IF(OR($D71="",$E71=""),"",IF(AND(AO$5&gt;=$D71,AO$5&lt;=$E71),IF(AO$5-$D71+1&lt;=ROUND(($E71-$D71+1)*$F71,0),2,IF(AO$5&lt;CFG_CurWeek,3,1)),""))</f>
        <v/>
      </c>
    </row>
    <row r="72" customFormat="false" ht="15" hidden="false" customHeight="false" outlineLevel="0" collapsed="false">
      <c r="A72" s="63" t="str">
        <f aca="false">IF('01_WBS &amp; Master Plan'!A69="","",'01_WBS &amp; Master Plan'!A69)</f>
        <v>8.7</v>
      </c>
      <c r="B72" s="64" t="str">
        <f aca="false">IF('01_WBS &amp; Master Plan'!D69="","",'01_WBS &amp; Master Plan'!D69)</f>
        <v>Lời đồng bộ: tô sáng dòng đang hát (karaoke), tự cuộn, bấm dòng để tua</v>
      </c>
      <c r="C72" s="63" t="str">
        <f aca="false">IF('01_WBS &amp; Master Plan'!E69="","",'01_WBS &amp; Master Plan'!E69)</f>
        <v>Nhật</v>
      </c>
      <c r="D72" s="63" t="n">
        <f aca="false">IF('01_WBS &amp; Master Plan'!H69="","",'01_WBS &amp; Master Plan'!H69)</f>
        <v>30</v>
      </c>
      <c r="E72" s="63" t="n">
        <f aca="false">IF('01_WBS &amp; Master Plan'!I69="","",'01_WBS &amp; Master Plan'!I69)</f>
        <v>30</v>
      </c>
      <c r="F72" s="65" t="n">
        <f aca="false">IF(B72="","",IF('01_WBS &amp; Master Plan'!K69="Done",1,IF('01_WBS &amp; Master Plan'!L69="",0,'01_WBS &amp; Master Plan'!L69)))</f>
        <v>0</v>
      </c>
      <c r="G72" s="63" t="str">
        <f aca="false">IF('01_WBS &amp; Master Plan'!K69="","",'01_WBS &amp; Master Plan'!K69)</f>
        <v>To Do</v>
      </c>
      <c r="H72" s="66" t="str">
        <f aca="false">IF(OR($D72="",$E72=""),"",IF(AND(H$5&gt;=$D72,H$5&lt;=$E72),IF(H$5-$D72+1&lt;=ROUND(($E72-$D72+1)*$F72,0),2,IF(H$5&lt;CFG_CurWeek,3,1)),""))</f>
        <v/>
      </c>
      <c r="I72" s="66" t="str">
        <f aca="false">IF(OR($D72="",$E72=""),"",IF(AND(I$5&gt;=$D72,I$5&lt;=$E72),IF(I$5-$D72+1&lt;=ROUND(($E72-$D72+1)*$F72,0),2,IF(I$5&lt;CFG_CurWeek,3,1)),""))</f>
        <v/>
      </c>
      <c r="J72" s="66" t="str">
        <f aca="false">IF(OR($D72="",$E72=""),"",IF(AND(J$5&gt;=$D72,J$5&lt;=$E72),IF(J$5-$D72+1&lt;=ROUND(($E72-$D72+1)*$F72,0),2,IF(J$5&lt;CFG_CurWeek,3,1)),""))</f>
        <v/>
      </c>
      <c r="K72" s="66" t="str">
        <f aca="false">IF(OR($D72="",$E72=""),"",IF(AND(K$5&gt;=$D72,K$5&lt;=$E72),IF(K$5-$D72+1&lt;=ROUND(($E72-$D72+1)*$F72,0),2,IF(K$5&lt;CFG_CurWeek,3,1)),""))</f>
        <v/>
      </c>
      <c r="L72" s="66" t="str">
        <f aca="false">IF(OR($D72="",$E72=""),"",IF(AND(L$5&gt;=$D72,L$5&lt;=$E72),IF(L$5-$D72+1&lt;=ROUND(($E72-$D72+1)*$F72,0),2,IF(L$5&lt;CFG_CurWeek,3,1)),""))</f>
        <v/>
      </c>
      <c r="M72" s="66" t="str">
        <f aca="false">IF(OR($D72="",$E72=""),"",IF(AND(M$5&gt;=$D72,M$5&lt;=$E72),IF(M$5-$D72+1&lt;=ROUND(($E72-$D72+1)*$F72,0),2,IF(M$5&lt;CFG_CurWeek,3,1)),""))</f>
        <v/>
      </c>
      <c r="N72" s="66" t="str">
        <f aca="false">IF(OR($D72="",$E72=""),"",IF(AND(N$5&gt;=$D72,N$5&lt;=$E72),IF(N$5-$D72+1&lt;=ROUND(($E72-$D72+1)*$F72,0),2,IF(N$5&lt;CFG_CurWeek,3,1)),""))</f>
        <v/>
      </c>
      <c r="O72" s="66" t="str">
        <f aca="false">IF(OR($D72="",$E72=""),"",IF(AND(O$5&gt;=$D72,O$5&lt;=$E72),IF(O$5-$D72+1&lt;=ROUND(($E72-$D72+1)*$F72,0),2,IF(O$5&lt;CFG_CurWeek,3,1)),""))</f>
        <v/>
      </c>
      <c r="P72" s="66" t="str">
        <f aca="false">IF(OR($D72="",$E72=""),"",IF(AND(P$5&gt;=$D72,P$5&lt;=$E72),IF(P$5-$D72+1&lt;=ROUND(($E72-$D72+1)*$F72,0),2,IF(P$5&lt;CFG_CurWeek,3,1)),""))</f>
        <v/>
      </c>
      <c r="Q72" s="66" t="str">
        <f aca="false">IF(OR($D72="",$E72=""),"",IF(AND(Q$5&gt;=$D72,Q$5&lt;=$E72),IF(Q$5-$D72+1&lt;=ROUND(($E72-$D72+1)*$F72,0),2,IF(Q$5&lt;CFG_CurWeek,3,1)),""))</f>
        <v/>
      </c>
      <c r="R72" s="66" t="str">
        <f aca="false">IF(OR($D72="",$E72=""),"",IF(AND(R$5&gt;=$D72,R$5&lt;=$E72),IF(R$5-$D72+1&lt;=ROUND(($E72-$D72+1)*$F72,0),2,IF(R$5&lt;CFG_CurWeek,3,1)),""))</f>
        <v/>
      </c>
      <c r="S72" s="66" t="str">
        <f aca="false">IF(OR($D72="",$E72=""),"",IF(AND(S$5&gt;=$D72,S$5&lt;=$E72),IF(S$5-$D72+1&lt;=ROUND(($E72-$D72+1)*$F72,0),2,IF(S$5&lt;CFG_CurWeek,3,1)),""))</f>
        <v/>
      </c>
      <c r="T72" s="66" t="str">
        <f aca="false">IF(OR($D72="",$E72=""),"",IF(AND(T$5&gt;=$D72,T$5&lt;=$E72),IF(T$5-$D72+1&lt;=ROUND(($E72-$D72+1)*$F72,0),2,IF(T$5&lt;CFG_CurWeek,3,1)),""))</f>
        <v/>
      </c>
      <c r="U72" s="66" t="str">
        <f aca="false">IF(OR($D72="",$E72=""),"",IF(AND(U$5&gt;=$D72,U$5&lt;=$E72),IF(U$5-$D72+1&lt;=ROUND(($E72-$D72+1)*$F72,0),2,IF(U$5&lt;CFG_CurWeek,3,1)),""))</f>
        <v/>
      </c>
      <c r="V72" s="66" t="str">
        <f aca="false">IF(OR($D72="",$E72=""),"",IF(AND(V$5&gt;=$D72,V$5&lt;=$E72),IF(V$5-$D72+1&lt;=ROUND(($E72-$D72+1)*$F72,0),2,IF(V$5&lt;CFG_CurWeek,3,1)),""))</f>
        <v/>
      </c>
      <c r="W72" s="66" t="str">
        <f aca="false">IF(OR($D72="",$E72=""),"",IF(AND(W$5&gt;=$D72,W$5&lt;=$E72),IF(W$5-$D72+1&lt;=ROUND(($E72-$D72+1)*$F72,0),2,IF(W$5&lt;CFG_CurWeek,3,1)),""))</f>
        <v/>
      </c>
      <c r="X72" s="66" t="str">
        <f aca="false">IF(OR($D72="",$E72=""),"",IF(AND(X$5&gt;=$D72,X$5&lt;=$E72),IF(X$5-$D72+1&lt;=ROUND(($E72-$D72+1)*$F72,0),2,IF(X$5&lt;CFG_CurWeek,3,1)),""))</f>
        <v/>
      </c>
      <c r="Y72" s="66" t="str">
        <f aca="false">IF(OR($D72="",$E72=""),"",IF(AND(Y$5&gt;=$D72,Y$5&lt;=$E72),IF(Y$5-$D72+1&lt;=ROUND(($E72-$D72+1)*$F72,0),2,IF(Y$5&lt;CFG_CurWeek,3,1)),""))</f>
        <v/>
      </c>
      <c r="Z72" s="66" t="str">
        <f aca="false">IF(OR($D72="",$E72=""),"",IF(AND(Z$5&gt;=$D72,Z$5&lt;=$E72),IF(Z$5-$D72+1&lt;=ROUND(($E72-$D72+1)*$F72,0),2,IF(Z$5&lt;CFG_CurWeek,3,1)),""))</f>
        <v/>
      </c>
      <c r="AA72" s="66" t="str">
        <f aca="false">IF(OR($D72="",$E72=""),"",IF(AND(AA$5&gt;=$D72,AA$5&lt;=$E72),IF(AA$5-$D72+1&lt;=ROUND(($E72-$D72+1)*$F72,0),2,IF(AA$5&lt;CFG_CurWeek,3,1)),""))</f>
        <v/>
      </c>
      <c r="AB72" s="66" t="str">
        <f aca="false">IF(OR($D72="",$E72=""),"",IF(AND(AB$5&gt;=$D72,AB$5&lt;=$E72),IF(AB$5-$D72+1&lt;=ROUND(($E72-$D72+1)*$F72,0),2,IF(AB$5&lt;CFG_CurWeek,3,1)),""))</f>
        <v/>
      </c>
      <c r="AC72" s="66" t="str">
        <f aca="false">IF(OR($D72="",$E72=""),"",IF(AND(AC$5&gt;=$D72,AC$5&lt;=$E72),IF(AC$5-$D72+1&lt;=ROUND(($E72-$D72+1)*$F72,0),2,IF(AC$5&lt;CFG_CurWeek,3,1)),""))</f>
        <v/>
      </c>
      <c r="AD72" s="66" t="str">
        <f aca="false">IF(OR($D72="",$E72=""),"",IF(AND(AD$5&gt;=$D72,AD$5&lt;=$E72),IF(AD$5-$D72+1&lt;=ROUND(($E72-$D72+1)*$F72,0),2,IF(AD$5&lt;CFG_CurWeek,3,1)),""))</f>
        <v/>
      </c>
      <c r="AE72" s="66" t="str">
        <f aca="false">IF(OR($D72="",$E72=""),"",IF(AND(AE$5&gt;=$D72,AE$5&lt;=$E72),IF(AE$5-$D72+1&lt;=ROUND(($E72-$D72+1)*$F72,0),2,IF(AE$5&lt;CFG_CurWeek,3,1)),""))</f>
        <v/>
      </c>
      <c r="AF72" s="66" t="str">
        <f aca="false">IF(OR($D72="",$E72=""),"",IF(AND(AF$5&gt;=$D72,AF$5&lt;=$E72),IF(AF$5-$D72+1&lt;=ROUND(($E72-$D72+1)*$F72,0),2,IF(AF$5&lt;CFG_CurWeek,3,1)),""))</f>
        <v/>
      </c>
      <c r="AG72" s="66" t="str">
        <f aca="false">IF(OR($D72="",$E72=""),"",IF(AND(AG$5&gt;=$D72,AG$5&lt;=$E72),IF(AG$5-$D72+1&lt;=ROUND(($E72-$D72+1)*$F72,0),2,IF(AG$5&lt;CFG_CurWeek,3,1)),""))</f>
        <v/>
      </c>
      <c r="AH72" s="66" t="str">
        <f aca="false">IF(OR($D72="",$E72=""),"",IF(AND(AH$5&gt;=$D72,AH$5&lt;=$E72),IF(AH$5-$D72+1&lt;=ROUND(($E72-$D72+1)*$F72,0),2,IF(AH$5&lt;CFG_CurWeek,3,1)),""))</f>
        <v/>
      </c>
      <c r="AI72" s="66" t="str">
        <f aca="false">IF(OR($D72="",$E72=""),"",IF(AND(AI$5&gt;=$D72,AI$5&lt;=$E72),IF(AI$5-$D72+1&lt;=ROUND(($E72-$D72+1)*$F72,0),2,IF(AI$5&lt;CFG_CurWeek,3,1)),""))</f>
        <v/>
      </c>
      <c r="AJ72" s="66" t="str">
        <f aca="false">IF(OR($D72="",$E72=""),"",IF(AND(AJ$5&gt;=$D72,AJ$5&lt;=$E72),IF(AJ$5-$D72+1&lt;=ROUND(($E72-$D72+1)*$F72,0),2,IF(AJ$5&lt;CFG_CurWeek,3,1)),""))</f>
        <v/>
      </c>
      <c r="AK72" s="66" t="n">
        <f aca="false">IF(OR($D72="",$E72=""),"",IF(AND(AK$5&gt;=$D72,AK$5&lt;=$E72),IF(AK$5-$D72+1&lt;=ROUND(($E72-$D72+1)*$F72,0),2,IF(AK$5&lt;CFG_CurWeek,3,1)),""))</f>
        <v>1</v>
      </c>
      <c r="AL72" s="66" t="str">
        <f aca="false">IF(OR($D72="",$E72=""),"",IF(AND(AL$5&gt;=$D72,AL$5&lt;=$E72),IF(AL$5-$D72+1&lt;=ROUND(($E72-$D72+1)*$F72,0),2,IF(AL$5&lt;CFG_CurWeek,3,1)),""))</f>
        <v/>
      </c>
      <c r="AM72" s="66" t="str">
        <f aca="false">IF(OR($D72="",$E72=""),"",IF(AND(AM$5&gt;=$D72,AM$5&lt;=$E72),IF(AM$5-$D72+1&lt;=ROUND(($E72-$D72+1)*$F72,0),2,IF(AM$5&lt;CFG_CurWeek,3,1)),""))</f>
        <v/>
      </c>
      <c r="AN72" s="66" t="str">
        <f aca="false">IF(OR($D72="",$E72=""),"",IF(AND(AN$5&gt;=$D72,AN$5&lt;=$E72),IF(AN$5-$D72+1&lt;=ROUND(($E72-$D72+1)*$F72,0),2,IF(AN$5&lt;CFG_CurWeek,3,1)),""))</f>
        <v/>
      </c>
      <c r="AO72" s="66" t="str">
        <f aca="false">IF(OR($D72="",$E72=""),"",IF(AND(AO$5&gt;=$D72,AO$5&lt;=$E72),IF(AO$5-$D72+1&lt;=ROUND(($E72-$D72+1)*$F72,0),2,IF(AO$5&lt;CFG_CurWeek,3,1)),""))</f>
        <v/>
      </c>
    </row>
    <row r="73" customFormat="false" ht="15" hidden="false" customHeight="false" outlineLevel="0" collapsed="false">
      <c r="A73" s="63" t="str">
        <f aca="false">IF('01_WBS &amp; Master Plan'!A70="","",'01_WBS &amp; Master Plan'!A70)</f>
        <v>8.8</v>
      </c>
      <c r="B73" s="64" t="str">
        <f aca="false">IF('01_WBS &amp; Master Plan'!D70="","",'01_WBS &amp; Master Plan'!D70)</f>
        <v>Kiểm thử chế độ máy bay trên Android, iOS, desktop</v>
      </c>
      <c r="C73" s="63" t="str">
        <f aca="false">IF('01_WBS &amp; Master Plan'!E70="","",'01_WBS &amp; Master Plan'!E70)</f>
        <v>Nhật</v>
      </c>
      <c r="D73" s="63" t="n">
        <f aca="false">IF('01_WBS &amp; Master Plan'!H70="","",'01_WBS &amp; Master Plan'!H70)</f>
        <v>30</v>
      </c>
      <c r="E73" s="63" t="n">
        <f aca="false">IF('01_WBS &amp; Master Plan'!I70="","",'01_WBS &amp; Master Plan'!I70)</f>
        <v>30</v>
      </c>
      <c r="F73" s="65" t="n">
        <f aca="false">IF(B73="","",IF('01_WBS &amp; Master Plan'!K70="Done",1,IF('01_WBS &amp; Master Plan'!L70="",0,'01_WBS &amp; Master Plan'!L70)))</f>
        <v>0</v>
      </c>
      <c r="G73" s="63" t="str">
        <f aca="false">IF('01_WBS &amp; Master Plan'!K70="","",'01_WBS &amp; Master Plan'!K70)</f>
        <v>To Do</v>
      </c>
      <c r="H73" s="66" t="str">
        <f aca="false">IF(OR($D73="",$E73=""),"",IF(AND(H$5&gt;=$D73,H$5&lt;=$E73),IF(H$5-$D73+1&lt;=ROUND(($E73-$D73+1)*$F73,0),2,IF(H$5&lt;CFG_CurWeek,3,1)),""))</f>
        <v/>
      </c>
      <c r="I73" s="66" t="str">
        <f aca="false">IF(OR($D73="",$E73=""),"",IF(AND(I$5&gt;=$D73,I$5&lt;=$E73),IF(I$5-$D73+1&lt;=ROUND(($E73-$D73+1)*$F73,0),2,IF(I$5&lt;CFG_CurWeek,3,1)),""))</f>
        <v/>
      </c>
      <c r="J73" s="66" t="str">
        <f aca="false">IF(OR($D73="",$E73=""),"",IF(AND(J$5&gt;=$D73,J$5&lt;=$E73),IF(J$5-$D73+1&lt;=ROUND(($E73-$D73+1)*$F73,0),2,IF(J$5&lt;CFG_CurWeek,3,1)),""))</f>
        <v/>
      </c>
      <c r="K73" s="66" t="str">
        <f aca="false">IF(OR($D73="",$E73=""),"",IF(AND(K$5&gt;=$D73,K$5&lt;=$E73),IF(K$5-$D73+1&lt;=ROUND(($E73-$D73+1)*$F73,0),2,IF(K$5&lt;CFG_CurWeek,3,1)),""))</f>
        <v/>
      </c>
      <c r="L73" s="66" t="str">
        <f aca="false">IF(OR($D73="",$E73=""),"",IF(AND(L$5&gt;=$D73,L$5&lt;=$E73),IF(L$5-$D73+1&lt;=ROUND(($E73-$D73+1)*$F73,0),2,IF(L$5&lt;CFG_CurWeek,3,1)),""))</f>
        <v/>
      </c>
      <c r="M73" s="66" t="str">
        <f aca="false">IF(OR($D73="",$E73=""),"",IF(AND(M$5&gt;=$D73,M$5&lt;=$E73),IF(M$5-$D73+1&lt;=ROUND(($E73-$D73+1)*$F73,0),2,IF(M$5&lt;CFG_CurWeek,3,1)),""))</f>
        <v/>
      </c>
      <c r="N73" s="66" t="str">
        <f aca="false">IF(OR($D73="",$E73=""),"",IF(AND(N$5&gt;=$D73,N$5&lt;=$E73),IF(N$5-$D73+1&lt;=ROUND(($E73-$D73+1)*$F73,0),2,IF(N$5&lt;CFG_CurWeek,3,1)),""))</f>
        <v/>
      </c>
      <c r="O73" s="66" t="str">
        <f aca="false">IF(OR($D73="",$E73=""),"",IF(AND(O$5&gt;=$D73,O$5&lt;=$E73),IF(O$5-$D73+1&lt;=ROUND(($E73-$D73+1)*$F73,0),2,IF(O$5&lt;CFG_CurWeek,3,1)),""))</f>
        <v/>
      </c>
      <c r="P73" s="66" t="str">
        <f aca="false">IF(OR($D73="",$E73=""),"",IF(AND(P$5&gt;=$D73,P$5&lt;=$E73),IF(P$5-$D73+1&lt;=ROUND(($E73-$D73+1)*$F73,0),2,IF(P$5&lt;CFG_CurWeek,3,1)),""))</f>
        <v/>
      </c>
      <c r="Q73" s="66" t="str">
        <f aca="false">IF(OR($D73="",$E73=""),"",IF(AND(Q$5&gt;=$D73,Q$5&lt;=$E73),IF(Q$5-$D73+1&lt;=ROUND(($E73-$D73+1)*$F73,0),2,IF(Q$5&lt;CFG_CurWeek,3,1)),""))</f>
        <v/>
      </c>
      <c r="R73" s="66" t="str">
        <f aca="false">IF(OR($D73="",$E73=""),"",IF(AND(R$5&gt;=$D73,R$5&lt;=$E73),IF(R$5-$D73+1&lt;=ROUND(($E73-$D73+1)*$F73,0),2,IF(R$5&lt;CFG_CurWeek,3,1)),""))</f>
        <v/>
      </c>
      <c r="S73" s="66" t="str">
        <f aca="false">IF(OR($D73="",$E73=""),"",IF(AND(S$5&gt;=$D73,S$5&lt;=$E73),IF(S$5-$D73+1&lt;=ROUND(($E73-$D73+1)*$F73,0),2,IF(S$5&lt;CFG_CurWeek,3,1)),""))</f>
        <v/>
      </c>
      <c r="T73" s="66" t="str">
        <f aca="false">IF(OR($D73="",$E73=""),"",IF(AND(T$5&gt;=$D73,T$5&lt;=$E73),IF(T$5-$D73+1&lt;=ROUND(($E73-$D73+1)*$F73,0),2,IF(T$5&lt;CFG_CurWeek,3,1)),""))</f>
        <v/>
      </c>
      <c r="U73" s="66" t="str">
        <f aca="false">IF(OR($D73="",$E73=""),"",IF(AND(U$5&gt;=$D73,U$5&lt;=$E73),IF(U$5-$D73+1&lt;=ROUND(($E73-$D73+1)*$F73,0),2,IF(U$5&lt;CFG_CurWeek,3,1)),""))</f>
        <v/>
      </c>
      <c r="V73" s="66" t="str">
        <f aca="false">IF(OR($D73="",$E73=""),"",IF(AND(V$5&gt;=$D73,V$5&lt;=$E73),IF(V$5-$D73+1&lt;=ROUND(($E73-$D73+1)*$F73,0),2,IF(V$5&lt;CFG_CurWeek,3,1)),""))</f>
        <v/>
      </c>
      <c r="W73" s="66" t="str">
        <f aca="false">IF(OR($D73="",$E73=""),"",IF(AND(W$5&gt;=$D73,W$5&lt;=$E73),IF(W$5-$D73+1&lt;=ROUND(($E73-$D73+1)*$F73,0),2,IF(W$5&lt;CFG_CurWeek,3,1)),""))</f>
        <v/>
      </c>
      <c r="X73" s="66" t="str">
        <f aca="false">IF(OR($D73="",$E73=""),"",IF(AND(X$5&gt;=$D73,X$5&lt;=$E73),IF(X$5-$D73+1&lt;=ROUND(($E73-$D73+1)*$F73,0),2,IF(X$5&lt;CFG_CurWeek,3,1)),""))</f>
        <v/>
      </c>
      <c r="Y73" s="66" t="str">
        <f aca="false">IF(OR($D73="",$E73=""),"",IF(AND(Y$5&gt;=$D73,Y$5&lt;=$E73),IF(Y$5-$D73+1&lt;=ROUND(($E73-$D73+1)*$F73,0),2,IF(Y$5&lt;CFG_CurWeek,3,1)),""))</f>
        <v/>
      </c>
      <c r="Z73" s="66" t="str">
        <f aca="false">IF(OR($D73="",$E73=""),"",IF(AND(Z$5&gt;=$D73,Z$5&lt;=$E73),IF(Z$5-$D73+1&lt;=ROUND(($E73-$D73+1)*$F73,0),2,IF(Z$5&lt;CFG_CurWeek,3,1)),""))</f>
        <v/>
      </c>
      <c r="AA73" s="66" t="str">
        <f aca="false">IF(OR($D73="",$E73=""),"",IF(AND(AA$5&gt;=$D73,AA$5&lt;=$E73),IF(AA$5-$D73+1&lt;=ROUND(($E73-$D73+1)*$F73,0),2,IF(AA$5&lt;CFG_CurWeek,3,1)),""))</f>
        <v/>
      </c>
      <c r="AB73" s="66" t="str">
        <f aca="false">IF(OR($D73="",$E73=""),"",IF(AND(AB$5&gt;=$D73,AB$5&lt;=$E73),IF(AB$5-$D73+1&lt;=ROUND(($E73-$D73+1)*$F73,0),2,IF(AB$5&lt;CFG_CurWeek,3,1)),""))</f>
        <v/>
      </c>
      <c r="AC73" s="66" t="str">
        <f aca="false">IF(OR($D73="",$E73=""),"",IF(AND(AC$5&gt;=$D73,AC$5&lt;=$E73),IF(AC$5-$D73+1&lt;=ROUND(($E73-$D73+1)*$F73,0),2,IF(AC$5&lt;CFG_CurWeek,3,1)),""))</f>
        <v/>
      </c>
      <c r="AD73" s="66" t="str">
        <f aca="false">IF(OR($D73="",$E73=""),"",IF(AND(AD$5&gt;=$D73,AD$5&lt;=$E73),IF(AD$5-$D73+1&lt;=ROUND(($E73-$D73+1)*$F73,0),2,IF(AD$5&lt;CFG_CurWeek,3,1)),""))</f>
        <v/>
      </c>
      <c r="AE73" s="66" t="str">
        <f aca="false">IF(OR($D73="",$E73=""),"",IF(AND(AE$5&gt;=$D73,AE$5&lt;=$E73),IF(AE$5-$D73+1&lt;=ROUND(($E73-$D73+1)*$F73,0),2,IF(AE$5&lt;CFG_CurWeek,3,1)),""))</f>
        <v/>
      </c>
      <c r="AF73" s="66" t="str">
        <f aca="false">IF(OR($D73="",$E73=""),"",IF(AND(AF$5&gt;=$D73,AF$5&lt;=$E73),IF(AF$5-$D73+1&lt;=ROUND(($E73-$D73+1)*$F73,0),2,IF(AF$5&lt;CFG_CurWeek,3,1)),""))</f>
        <v/>
      </c>
      <c r="AG73" s="66" t="str">
        <f aca="false">IF(OR($D73="",$E73=""),"",IF(AND(AG$5&gt;=$D73,AG$5&lt;=$E73),IF(AG$5-$D73+1&lt;=ROUND(($E73-$D73+1)*$F73,0),2,IF(AG$5&lt;CFG_CurWeek,3,1)),""))</f>
        <v/>
      </c>
      <c r="AH73" s="66" t="str">
        <f aca="false">IF(OR($D73="",$E73=""),"",IF(AND(AH$5&gt;=$D73,AH$5&lt;=$E73),IF(AH$5-$D73+1&lt;=ROUND(($E73-$D73+1)*$F73,0),2,IF(AH$5&lt;CFG_CurWeek,3,1)),""))</f>
        <v/>
      </c>
      <c r="AI73" s="66" t="str">
        <f aca="false">IF(OR($D73="",$E73=""),"",IF(AND(AI$5&gt;=$D73,AI$5&lt;=$E73),IF(AI$5-$D73+1&lt;=ROUND(($E73-$D73+1)*$F73,0),2,IF(AI$5&lt;CFG_CurWeek,3,1)),""))</f>
        <v/>
      </c>
      <c r="AJ73" s="66" t="str">
        <f aca="false">IF(OR($D73="",$E73=""),"",IF(AND(AJ$5&gt;=$D73,AJ$5&lt;=$E73),IF(AJ$5-$D73+1&lt;=ROUND(($E73-$D73+1)*$F73,0),2,IF(AJ$5&lt;CFG_CurWeek,3,1)),""))</f>
        <v/>
      </c>
      <c r="AK73" s="66" t="n">
        <f aca="false">IF(OR($D73="",$E73=""),"",IF(AND(AK$5&gt;=$D73,AK$5&lt;=$E73),IF(AK$5-$D73+1&lt;=ROUND(($E73-$D73+1)*$F73,0),2,IF(AK$5&lt;CFG_CurWeek,3,1)),""))</f>
        <v>1</v>
      </c>
      <c r="AL73" s="66" t="str">
        <f aca="false">IF(OR($D73="",$E73=""),"",IF(AND(AL$5&gt;=$D73,AL$5&lt;=$E73),IF(AL$5-$D73+1&lt;=ROUND(($E73-$D73+1)*$F73,0),2,IF(AL$5&lt;CFG_CurWeek,3,1)),""))</f>
        <v/>
      </c>
      <c r="AM73" s="66" t="str">
        <f aca="false">IF(OR($D73="",$E73=""),"",IF(AND(AM$5&gt;=$D73,AM$5&lt;=$E73),IF(AM$5-$D73+1&lt;=ROUND(($E73-$D73+1)*$F73,0),2,IF(AM$5&lt;CFG_CurWeek,3,1)),""))</f>
        <v/>
      </c>
      <c r="AN73" s="66" t="str">
        <f aca="false">IF(OR($D73="",$E73=""),"",IF(AND(AN$5&gt;=$D73,AN$5&lt;=$E73),IF(AN$5-$D73+1&lt;=ROUND(($E73-$D73+1)*$F73,0),2,IF(AN$5&lt;CFG_CurWeek,3,1)),""))</f>
        <v/>
      </c>
      <c r="AO73" s="66" t="str">
        <f aca="false">IF(OR($D73="",$E73=""),"",IF(AND(AO$5&gt;=$D73,AO$5&lt;=$E73),IF(AO$5-$D73+1&lt;=ROUND(($E73-$D73+1)*$F73,0),2,IF(AO$5&lt;CFG_CurWeek,3,1)),""))</f>
        <v/>
      </c>
    </row>
    <row r="74" customFormat="false" ht="15" hidden="false" customHeight="false" outlineLevel="0" collapsed="false">
      <c r="A74" s="63" t="str">
        <f aca="false">IF('01_WBS &amp; Master Plan'!A71="","",'01_WBS &amp; Master Plan'!A71)</f>
        <v>9.1</v>
      </c>
      <c r="B74" s="64" t="str">
        <f aca="false">IF('01_WBS &amp; Master Plan'!D71="","",'01_WBS &amp; Master Plan'!D71)</f>
        <v>Học Docker, deploy, CI/CD</v>
      </c>
      <c r="C74" s="63" t="str">
        <f aca="false">IF('01_WBS &amp; Master Plan'!E71="","",'01_WBS &amp; Master Plan'!E71)</f>
        <v>Nhật</v>
      </c>
      <c r="D74" s="63" t="n">
        <f aca="false">IF('01_WBS &amp; Master Plan'!H71="","",'01_WBS &amp; Master Plan'!H71)</f>
        <v>31</v>
      </c>
      <c r="E74" s="63" t="n">
        <f aca="false">IF('01_WBS &amp; Master Plan'!I71="","",'01_WBS &amp; Master Plan'!I71)</f>
        <v>31</v>
      </c>
      <c r="F74" s="65" t="n">
        <f aca="false">IF(B74="","",IF('01_WBS &amp; Master Plan'!K71="Done",1,IF('01_WBS &amp; Master Plan'!L71="",0,'01_WBS &amp; Master Plan'!L71)))</f>
        <v>0</v>
      </c>
      <c r="G74" s="63" t="str">
        <f aca="false">IF('01_WBS &amp; Master Plan'!K71="","",'01_WBS &amp; Master Plan'!K71)</f>
        <v>To Do</v>
      </c>
      <c r="H74" s="66" t="str">
        <f aca="false">IF(OR($D74="",$E74=""),"",IF(AND(H$5&gt;=$D74,H$5&lt;=$E74),IF(H$5-$D74+1&lt;=ROUND(($E74-$D74+1)*$F74,0),2,IF(H$5&lt;CFG_CurWeek,3,1)),""))</f>
        <v/>
      </c>
      <c r="I74" s="66" t="str">
        <f aca="false">IF(OR($D74="",$E74=""),"",IF(AND(I$5&gt;=$D74,I$5&lt;=$E74),IF(I$5-$D74+1&lt;=ROUND(($E74-$D74+1)*$F74,0),2,IF(I$5&lt;CFG_CurWeek,3,1)),""))</f>
        <v/>
      </c>
      <c r="J74" s="66" t="str">
        <f aca="false">IF(OR($D74="",$E74=""),"",IF(AND(J$5&gt;=$D74,J$5&lt;=$E74),IF(J$5-$D74+1&lt;=ROUND(($E74-$D74+1)*$F74,0),2,IF(J$5&lt;CFG_CurWeek,3,1)),""))</f>
        <v/>
      </c>
      <c r="K74" s="66" t="str">
        <f aca="false">IF(OR($D74="",$E74=""),"",IF(AND(K$5&gt;=$D74,K$5&lt;=$E74),IF(K$5-$D74+1&lt;=ROUND(($E74-$D74+1)*$F74,0),2,IF(K$5&lt;CFG_CurWeek,3,1)),""))</f>
        <v/>
      </c>
      <c r="L74" s="66" t="str">
        <f aca="false">IF(OR($D74="",$E74=""),"",IF(AND(L$5&gt;=$D74,L$5&lt;=$E74),IF(L$5-$D74+1&lt;=ROUND(($E74-$D74+1)*$F74,0),2,IF(L$5&lt;CFG_CurWeek,3,1)),""))</f>
        <v/>
      </c>
      <c r="M74" s="66" t="str">
        <f aca="false">IF(OR($D74="",$E74=""),"",IF(AND(M$5&gt;=$D74,M$5&lt;=$E74),IF(M$5-$D74+1&lt;=ROUND(($E74-$D74+1)*$F74,0),2,IF(M$5&lt;CFG_CurWeek,3,1)),""))</f>
        <v/>
      </c>
      <c r="N74" s="66" t="str">
        <f aca="false">IF(OR($D74="",$E74=""),"",IF(AND(N$5&gt;=$D74,N$5&lt;=$E74),IF(N$5-$D74+1&lt;=ROUND(($E74-$D74+1)*$F74,0),2,IF(N$5&lt;CFG_CurWeek,3,1)),""))</f>
        <v/>
      </c>
      <c r="O74" s="66" t="str">
        <f aca="false">IF(OR($D74="",$E74=""),"",IF(AND(O$5&gt;=$D74,O$5&lt;=$E74),IF(O$5-$D74+1&lt;=ROUND(($E74-$D74+1)*$F74,0),2,IF(O$5&lt;CFG_CurWeek,3,1)),""))</f>
        <v/>
      </c>
      <c r="P74" s="66" t="str">
        <f aca="false">IF(OR($D74="",$E74=""),"",IF(AND(P$5&gt;=$D74,P$5&lt;=$E74),IF(P$5-$D74+1&lt;=ROUND(($E74-$D74+1)*$F74,0),2,IF(P$5&lt;CFG_CurWeek,3,1)),""))</f>
        <v/>
      </c>
      <c r="Q74" s="66" t="str">
        <f aca="false">IF(OR($D74="",$E74=""),"",IF(AND(Q$5&gt;=$D74,Q$5&lt;=$E74),IF(Q$5-$D74+1&lt;=ROUND(($E74-$D74+1)*$F74,0),2,IF(Q$5&lt;CFG_CurWeek,3,1)),""))</f>
        <v/>
      </c>
      <c r="R74" s="66" t="str">
        <f aca="false">IF(OR($D74="",$E74=""),"",IF(AND(R$5&gt;=$D74,R$5&lt;=$E74),IF(R$5-$D74+1&lt;=ROUND(($E74-$D74+1)*$F74,0),2,IF(R$5&lt;CFG_CurWeek,3,1)),""))</f>
        <v/>
      </c>
      <c r="S74" s="66" t="str">
        <f aca="false">IF(OR($D74="",$E74=""),"",IF(AND(S$5&gt;=$D74,S$5&lt;=$E74),IF(S$5-$D74+1&lt;=ROUND(($E74-$D74+1)*$F74,0),2,IF(S$5&lt;CFG_CurWeek,3,1)),""))</f>
        <v/>
      </c>
      <c r="T74" s="66" t="str">
        <f aca="false">IF(OR($D74="",$E74=""),"",IF(AND(T$5&gt;=$D74,T$5&lt;=$E74),IF(T$5-$D74+1&lt;=ROUND(($E74-$D74+1)*$F74,0),2,IF(T$5&lt;CFG_CurWeek,3,1)),""))</f>
        <v/>
      </c>
      <c r="U74" s="66" t="str">
        <f aca="false">IF(OR($D74="",$E74=""),"",IF(AND(U$5&gt;=$D74,U$5&lt;=$E74),IF(U$5-$D74+1&lt;=ROUND(($E74-$D74+1)*$F74,0),2,IF(U$5&lt;CFG_CurWeek,3,1)),""))</f>
        <v/>
      </c>
      <c r="V74" s="66" t="str">
        <f aca="false">IF(OR($D74="",$E74=""),"",IF(AND(V$5&gt;=$D74,V$5&lt;=$E74),IF(V$5-$D74+1&lt;=ROUND(($E74-$D74+1)*$F74,0),2,IF(V$5&lt;CFG_CurWeek,3,1)),""))</f>
        <v/>
      </c>
      <c r="W74" s="66" t="str">
        <f aca="false">IF(OR($D74="",$E74=""),"",IF(AND(W$5&gt;=$D74,W$5&lt;=$E74),IF(W$5-$D74+1&lt;=ROUND(($E74-$D74+1)*$F74,0),2,IF(W$5&lt;CFG_CurWeek,3,1)),""))</f>
        <v/>
      </c>
      <c r="X74" s="66" t="str">
        <f aca="false">IF(OR($D74="",$E74=""),"",IF(AND(X$5&gt;=$D74,X$5&lt;=$E74),IF(X$5-$D74+1&lt;=ROUND(($E74-$D74+1)*$F74,0),2,IF(X$5&lt;CFG_CurWeek,3,1)),""))</f>
        <v/>
      </c>
      <c r="Y74" s="66" t="str">
        <f aca="false">IF(OR($D74="",$E74=""),"",IF(AND(Y$5&gt;=$D74,Y$5&lt;=$E74),IF(Y$5-$D74+1&lt;=ROUND(($E74-$D74+1)*$F74,0),2,IF(Y$5&lt;CFG_CurWeek,3,1)),""))</f>
        <v/>
      </c>
      <c r="Z74" s="66" t="str">
        <f aca="false">IF(OR($D74="",$E74=""),"",IF(AND(Z$5&gt;=$D74,Z$5&lt;=$E74),IF(Z$5-$D74+1&lt;=ROUND(($E74-$D74+1)*$F74,0),2,IF(Z$5&lt;CFG_CurWeek,3,1)),""))</f>
        <v/>
      </c>
      <c r="AA74" s="66" t="str">
        <f aca="false">IF(OR($D74="",$E74=""),"",IF(AND(AA$5&gt;=$D74,AA$5&lt;=$E74),IF(AA$5-$D74+1&lt;=ROUND(($E74-$D74+1)*$F74,0),2,IF(AA$5&lt;CFG_CurWeek,3,1)),""))</f>
        <v/>
      </c>
      <c r="AB74" s="66" t="str">
        <f aca="false">IF(OR($D74="",$E74=""),"",IF(AND(AB$5&gt;=$D74,AB$5&lt;=$E74),IF(AB$5-$D74+1&lt;=ROUND(($E74-$D74+1)*$F74,0),2,IF(AB$5&lt;CFG_CurWeek,3,1)),""))</f>
        <v/>
      </c>
      <c r="AC74" s="66" t="str">
        <f aca="false">IF(OR($D74="",$E74=""),"",IF(AND(AC$5&gt;=$D74,AC$5&lt;=$E74),IF(AC$5-$D74+1&lt;=ROUND(($E74-$D74+1)*$F74,0),2,IF(AC$5&lt;CFG_CurWeek,3,1)),""))</f>
        <v/>
      </c>
      <c r="AD74" s="66" t="str">
        <f aca="false">IF(OR($D74="",$E74=""),"",IF(AND(AD$5&gt;=$D74,AD$5&lt;=$E74),IF(AD$5-$D74+1&lt;=ROUND(($E74-$D74+1)*$F74,0),2,IF(AD$5&lt;CFG_CurWeek,3,1)),""))</f>
        <v/>
      </c>
      <c r="AE74" s="66" t="str">
        <f aca="false">IF(OR($D74="",$E74=""),"",IF(AND(AE$5&gt;=$D74,AE$5&lt;=$E74),IF(AE$5-$D74+1&lt;=ROUND(($E74-$D74+1)*$F74,0),2,IF(AE$5&lt;CFG_CurWeek,3,1)),""))</f>
        <v/>
      </c>
      <c r="AF74" s="66" t="str">
        <f aca="false">IF(OR($D74="",$E74=""),"",IF(AND(AF$5&gt;=$D74,AF$5&lt;=$E74),IF(AF$5-$D74+1&lt;=ROUND(($E74-$D74+1)*$F74,0),2,IF(AF$5&lt;CFG_CurWeek,3,1)),""))</f>
        <v/>
      </c>
      <c r="AG74" s="66" t="str">
        <f aca="false">IF(OR($D74="",$E74=""),"",IF(AND(AG$5&gt;=$D74,AG$5&lt;=$E74),IF(AG$5-$D74+1&lt;=ROUND(($E74-$D74+1)*$F74,0),2,IF(AG$5&lt;CFG_CurWeek,3,1)),""))</f>
        <v/>
      </c>
      <c r="AH74" s="66" t="str">
        <f aca="false">IF(OR($D74="",$E74=""),"",IF(AND(AH$5&gt;=$D74,AH$5&lt;=$E74),IF(AH$5-$D74+1&lt;=ROUND(($E74-$D74+1)*$F74,0),2,IF(AH$5&lt;CFG_CurWeek,3,1)),""))</f>
        <v/>
      </c>
      <c r="AI74" s="66" t="str">
        <f aca="false">IF(OR($D74="",$E74=""),"",IF(AND(AI$5&gt;=$D74,AI$5&lt;=$E74),IF(AI$5-$D74+1&lt;=ROUND(($E74-$D74+1)*$F74,0),2,IF(AI$5&lt;CFG_CurWeek,3,1)),""))</f>
        <v/>
      </c>
      <c r="AJ74" s="66" t="str">
        <f aca="false">IF(OR($D74="",$E74=""),"",IF(AND(AJ$5&gt;=$D74,AJ$5&lt;=$E74),IF(AJ$5-$D74+1&lt;=ROUND(($E74-$D74+1)*$F74,0),2,IF(AJ$5&lt;CFG_CurWeek,3,1)),""))</f>
        <v/>
      </c>
      <c r="AK74" s="66" t="str">
        <f aca="false">IF(OR($D74="",$E74=""),"",IF(AND(AK$5&gt;=$D74,AK$5&lt;=$E74),IF(AK$5-$D74+1&lt;=ROUND(($E74-$D74+1)*$F74,0),2,IF(AK$5&lt;CFG_CurWeek,3,1)),""))</f>
        <v/>
      </c>
      <c r="AL74" s="66" t="n">
        <f aca="false">IF(OR($D74="",$E74=""),"",IF(AND(AL$5&gt;=$D74,AL$5&lt;=$E74),IF(AL$5-$D74+1&lt;=ROUND(($E74-$D74+1)*$F74,0),2,IF(AL$5&lt;CFG_CurWeek,3,1)),""))</f>
        <v>1</v>
      </c>
      <c r="AM74" s="66" t="str">
        <f aca="false">IF(OR($D74="",$E74=""),"",IF(AND(AM$5&gt;=$D74,AM$5&lt;=$E74),IF(AM$5-$D74+1&lt;=ROUND(($E74-$D74+1)*$F74,0),2,IF(AM$5&lt;CFG_CurWeek,3,1)),""))</f>
        <v/>
      </c>
      <c r="AN74" s="66" t="str">
        <f aca="false">IF(OR($D74="",$E74=""),"",IF(AND(AN$5&gt;=$D74,AN$5&lt;=$E74),IF(AN$5-$D74+1&lt;=ROUND(($E74-$D74+1)*$F74,0),2,IF(AN$5&lt;CFG_CurWeek,3,1)),""))</f>
        <v/>
      </c>
      <c r="AO74" s="66" t="str">
        <f aca="false">IF(OR($D74="",$E74=""),"",IF(AND(AO$5&gt;=$D74,AO$5&lt;=$E74),IF(AO$5-$D74+1&lt;=ROUND(($E74-$D74+1)*$F74,0),2,IF(AO$5&lt;CFG_CurWeek,3,1)),""))</f>
        <v/>
      </c>
    </row>
    <row r="75" customFormat="false" ht="15" hidden="false" customHeight="false" outlineLevel="0" collapsed="false">
      <c r="A75" s="63" t="str">
        <f aca="false">IF('01_WBS &amp; Master Plan'!A72="","",'01_WBS &amp; Master Plan'!A72)</f>
        <v>9.2</v>
      </c>
      <c r="B75" s="64" t="str">
        <f aca="false">IF('01_WBS &amp; Master Plan'!D72="","",'01_WBS &amp; Master Plan'!D72)</f>
        <v>Bảo mật: helmet, rate limit, CORS whitelist, chống XSS/SQL injection</v>
      </c>
      <c r="C75" s="63" t="str">
        <f aca="false">IF('01_WBS &amp; Master Plan'!E72="","",'01_WBS &amp; Master Plan'!E72)</f>
        <v>Nhật</v>
      </c>
      <c r="D75" s="63" t="n">
        <f aca="false">IF('01_WBS &amp; Master Plan'!H72="","",'01_WBS &amp; Master Plan'!H72)</f>
        <v>31</v>
      </c>
      <c r="E75" s="63" t="n">
        <f aca="false">IF('01_WBS &amp; Master Plan'!I72="","",'01_WBS &amp; Master Plan'!I72)</f>
        <v>31</v>
      </c>
      <c r="F75" s="65" t="n">
        <f aca="false">IF(B75="","",IF('01_WBS &amp; Master Plan'!K72="Done",1,IF('01_WBS &amp; Master Plan'!L72="",0,'01_WBS &amp; Master Plan'!L72)))</f>
        <v>0</v>
      </c>
      <c r="G75" s="63" t="str">
        <f aca="false">IF('01_WBS &amp; Master Plan'!K72="","",'01_WBS &amp; Master Plan'!K72)</f>
        <v>To Do</v>
      </c>
      <c r="H75" s="66" t="str">
        <f aca="false">IF(OR($D75="",$E75=""),"",IF(AND(H$5&gt;=$D75,H$5&lt;=$E75),IF(H$5-$D75+1&lt;=ROUND(($E75-$D75+1)*$F75,0),2,IF(H$5&lt;CFG_CurWeek,3,1)),""))</f>
        <v/>
      </c>
      <c r="I75" s="66" t="str">
        <f aca="false">IF(OR($D75="",$E75=""),"",IF(AND(I$5&gt;=$D75,I$5&lt;=$E75),IF(I$5-$D75+1&lt;=ROUND(($E75-$D75+1)*$F75,0),2,IF(I$5&lt;CFG_CurWeek,3,1)),""))</f>
        <v/>
      </c>
      <c r="J75" s="66" t="str">
        <f aca="false">IF(OR($D75="",$E75=""),"",IF(AND(J$5&gt;=$D75,J$5&lt;=$E75),IF(J$5-$D75+1&lt;=ROUND(($E75-$D75+1)*$F75,0),2,IF(J$5&lt;CFG_CurWeek,3,1)),""))</f>
        <v/>
      </c>
      <c r="K75" s="66" t="str">
        <f aca="false">IF(OR($D75="",$E75=""),"",IF(AND(K$5&gt;=$D75,K$5&lt;=$E75),IF(K$5-$D75+1&lt;=ROUND(($E75-$D75+1)*$F75,0),2,IF(K$5&lt;CFG_CurWeek,3,1)),""))</f>
        <v/>
      </c>
      <c r="L75" s="66" t="str">
        <f aca="false">IF(OR($D75="",$E75=""),"",IF(AND(L$5&gt;=$D75,L$5&lt;=$E75),IF(L$5-$D75+1&lt;=ROUND(($E75-$D75+1)*$F75,0),2,IF(L$5&lt;CFG_CurWeek,3,1)),""))</f>
        <v/>
      </c>
      <c r="M75" s="66" t="str">
        <f aca="false">IF(OR($D75="",$E75=""),"",IF(AND(M$5&gt;=$D75,M$5&lt;=$E75),IF(M$5-$D75+1&lt;=ROUND(($E75-$D75+1)*$F75,0),2,IF(M$5&lt;CFG_CurWeek,3,1)),""))</f>
        <v/>
      </c>
      <c r="N75" s="66" t="str">
        <f aca="false">IF(OR($D75="",$E75=""),"",IF(AND(N$5&gt;=$D75,N$5&lt;=$E75),IF(N$5-$D75+1&lt;=ROUND(($E75-$D75+1)*$F75,0),2,IF(N$5&lt;CFG_CurWeek,3,1)),""))</f>
        <v/>
      </c>
      <c r="O75" s="66" t="str">
        <f aca="false">IF(OR($D75="",$E75=""),"",IF(AND(O$5&gt;=$D75,O$5&lt;=$E75),IF(O$5-$D75+1&lt;=ROUND(($E75-$D75+1)*$F75,0),2,IF(O$5&lt;CFG_CurWeek,3,1)),""))</f>
        <v/>
      </c>
      <c r="P75" s="66" t="str">
        <f aca="false">IF(OR($D75="",$E75=""),"",IF(AND(P$5&gt;=$D75,P$5&lt;=$E75),IF(P$5-$D75+1&lt;=ROUND(($E75-$D75+1)*$F75,0),2,IF(P$5&lt;CFG_CurWeek,3,1)),""))</f>
        <v/>
      </c>
      <c r="Q75" s="66" t="str">
        <f aca="false">IF(OR($D75="",$E75=""),"",IF(AND(Q$5&gt;=$D75,Q$5&lt;=$E75),IF(Q$5-$D75+1&lt;=ROUND(($E75-$D75+1)*$F75,0),2,IF(Q$5&lt;CFG_CurWeek,3,1)),""))</f>
        <v/>
      </c>
      <c r="R75" s="66" t="str">
        <f aca="false">IF(OR($D75="",$E75=""),"",IF(AND(R$5&gt;=$D75,R$5&lt;=$E75),IF(R$5-$D75+1&lt;=ROUND(($E75-$D75+1)*$F75,0),2,IF(R$5&lt;CFG_CurWeek,3,1)),""))</f>
        <v/>
      </c>
      <c r="S75" s="66" t="str">
        <f aca="false">IF(OR($D75="",$E75=""),"",IF(AND(S$5&gt;=$D75,S$5&lt;=$E75),IF(S$5-$D75+1&lt;=ROUND(($E75-$D75+1)*$F75,0),2,IF(S$5&lt;CFG_CurWeek,3,1)),""))</f>
        <v/>
      </c>
      <c r="T75" s="66" t="str">
        <f aca="false">IF(OR($D75="",$E75=""),"",IF(AND(T$5&gt;=$D75,T$5&lt;=$E75),IF(T$5-$D75+1&lt;=ROUND(($E75-$D75+1)*$F75,0),2,IF(T$5&lt;CFG_CurWeek,3,1)),""))</f>
        <v/>
      </c>
      <c r="U75" s="66" t="str">
        <f aca="false">IF(OR($D75="",$E75=""),"",IF(AND(U$5&gt;=$D75,U$5&lt;=$E75),IF(U$5-$D75+1&lt;=ROUND(($E75-$D75+1)*$F75,0),2,IF(U$5&lt;CFG_CurWeek,3,1)),""))</f>
        <v/>
      </c>
      <c r="V75" s="66" t="str">
        <f aca="false">IF(OR($D75="",$E75=""),"",IF(AND(V$5&gt;=$D75,V$5&lt;=$E75),IF(V$5-$D75+1&lt;=ROUND(($E75-$D75+1)*$F75,0),2,IF(V$5&lt;CFG_CurWeek,3,1)),""))</f>
        <v/>
      </c>
      <c r="W75" s="66" t="str">
        <f aca="false">IF(OR($D75="",$E75=""),"",IF(AND(W$5&gt;=$D75,W$5&lt;=$E75),IF(W$5-$D75+1&lt;=ROUND(($E75-$D75+1)*$F75,0),2,IF(W$5&lt;CFG_CurWeek,3,1)),""))</f>
        <v/>
      </c>
      <c r="X75" s="66" t="str">
        <f aca="false">IF(OR($D75="",$E75=""),"",IF(AND(X$5&gt;=$D75,X$5&lt;=$E75),IF(X$5-$D75+1&lt;=ROUND(($E75-$D75+1)*$F75,0),2,IF(X$5&lt;CFG_CurWeek,3,1)),""))</f>
        <v/>
      </c>
      <c r="Y75" s="66" t="str">
        <f aca="false">IF(OR($D75="",$E75=""),"",IF(AND(Y$5&gt;=$D75,Y$5&lt;=$E75),IF(Y$5-$D75+1&lt;=ROUND(($E75-$D75+1)*$F75,0),2,IF(Y$5&lt;CFG_CurWeek,3,1)),""))</f>
        <v/>
      </c>
      <c r="Z75" s="66" t="str">
        <f aca="false">IF(OR($D75="",$E75=""),"",IF(AND(Z$5&gt;=$D75,Z$5&lt;=$E75),IF(Z$5-$D75+1&lt;=ROUND(($E75-$D75+1)*$F75,0),2,IF(Z$5&lt;CFG_CurWeek,3,1)),""))</f>
        <v/>
      </c>
      <c r="AA75" s="66" t="str">
        <f aca="false">IF(OR($D75="",$E75=""),"",IF(AND(AA$5&gt;=$D75,AA$5&lt;=$E75),IF(AA$5-$D75+1&lt;=ROUND(($E75-$D75+1)*$F75,0),2,IF(AA$5&lt;CFG_CurWeek,3,1)),""))</f>
        <v/>
      </c>
      <c r="AB75" s="66" t="str">
        <f aca="false">IF(OR($D75="",$E75=""),"",IF(AND(AB$5&gt;=$D75,AB$5&lt;=$E75),IF(AB$5-$D75+1&lt;=ROUND(($E75-$D75+1)*$F75,0),2,IF(AB$5&lt;CFG_CurWeek,3,1)),""))</f>
        <v/>
      </c>
      <c r="AC75" s="66" t="str">
        <f aca="false">IF(OR($D75="",$E75=""),"",IF(AND(AC$5&gt;=$D75,AC$5&lt;=$E75),IF(AC$5-$D75+1&lt;=ROUND(($E75-$D75+1)*$F75,0),2,IF(AC$5&lt;CFG_CurWeek,3,1)),""))</f>
        <v/>
      </c>
      <c r="AD75" s="66" t="str">
        <f aca="false">IF(OR($D75="",$E75=""),"",IF(AND(AD$5&gt;=$D75,AD$5&lt;=$E75),IF(AD$5-$D75+1&lt;=ROUND(($E75-$D75+1)*$F75,0),2,IF(AD$5&lt;CFG_CurWeek,3,1)),""))</f>
        <v/>
      </c>
      <c r="AE75" s="66" t="str">
        <f aca="false">IF(OR($D75="",$E75=""),"",IF(AND(AE$5&gt;=$D75,AE$5&lt;=$E75),IF(AE$5-$D75+1&lt;=ROUND(($E75-$D75+1)*$F75,0),2,IF(AE$5&lt;CFG_CurWeek,3,1)),""))</f>
        <v/>
      </c>
      <c r="AF75" s="66" t="str">
        <f aca="false">IF(OR($D75="",$E75=""),"",IF(AND(AF$5&gt;=$D75,AF$5&lt;=$E75),IF(AF$5-$D75+1&lt;=ROUND(($E75-$D75+1)*$F75,0),2,IF(AF$5&lt;CFG_CurWeek,3,1)),""))</f>
        <v/>
      </c>
      <c r="AG75" s="66" t="str">
        <f aca="false">IF(OR($D75="",$E75=""),"",IF(AND(AG$5&gt;=$D75,AG$5&lt;=$E75),IF(AG$5-$D75+1&lt;=ROUND(($E75-$D75+1)*$F75,0),2,IF(AG$5&lt;CFG_CurWeek,3,1)),""))</f>
        <v/>
      </c>
      <c r="AH75" s="66" t="str">
        <f aca="false">IF(OR($D75="",$E75=""),"",IF(AND(AH$5&gt;=$D75,AH$5&lt;=$E75),IF(AH$5-$D75+1&lt;=ROUND(($E75-$D75+1)*$F75,0),2,IF(AH$5&lt;CFG_CurWeek,3,1)),""))</f>
        <v/>
      </c>
      <c r="AI75" s="66" t="str">
        <f aca="false">IF(OR($D75="",$E75=""),"",IF(AND(AI$5&gt;=$D75,AI$5&lt;=$E75),IF(AI$5-$D75+1&lt;=ROUND(($E75-$D75+1)*$F75,0),2,IF(AI$5&lt;CFG_CurWeek,3,1)),""))</f>
        <v/>
      </c>
      <c r="AJ75" s="66" t="str">
        <f aca="false">IF(OR($D75="",$E75=""),"",IF(AND(AJ$5&gt;=$D75,AJ$5&lt;=$E75),IF(AJ$5-$D75+1&lt;=ROUND(($E75-$D75+1)*$F75,0),2,IF(AJ$5&lt;CFG_CurWeek,3,1)),""))</f>
        <v/>
      </c>
      <c r="AK75" s="66" t="str">
        <f aca="false">IF(OR($D75="",$E75=""),"",IF(AND(AK$5&gt;=$D75,AK$5&lt;=$E75),IF(AK$5-$D75+1&lt;=ROUND(($E75-$D75+1)*$F75,0),2,IF(AK$5&lt;CFG_CurWeek,3,1)),""))</f>
        <v/>
      </c>
      <c r="AL75" s="66" t="n">
        <f aca="false">IF(OR($D75="",$E75=""),"",IF(AND(AL$5&gt;=$D75,AL$5&lt;=$E75),IF(AL$5-$D75+1&lt;=ROUND(($E75-$D75+1)*$F75,0),2,IF(AL$5&lt;CFG_CurWeek,3,1)),""))</f>
        <v>1</v>
      </c>
      <c r="AM75" s="66" t="str">
        <f aca="false">IF(OR($D75="",$E75=""),"",IF(AND(AM$5&gt;=$D75,AM$5&lt;=$E75),IF(AM$5-$D75+1&lt;=ROUND(($E75-$D75+1)*$F75,0),2,IF(AM$5&lt;CFG_CurWeek,3,1)),""))</f>
        <v/>
      </c>
      <c r="AN75" s="66" t="str">
        <f aca="false">IF(OR($D75="",$E75=""),"",IF(AND(AN$5&gt;=$D75,AN$5&lt;=$E75),IF(AN$5-$D75+1&lt;=ROUND(($E75-$D75+1)*$F75,0),2,IF(AN$5&lt;CFG_CurWeek,3,1)),""))</f>
        <v/>
      </c>
      <c r="AO75" s="66" t="str">
        <f aca="false">IF(OR($D75="",$E75=""),"",IF(AND(AO$5&gt;=$D75,AO$5&lt;=$E75),IF(AO$5-$D75+1&lt;=ROUND(($E75-$D75+1)*$F75,0),2,IF(AO$5&lt;CFG_CurWeek,3,1)),""))</f>
        <v/>
      </c>
    </row>
    <row r="76" customFormat="false" ht="15" hidden="false" customHeight="false" outlineLevel="0" collapsed="false">
      <c r="A76" s="63" t="str">
        <f aca="false">IF('01_WBS &amp; Master Plan'!A73="","",'01_WBS &amp; Master Plan'!A73)</f>
        <v>9.3</v>
      </c>
      <c r="B76" s="64" t="str">
        <f aca="false">IF('01_WBS &amp; Master Plan'!D73="","",'01_WBS &amp; Master Plan'!D73)</f>
        <v>Đếm lượt nghe + bảng xếp hạng tuần (cache Redis)</v>
      </c>
      <c r="C76" s="63" t="str">
        <f aca="false">IF('01_WBS &amp; Master Plan'!E73="","",'01_WBS &amp; Master Plan'!E73)</f>
        <v>Nhật</v>
      </c>
      <c r="D76" s="63" t="n">
        <f aca="false">IF('01_WBS &amp; Master Plan'!H73="","",'01_WBS &amp; Master Plan'!H73)</f>
        <v>31</v>
      </c>
      <c r="E76" s="63" t="n">
        <f aca="false">IF('01_WBS &amp; Master Plan'!I73="","",'01_WBS &amp; Master Plan'!I73)</f>
        <v>32</v>
      </c>
      <c r="F76" s="65" t="n">
        <f aca="false">IF(B76="","",IF('01_WBS &amp; Master Plan'!K73="Done",1,IF('01_WBS &amp; Master Plan'!L73="",0,'01_WBS &amp; Master Plan'!L73)))</f>
        <v>0</v>
      </c>
      <c r="G76" s="63" t="str">
        <f aca="false">IF('01_WBS &amp; Master Plan'!K73="","",'01_WBS &amp; Master Plan'!K73)</f>
        <v>To Do</v>
      </c>
      <c r="H76" s="66" t="str">
        <f aca="false">IF(OR($D76="",$E76=""),"",IF(AND(H$5&gt;=$D76,H$5&lt;=$E76),IF(H$5-$D76+1&lt;=ROUND(($E76-$D76+1)*$F76,0),2,IF(H$5&lt;CFG_CurWeek,3,1)),""))</f>
        <v/>
      </c>
      <c r="I76" s="66" t="str">
        <f aca="false">IF(OR($D76="",$E76=""),"",IF(AND(I$5&gt;=$D76,I$5&lt;=$E76),IF(I$5-$D76+1&lt;=ROUND(($E76-$D76+1)*$F76,0),2,IF(I$5&lt;CFG_CurWeek,3,1)),""))</f>
        <v/>
      </c>
      <c r="J76" s="66" t="str">
        <f aca="false">IF(OR($D76="",$E76=""),"",IF(AND(J$5&gt;=$D76,J$5&lt;=$E76),IF(J$5-$D76+1&lt;=ROUND(($E76-$D76+1)*$F76,0),2,IF(J$5&lt;CFG_CurWeek,3,1)),""))</f>
        <v/>
      </c>
      <c r="K76" s="66" t="str">
        <f aca="false">IF(OR($D76="",$E76=""),"",IF(AND(K$5&gt;=$D76,K$5&lt;=$E76),IF(K$5-$D76+1&lt;=ROUND(($E76-$D76+1)*$F76,0),2,IF(K$5&lt;CFG_CurWeek,3,1)),""))</f>
        <v/>
      </c>
      <c r="L76" s="66" t="str">
        <f aca="false">IF(OR($D76="",$E76=""),"",IF(AND(L$5&gt;=$D76,L$5&lt;=$E76),IF(L$5-$D76+1&lt;=ROUND(($E76-$D76+1)*$F76,0),2,IF(L$5&lt;CFG_CurWeek,3,1)),""))</f>
        <v/>
      </c>
      <c r="M76" s="66" t="str">
        <f aca="false">IF(OR($D76="",$E76=""),"",IF(AND(M$5&gt;=$D76,M$5&lt;=$E76),IF(M$5-$D76+1&lt;=ROUND(($E76-$D76+1)*$F76,0),2,IF(M$5&lt;CFG_CurWeek,3,1)),""))</f>
        <v/>
      </c>
      <c r="N76" s="66" t="str">
        <f aca="false">IF(OR($D76="",$E76=""),"",IF(AND(N$5&gt;=$D76,N$5&lt;=$E76),IF(N$5-$D76+1&lt;=ROUND(($E76-$D76+1)*$F76,0),2,IF(N$5&lt;CFG_CurWeek,3,1)),""))</f>
        <v/>
      </c>
      <c r="O76" s="66" t="str">
        <f aca="false">IF(OR($D76="",$E76=""),"",IF(AND(O$5&gt;=$D76,O$5&lt;=$E76),IF(O$5-$D76+1&lt;=ROUND(($E76-$D76+1)*$F76,0),2,IF(O$5&lt;CFG_CurWeek,3,1)),""))</f>
        <v/>
      </c>
      <c r="P76" s="66" t="str">
        <f aca="false">IF(OR($D76="",$E76=""),"",IF(AND(P$5&gt;=$D76,P$5&lt;=$E76),IF(P$5-$D76+1&lt;=ROUND(($E76-$D76+1)*$F76,0),2,IF(P$5&lt;CFG_CurWeek,3,1)),""))</f>
        <v/>
      </c>
      <c r="Q76" s="66" t="str">
        <f aca="false">IF(OR($D76="",$E76=""),"",IF(AND(Q$5&gt;=$D76,Q$5&lt;=$E76),IF(Q$5-$D76+1&lt;=ROUND(($E76-$D76+1)*$F76,0),2,IF(Q$5&lt;CFG_CurWeek,3,1)),""))</f>
        <v/>
      </c>
      <c r="R76" s="66" t="str">
        <f aca="false">IF(OR($D76="",$E76=""),"",IF(AND(R$5&gt;=$D76,R$5&lt;=$E76),IF(R$5-$D76+1&lt;=ROUND(($E76-$D76+1)*$F76,0),2,IF(R$5&lt;CFG_CurWeek,3,1)),""))</f>
        <v/>
      </c>
      <c r="S76" s="66" t="str">
        <f aca="false">IF(OR($D76="",$E76=""),"",IF(AND(S$5&gt;=$D76,S$5&lt;=$E76),IF(S$5-$D76+1&lt;=ROUND(($E76-$D76+1)*$F76,0),2,IF(S$5&lt;CFG_CurWeek,3,1)),""))</f>
        <v/>
      </c>
      <c r="T76" s="66" t="str">
        <f aca="false">IF(OR($D76="",$E76=""),"",IF(AND(T$5&gt;=$D76,T$5&lt;=$E76),IF(T$5-$D76+1&lt;=ROUND(($E76-$D76+1)*$F76,0),2,IF(T$5&lt;CFG_CurWeek,3,1)),""))</f>
        <v/>
      </c>
      <c r="U76" s="66" t="str">
        <f aca="false">IF(OR($D76="",$E76=""),"",IF(AND(U$5&gt;=$D76,U$5&lt;=$E76),IF(U$5-$D76+1&lt;=ROUND(($E76-$D76+1)*$F76,0),2,IF(U$5&lt;CFG_CurWeek,3,1)),""))</f>
        <v/>
      </c>
      <c r="V76" s="66" t="str">
        <f aca="false">IF(OR($D76="",$E76=""),"",IF(AND(V$5&gt;=$D76,V$5&lt;=$E76),IF(V$5-$D76+1&lt;=ROUND(($E76-$D76+1)*$F76,0),2,IF(V$5&lt;CFG_CurWeek,3,1)),""))</f>
        <v/>
      </c>
      <c r="W76" s="66" t="str">
        <f aca="false">IF(OR($D76="",$E76=""),"",IF(AND(W$5&gt;=$D76,W$5&lt;=$E76),IF(W$5-$D76+1&lt;=ROUND(($E76-$D76+1)*$F76,0),2,IF(W$5&lt;CFG_CurWeek,3,1)),""))</f>
        <v/>
      </c>
      <c r="X76" s="66" t="str">
        <f aca="false">IF(OR($D76="",$E76=""),"",IF(AND(X$5&gt;=$D76,X$5&lt;=$E76),IF(X$5-$D76+1&lt;=ROUND(($E76-$D76+1)*$F76,0),2,IF(X$5&lt;CFG_CurWeek,3,1)),""))</f>
        <v/>
      </c>
      <c r="Y76" s="66" t="str">
        <f aca="false">IF(OR($D76="",$E76=""),"",IF(AND(Y$5&gt;=$D76,Y$5&lt;=$E76),IF(Y$5-$D76+1&lt;=ROUND(($E76-$D76+1)*$F76,0),2,IF(Y$5&lt;CFG_CurWeek,3,1)),""))</f>
        <v/>
      </c>
      <c r="Z76" s="66" t="str">
        <f aca="false">IF(OR($D76="",$E76=""),"",IF(AND(Z$5&gt;=$D76,Z$5&lt;=$E76),IF(Z$5-$D76+1&lt;=ROUND(($E76-$D76+1)*$F76,0),2,IF(Z$5&lt;CFG_CurWeek,3,1)),""))</f>
        <v/>
      </c>
      <c r="AA76" s="66" t="str">
        <f aca="false">IF(OR($D76="",$E76=""),"",IF(AND(AA$5&gt;=$D76,AA$5&lt;=$E76),IF(AA$5-$D76+1&lt;=ROUND(($E76-$D76+1)*$F76,0),2,IF(AA$5&lt;CFG_CurWeek,3,1)),""))</f>
        <v/>
      </c>
      <c r="AB76" s="66" t="str">
        <f aca="false">IF(OR($D76="",$E76=""),"",IF(AND(AB$5&gt;=$D76,AB$5&lt;=$E76),IF(AB$5-$D76+1&lt;=ROUND(($E76-$D76+1)*$F76,0),2,IF(AB$5&lt;CFG_CurWeek,3,1)),""))</f>
        <v/>
      </c>
      <c r="AC76" s="66" t="str">
        <f aca="false">IF(OR($D76="",$E76=""),"",IF(AND(AC$5&gt;=$D76,AC$5&lt;=$E76),IF(AC$5-$D76+1&lt;=ROUND(($E76-$D76+1)*$F76,0),2,IF(AC$5&lt;CFG_CurWeek,3,1)),""))</f>
        <v/>
      </c>
      <c r="AD76" s="66" t="str">
        <f aca="false">IF(OR($D76="",$E76=""),"",IF(AND(AD$5&gt;=$D76,AD$5&lt;=$E76),IF(AD$5-$D76+1&lt;=ROUND(($E76-$D76+1)*$F76,0),2,IF(AD$5&lt;CFG_CurWeek,3,1)),""))</f>
        <v/>
      </c>
      <c r="AE76" s="66" t="str">
        <f aca="false">IF(OR($D76="",$E76=""),"",IF(AND(AE$5&gt;=$D76,AE$5&lt;=$E76),IF(AE$5-$D76+1&lt;=ROUND(($E76-$D76+1)*$F76,0),2,IF(AE$5&lt;CFG_CurWeek,3,1)),""))</f>
        <v/>
      </c>
      <c r="AF76" s="66" t="str">
        <f aca="false">IF(OR($D76="",$E76=""),"",IF(AND(AF$5&gt;=$D76,AF$5&lt;=$E76),IF(AF$5-$D76+1&lt;=ROUND(($E76-$D76+1)*$F76,0),2,IF(AF$5&lt;CFG_CurWeek,3,1)),""))</f>
        <v/>
      </c>
      <c r="AG76" s="66" t="str">
        <f aca="false">IF(OR($D76="",$E76=""),"",IF(AND(AG$5&gt;=$D76,AG$5&lt;=$E76),IF(AG$5-$D76+1&lt;=ROUND(($E76-$D76+1)*$F76,0),2,IF(AG$5&lt;CFG_CurWeek,3,1)),""))</f>
        <v/>
      </c>
      <c r="AH76" s="66" t="str">
        <f aca="false">IF(OR($D76="",$E76=""),"",IF(AND(AH$5&gt;=$D76,AH$5&lt;=$E76),IF(AH$5-$D76+1&lt;=ROUND(($E76-$D76+1)*$F76,0),2,IF(AH$5&lt;CFG_CurWeek,3,1)),""))</f>
        <v/>
      </c>
      <c r="AI76" s="66" t="str">
        <f aca="false">IF(OR($D76="",$E76=""),"",IF(AND(AI$5&gt;=$D76,AI$5&lt;=$E76),IF(AI$5-$D76+1&lt;=ROUND(($E76-$D76+1)*$F76,0),2,IF(AI$5&lt;CFG_CurWeek,3,1)),""))</f>
        <v/>
      </c>
      <c r="AJ76" s="66" t="str">
        <f aca="false">IF(OR($D76="",$E76=""),"",IF(AND(AJ$5&gt;=$D76,AJ$5&lt;=$E76),IF(AJ$5-$D76+1&lt;=ROUND(($E76-$D76+1)*$F76,0),2,IF(AJ$5&lt;CFG_CurWeek,3,1)),""))</f>
        <v/>
      </c>
      <c r="AK76" s="66" t="str">
        <f aca="false">IF(OR($D76="",$E76=""),"",IF(AND(AK$5&gt;=$D76,AK$5&lt;=$E76),IF(AK$5-$D76+1&lt;=ROUND(($E76-$D76+1)*$F76,0),2,IF(AK$5&lt;CFG_CurWeek,3,1)),""))</f>
        <v/>
      </c>
      <c r="AL76" s="66" t="n">
        <f aca="false">IF(OR($D76="",$E76=""),"",IF(AND(AL$5&gt;=$D76,AL$5&lt;=$E76),IF(AL$5-$D76+1&lt;=ROUND(($E76-$D76+1)*$F76,0),2,IF(AL$5&lt;CFG_CurWeek,3,1)),""))</f>
        <v>1</v>
      </c>
      <c r="AM76" s="66" t="n">
        <f aca="false">IF(OR($D76="",$E76=""),"",IF(AND(AM$5&gt;=$D76,AM$5&lt;=$E76),IF(AM$5-$D76+1&lt;=ROUND(($E76-$D76+1)*$F76,0),2,IF(AM$5&lt;CFG_CurWeek,3,1)),""))</f>
        <v>1</v>
      </c>
      <c r="AN76" s="66" t="str">
        <f aca="false">IF(OR($D76="",$E76=""),"",IF(AND(AN$5&gt;=$D76,AN$5&lt;=$E76),IF(AN$5-$D76+1&lt;=ROUND(($E76-$D76+1)*$F76,0),2,IF(AN$5&lt;CFG_CurWeek,3,1)),""))</f>
        <v/>
      </c>
      <c r="AO76" s="66" t="str">
        <f aca="false">IF(OR($D76="",$E76=""),"",IF(AND(AO$5&gt;=$D76,AO$5&lt;=$E76),IF(AO$5-$D76+1&lt;=ROUND(($E76-$D76+1)*$F76,0),2,IF(AO$5&lt;CFG_CurWeek,3,1)),""))</f>
        <v/>
      </c>
    </row>
    <row r="77" customFormat="false" ht="15" hidden="false" customHeight="false" outlineLevel="0" collapsed="false">
      <c r="A77" s="63" t="str">
        <f aca="false">IF('01_WBS &amp; Master Plan'!A74="","",'01_WBS &amp; Master Plan'!A74)</f>
        <v>9.4</v>
      </c>
      <c r="B77" s="64" t="str">
        <f aca="false">IF('01_WBS &amp; Master Plan'!D74="","",'01_WBS &amp; Master Plan'!D74)</f>
        <v>Trang Bảng xếp hạng + gợi ý theo thể loại hay nghe</v>
      </c>
      <c r="C77" s="63" t="str">
        <f aca="false">IF('01_WBS &amp; Master Plan'!E74="","",'01_WBS &amp; Master Plan'!E74)</f>
        <v>Nhật</v>
      </c>
      <c r="D77" s="63" t="n">
        <f aca="false">IF('01_WBS &amp; Master Plan'!H74="","",'01_WBS &amp; Master Plan'!H74)</f>
        <v>32</v>
      </c>
      <c r="E77" s="63" t="n">
        <f aca="false">IF('01_WBS &amp; Master Plan'!I74="","",'01_WBS &amp; Master Plan'!I74)</f>
        <v>32</v>
      </c>
      <c r="F77" s="65" t="n">
        <f aca="false">IF(B77="","",IF('01_WBS &amp; Master Plan'!K74="Done",1,IF('01_WBS &amp; Master Plan'!L74="",0,'01_WBS &amp; Master Plan'!L74)))</f>
        <v>0</v>
      </c>
      <c r="G77" s="63" t="str">
        <f aca="false">IF('01_WBS &amp; Master Plan'!K74="","",'01_WBS &amp; Master Plan'!K74)</f>
        <v>To Do</v>
      </c>
      <c r="H77" s="66" t="str">
        <f aca="false">IF(OR($D77="",$E77=""),"",IF(AND(H$5&gt;=$D77,H$5&lt;=$E77),IF(H$5-$D77+1&lt;=ROUND(($E77-$D77+1)*$F77,0),2,IF(H$5&lt;CFG_CurWeek,3,1)),""))</f>
        <v/>
      </c>
      <c r="I77" s="66" t="str">
        <f aca="false">IF(OR($D77="",$E77=""),"",IF(AND(I$5&gt;=$D77,I$5&lt;=$E77),IF(I$5-$D77+1&lt;=ROUND(($E77-$D77+1)*$F77,0),2,IF(I$5&lt;CFG_CurWeek,3,1)),""))</f>
        <v/>
      </c>
      <c r="J77" s="66" t="str">
        <f aca="false">IF(OR($D77="",$E77=""),"",IF(AND(J$5&gt;=$D77,J$5&lt;=$E77),IF(J$5-$D77+1&lt;=ROUND(($E77-$D77+1)*$F77,0),2,IF(J$5&lt;CFG_CurWeek,3,1)),""))</f>
        <v/>
      </c>
      <c r="K77" s="66" t="str">
        <f aca="false">IF(OR($D77="",$E77=""),"",IF(AND(K$5&gt;=$D77,K$5&lt;=$E77),IF(K$5-$D77+1&lt;=ROUND(($E77-$D77+1)*$F77,0),2,IF(K$5&lt;CFG_CurWeek,3,1)),""))</f>
        <v/>
      </c>
      <c r="L77" s="66" t="str">
        <f aca="false">IF(OR($D77="",$E77=""),"",IF(AND(L$5&gt;=$D77,L$5&lt;=$E77),IF(L$5-$D77+1&lt;=ROUND(($E77-$D77+1)*$F77,0),2,IF(L$5&lt;CFG_CurWeek,3,1)),""))</f>
        <v/>
      </c>
      <c r="M77" s="66" t="str">
        <f aca="false">IF(OR($D77="",$E77=""),"",IF(AND(M$5&gt;=$D77,M$5&lt;=$E77),IF(M$5-$D77+1&lt;=ROUND(($E77-$D77+1)*$F77,0),2,IF(M$5&lt;CFG_CurWeek,3,1)),""))</f>
        <v/>
      </c>
      <c r="N77" s="66" t="str">
        <f aca="false">IF(OR($D77="",$E77=""),"",IF(AND(N$5&gt;=$D77,N$5&lt;=$E77),IF(N$5-$D77+1&lt;=ROUND(($E77-$D77+1)*$F77,0),2,IF(N$5&lt;CFG_CurWeek,3,1)),""))</f>
        <v/>
      </c>
      <c r="O77" s="66" t="str">
        <f aca="false">IF(OR($D77="",$E77=""),"",IF(AND(O$5&gt;=$D77,O$5&lt;=$E77),IF(O$5-$D77+1&lt;=ROUND(($E77-$D77+1)*$F77,0),2,IF(O$5&lt;CFG_CurWeek,3,1)),""))</f>
        <v/>
      </c>
      <c r="P77" s="66" t="str">
        <f aca="false">IF(OR($D77="",$E77=""),"",IF(AND(P$5&gt;=$D77,P$5&lt;=$E77),IF(P$5-$D77+1&lt;=ROUND(($E77-$D77+1)*$F77,0),2,IF(P$5&lt;CFG_CurWeek,3,1)),""))</f>
        <v/>
      </c>
      <c r="Q77" s="66" t="str">
        <f aca="false">IF(OR($D77="",$E77=""),"",IF(AND(Q$5&gt;=$D77,Q$5&lt;=$E77),IF(Q$5-$D77+1&lt;=ROUND(($E77-$D77+1)*$F77,0),2,IF(Q$5&lt;CFG_CurWeek,3,1)),""))</f>
        <v/>
      </c>
      <c r="R77" s="66" t="str">
        <f aca="false">IF(OR($D77="",$E77=""),"",IF(AND(R$5&gt;=$D77,R$5&lt;=$E77),IF(R$5-$D77+1&lt;=ROUND(($E77-$D77+1)*$F77,0),2,IF(R$5&lt;CFG_CurWeek,3,1)),""))</f>
        <v/>
      </c>
      <c r="S77" s="66" t="str">
        <f aca="false">IF(OR($D77="",$E77=""),"",IF(AND(S$5&gt;=$D77,S$5&lt;=$E77),IF(S$5-$D77+1&lt;=ROUND(($E77-$D77+1)*$F77,0),2,IF(S$5&lt;CFG_CurWeek,3,1)),""))</f>
        <v/>
      </c>
      <c r="T77" s="66" t="str">
        <f aca="false">IF(OR($D77="",$E77=""),"",IF(AND(T$5&gt;=$D77,T$5&lt;=$E77),IF(T$5-$D77+1&lt;=ROUND(($E77-$D77+1)*$F77,0),2,IF(T$5&lt;CFG_CurWeek,3,1)),""))</f>
        <v/>
      </c>
      <c r="U77" s="66" t="str">
        <f aca="false">IF(OR($D77="",$E77=""),"",IF(AND(U$5&gt;=$D77,U$5&lt;=$E77),IF(U$5-$D77+1&lt;=ROUND(($E77-$D77+1)*$F77,0),2,IF(U$5&lt;CFG_CurWeek,3,1)),""))</f>
        <v/>
      </c>
      <c r="V77" s="66" t="str">
        <f aca="false">IF(OR($D77="",$E77=""),"",IF(AND(V$5&gt;=$D77,V$5&lt;=$E77),IF(V$5-$D77+1&lt;=ROUND(($E77-$D77+1)*$F77,0),2,IF(V$5&lt;CFG_CurWeek,3,1)),""))</f>
        <v/>
      </c>
      <c r="W77" s="66" t="str">
        <f aca="false">IF(OR($D77="",$E77=""),"",IF(AND(W$5&gt;=$D77,W$5&lt;=$E77),IF(W$5-$D77+1&lt;=ROUND(($E77-$D77+1)*$F77,0),2,IF(W$5&lt;CFG_CurWeek,3,1)),""))</f>
        <v/>
      </c>
      <c r="X77" s="66" t="str">
        <f aca="false">IF(OR($D77="",$E77=""),"",IF(AND(X$5&gt;=$D77,X$5&lt;=$E77),IF(X$5-$D77+1&lt;=ROUND(($E77-$D77+1)*$F77,0),2,IF(X$5&lt;CFG_CurWeek,3,1)),""))</f>
        <v/>
      </c>
      <c r="Y77" s="66" t="str">
        <f aca="false">IF(OR($D77="",$E77=""),"",IF(AND(Y$5&gt;=$D77,Y$5&lt;=$E77),IF(Y$5-$D77+1&lt;=ROUND(($E77-$D77+1)*$F77,0),2,IF(Y$5&lt;CFG_CurWeek,3,1)),""))</f>
        <v/>
      </c>
      <c r="Z77" s="66" t="str">
        <f aca="false">IF(OR($D77="",$E77=""),"",IF(AND(Z$5&gt;=$D77,Z$5&lt;=$E77),IF(Z$5-$D77+1&lt;=ROUND(($E77-$D77+1)*$F77,0),2,IF(Z$5&lt;CFG_CurWeek,3,1)),""))</f>
        <v/>
      </c>
      <c r="AA77" s="66" t="str">
        <f aca="false">IF(OR($D77="",$E77=""),"",IF(AND(AA$5&gt;=$D77,AA$5&lt;=$E77),IF(AA$5-$D77+1&lt;=ROUND(($E77-$D77+1)*$F77,0),2,IF(AA$5&lt;CFG_CurWeek,3,1)),""))</f>
        <v/>
      </c>
      <c r="AB77" s="66" t="str">
        <f aca="false">IF(OR($D77="",$E77=""),"",IF(AND(AB$5&gt;=$D77,AB$5&lt;=$E77),IF(AB$5-$D77+1&lt;=ROUND(($E77-$D77+1)*$F77,0),2,IF(AB$5&lt;CFG_CurWeek,3,1)),""))</f>
        <v/>
      </c>
      <c r="AC77" s="66" t="str">
        <f aca="false">IF(OR($D77="",$E77=""),"",IF(AND(AC$5&gt;=$D77,AC$5&lt;=$E77),IF(AC$5-$D77+1&lt;=ROUND(($E77-$D77+1)*$F77,0),2,IF(AC$5&lt;CFG_CurWeek,3,1)),""))</f>
        <v/>
      </c>
      <c r="AD77" s="66" t="str">
        <f aca="false">IF(OR($D77="",$E77=""),"",IF(AND(AD$5&gt;=$D77,AD$5&lt;=$E77),IF(AD$5-$D77+1&lt;=ROUND(($E77-$D77+1)*$F77,0),2,IF(AD$5&lt;CFG_CurWeek,3,1)),""))</f>
        <v/>
      </c>
      <c r="AE77" s="66" t="str">
        <f aca="false">IF(OR($D77="",$E77=""),"",IF(AND(AE$5&gt;=$D77,AE$5&lt;=$E77),IF(AE$5-$D77+1&lt;=ROUND(($E77-$D77+1)*$F77,0),2,IF(AE$5&lt;CFG_CurWeek,3,1)),""))</f>
        <v/>
      </c>
      <c r="AF77" s="66" t="str">
        <f aca="false">IF(OR($D77="",$E77=""),"",IF(AND(AF$5&gt;=$D77,AF$5&lt;=$E77),IF(AF$5-$D77+1&lt;=ROUND(($E77-$D77+1)*$F77,0),2,IF(AF$5&lt;CFG_CurWeek,3,1)),""))</f>
        <v/>
      </c>
      <c r="AG77" s="66" t="str">
        <f aca="false">IF(OR($D77="",$E77=""),"",IF(AND(AG$5&gt;=$D77,AG$5&lt;=$E77),IF(AG$5-$D77+1&lt;=ROUND(($E77-$D77+1)*$F77,0),2,IF(AG$5&lt;CFG_CurWeek,3,1)),""))</f>
        <v/>
      </c>
      <c r="AH77" s="66" t="str">
        <f aca="false">IF(OR($D77="",$E77=""),"",IF(AND(AH$5&gt;=$D77,AH$5&lt;=$E77),IF(AH$5-$D77+1&lt;=ROUND(($E77-$D77+1)*$F77,0),2,IF(AH$5&lt;CFG_CurWeek,3,1)),""))</f>
        <v/>
      </c>
      <c r="AI77" s="66" t="str">
        <f aca="false">IF(OR($D77="",$E77=""),"",IF(AND(AI$5&gt;=$D77,AI$5&lt;=$E77),IF(AI$5-$D77+1&lt;=ROUND(($E77-$D77+1)*$F77,0),2,IF(AI$5&lt;CFG_CurWeek,3,1)),""))</f>
        <v/>
      </c>
      <c r="AJ77" s="66" t="str">
        <f aca="false">IF(OR($D77="",$E77=""),"",IF(AND(AJ$5&gt;=$D77,AJ$5&lt;=$E77),IF(AJ$5-$D77+1&lt;=ROUND(($E77-$D77+1)*$F77,0),2,IF(AJ$5&lt;CFG_CurWeek,3,1)),""))</f>
        <v/>
      </c>
      <c r="AK77" s="66" t="str">
        <f aca="false">IF(OR($D77="",$E77=""),"",IF(AND(AK$5&gt;=$D77,AK$5&lt;=$E77),IF(AK$5-$D77+1&lt;=ROUND(($E77-$D77+1)*$F77,0),2,IF(AK$5&lt;CFG_CurWeek,3,1)),""))</f>
        <v/>
      </c>
      <c r="AL77" s="66" t="str">
        <f aca="false">IF(OR($D77="",$E77=""),"",IF(AND(AL$5&gt;=$D77,AL$5&lt;=$E77),IF(AL$5-$D77+1&lt;=ROUND(($E77-$D77+1)*$F77,0),2,IF(AL$5&lt;CFG_CurWeek,3,1)),""))</f>
        <v/>
      </c>
      <c r="AM77" s="66" t="n">
        <f aca="false">IF(OR($D77="",$E77=""),"",IF(AND(AM$5&gt;=$D77,AM$5&lt;=$E77),IF(AM$5-$D77+1&lt;=ROUND(($E77-$D77+1)*$F77,0),2,IF(AM$5&lt;CFG_CurWeek,3,1)),""))</f>
        <v>1</v>
      </c>
      <c r="AN77" s="66" t="str">
        <f aca="false">IF(OR($D77="",$E77=""),"",IF(AND(AN$5&gt;=$D77,AN$5&lt;=$E77),IF(AN$5-$D77+1&lt;=ROUND(($E77-$D77+1)*$F77,0),2,IF(AN$5&lt;CFG_CurWeek,3,1)),""))</f>
        <v/>
      </c>
      <c r="AO77" s="66" t="str">
        <f aca="false">IF(OR($D77="",$E77=""),"",IF(AND(AO$5&gt;=$D77,AO$5&lt;=$E77),IF(AO$5-$D77+1&lt;=ROUND(($E77-$D77+1)*$F77,0),2,IF(AO$5&lt;CFG_CurWeek,3,1)),""))</f>
        <v/>
      </c>
    </row>
    <row r="78" customFormat="false" ht="15" hidden="false" customHeight="false" outlineLevel="0" collapsed="false">
      <c r="A78" s="63" t="str">
        <f aca="false">IF('01_WBS &amp; Master Plan'!A75="","",'01_WBS &amp; Master Plan'!A75)</f>
        <v>9.5</v>
      </c>
      <c r="B78" s="64" t="str">
        <f aca="false">IF('01_WBS &amp; Master Plan'!D75="","",'01_WBS &amp; Master Plan'!D75)</f>
        <v>Admin dashboard: lượt nghe, người dùng mới, top bài</v>
      </c>
      <c r="C78" s="63" t="str">
        <f aca="false">IF('01_WBS &amp; Master Plan'!E75="","",'01_WBS &amp; Master Plan'!E75)</f>
        <v>Nhật</v>
      </c>
      <c r="D78" s="63" t="n">
        <f aca="false">IF('01_WBS &amp; Master Plan'!H75="","",'01_WBS &amp; Master Plan'!H75)</f>
        <v>32</v>
      </c>
      <c r="E78" s="63" t="n">
        <f aca="false">IF('01_WBS &amp; Master Plan'!I75="","",'01_WBS &amp; Master Plan'!I75)</f>
        <v>33</v>
      </c>
      <c r="F78" s="65" t="n">
        <f aca="false">IF(B78="","",IF('01_WBS &amp; Master Plan'!K75="Done",1,IF('01_WBS &amp; Master Plan'!L75="",0,'01_WBS &amp; Master Plan'!L75)))</f>
        <v>0</v>
      </c>
      <c r="G78" s="63" t="str">
        <f aca="false">IF('01_WBS &amp; Master Plan'!K75="","",'01_WBS &amp; Master Plan'!K75)</f>
        <v>To Do</v>
      </c>
      <c r="H78" s="66" t="str">
        <f aca="false">IF(OR($D78="",$E78=""),"",IF(AND(H$5&gt;=$D78,H$5&lt;=$E78),IF(H$5-$D78+1&lt;=ROUND(($E78-$D78+1)*$F78,0),2,IF(H$5&lt;CFG_CurWeek,3,1)),""))</f>
        <v/>
      </c>
      <c r="I78" s="66" t="str">
        <f aca="false">IF(OR($D78="",$E78=""),"",IF(AND(I$5&gt;=$D78,I$5&lt;=$E78),IF(I$5-$D78+1&lt;=ROUND(($E78-$D78+1)*$F78,0),2,IF(I$5&lt;CFG_CurWeek,3,1)),""))</f>
        <v/>
      </c>
      <c r="J78" s="66" t="str">
        <f aca="false">IF(OR($D78="",$E78=""),"",IF(AND(J$5&gt;=$D78,J$5&lt;=$E78),IF(J$5-$D78+1&lt;=ROUND(($E78-$D78+1)*$F78,0),2,IF(J$5&lt;CFG_CurWeek,3,1)),""))</f>
        <v/>
      </c>
      <c r="K78" s="66" t="str">
        <f aca="false">IF(OR($D78="",$E78=""),"",IF(AND(K$5&gt;=$D78,K$5&lt;=$E78),IF(K$5-$D78+1&lt;=ROUND(($E78-$D78+1)*$F78,0),2,IF(K$5&lt;CFG_CurWeek,3,1)),""))</f>
        <v/>
      </c>
      <c r="L78" s="66" t="str">
        <f aca="false">IF(OR($D78="",$E78=""),"",IF(AND(L$5&gt;=$D78,L$5&lt;=$E78),IF(L$5-$D78+1&lt;=ROUND(($E78-$D78+1)*$F78,0),2,IF(L$5&lt;CFG_CurWeek,3,1)),""))</f>
        <v/>
      </c>
      <c r="M78" s="66" t="str">
        <f aca="false">IF(OR($D78="",$E78=""),"",IF(AND(M$5&gt;=$D78,M$5&lt;=$E78),IF(M$5-$D78+1&lt;=ROUND(($E78-$D78+1)*$F78,0),2,IF(M$5&lt;CFG_CurWeek,3,1)),""))</f>
        <v/>
      </c>
      <c r="N78" s="66" t="str">
        <f aca="false">IF(OR($D78="",$E78=""),"",IF(AND(N$5&gt;=$D78,N$5&lt;=$E78),IF(N$5-$D78+1&lt;=ROUND(($E78-$D78+1)*$F78,0),2,IF(N$5&lt;CFG_CurWeek,3,1)),""))</f>
        <v/>
      </c>
      <c r="O78" s="66" t="str">
        <f aca="false">IF(OR($D78="",$E78=""),"",IF(AND(O$5&gt;=$D78,O$5&lt;=$E78),IF(O$5-$D78+1&lt;=ROUND(($E78-$D78+1)*$F78,0),2,IF(O$5&lt;CFG_CurWeek,3,1)),""))</f>
        <v/>
      </c>
      <c r="P78" s="66" t="str">
        <f aca="false">IF(OR($D78="",$E78=""),"",IF(AND(P$5&gt;=$D78,P$5&lt;=$E78),IF(P$5-$D78+1&lt;=ROUND(($E78-$D78+1)*$F78,0),2,IF(P$5&lt;CFG_CurWeek,3,1)),""))</f>
        <v/>
      </c>
      <c r="Q78" s="66" t="str">
        <f aca="false">IF(OR($D78="",$E78=""),"",IF(AND(Q$5&gt;=$D78,Q$5&lt;=$E78),IF(Q$5-$D78+1&lt;=ROUND(($E78-$D78+1)*$F78,0),2,IF(Q$5&lt;CFG_CurWeek,3,1)),""))</f>
        <v/>
      </c>
      <c r="R78" s="66" t="str">
        <f aca="false">IF(OR($D78="",$E78=""),"",IF(AND(R$5&gt;=$D78,R$5&lt;=$E78),IF(R$5-$D78+1&lt;=ROUND(($E78-$D78+1)*$F78,0),2,IF(R$5&lt;CFG_CurWeek,3,1)),""))</f>
        <v/>
      </c>
      <c r="S78" s="66" t="str">
        <f aca="false">IF(OR($D78="",$E78=""),"",IF(AND(S$5&gt;=$D78,S$5&lt;=$E78),IF(S$5-$D78+1&lt;=ROUND(($E78-$D78+1)*$F78,0),2,IF(S$5&lt;CFG_CurWeek,3,1)),""))</f>
        <v/>
      </c>
      <c r="T78" s="66" t="str">
        <f aca="false">IF(OR($D78="",$E78=""),"",IF(AND(T$5&gt;=$D78,T$5&lt;=$E78),IF(T$5-$D78+1&lt;=ROUND(($E78-$D78+1)*$F78,0),2,IF(T$5&lt;CFG_CurWeek,3,1)),""))</f>
        <v/>
      </c>
      <c r="U78" s="66" t="str">
        <f aca="false">IF(OR($D78="",$E78=""),"",IF(AND(U$5&gt;=$D78,U$5&lt;=$E78),IF(U$5-$D78+1&lt;=ROUND(($E78-$D78+1)*$F78,0),2,IF(U$5&lt;CFG_CurWeek,3,1)),""))</f>
        <v/>
      </c>
      <c r="V78" s="66" t="str">
        <f aca="false">IF(OR($D78="",$E78=""),"",IF(AND(V$5&gt;=$D78,V$5&lt;=$E78),IF(V$5-$D78+1&lt;=ROUND(($E78-$D78+1)*$F78,0),2,IF(V$5&lt;CFG_CurWeek,3,1)),""))</f>
        <v/>
      </c>
      <c r="W78" s="66" t="str">
        <f aca="false">IF(OR($D78="",$E78=""),"",IF(AND(W$5&gt;=$D78,W$5&lt;=$E78),IF(W$5-$D78+1&lt;=ROUND(($E78-$D78+1)*$F78,0),2,IF(W$5&lt;CFG_CurWeek,3,1)),""))</f>
        <v/>
      </c>
      <c r="X78" s="66" t="str">
        <f aca="false">IF(OR($D78="",$E78=""),"",IF(AND(X$5&gt;=$D78,X$5&lt;=$E78),IF(X$5-$D78+1&lt;=ROUND(($E78-$D78+1)*$F78,0),2,IF(X$5&lt;CFG_CurWeek,3,1)),""))</f>
        <v/>
      </c>
      <c r="Y78" s="66" t="str">
        <f aca="false">IF(OR($D78="",$E78=""),"",IF(AND(Y$5&gt;=$D78,Y$5&lt;=$E78),IF(Y$5-$D78+1&lt;=ROUND(($E78-$D78+1)*$F78,0),2,IF(Y$5&lt;CFG_CurWeek,3,1)),""))</f>
        <v/>
      </c>
      <c r="Z78" s="66" t="str">
        <f aca="false">IF(OR($D78="",$E78=""),"",IF(AND(Z$5&gt;=$D78,Z$5&lt;=$E78),IF(Z$5-$D78+1&lt;=ROUND(($E78-$D78+1)*$F78,0),2,IF(Z$5&lt;CFG_CurWeek,3,1)),""))</f>
        <v/>
      </c>
      <c r="AA78" s="66" t="str">
        <f aca="false">IF(OR($D78="",$E78=""),"",IF(AND(AA$5&gt;=$D78,AA$5&lt;=$E78),IF(AA$5-$D78+1&lt;=ROUND(($E78-$D78+1)*$F78,0),2,IF(AA$5&lt;CFG_CurWeek,3,1)),""))</f>
        <v/>
      </c>
      <c r="AB78" s="66" t="str">
        <f aca="false">IF(OR($D78="",$E78=""),"",IF(AND(AB$5&gt;=$D78,AB$5&lt;=$E78),IF(AB$5-$D78+1&lt;=ROUND(($E78-$D78+1)*$F78,0),2,IF(AB$5&lt;CFG_CurWeek,3,1)),""))</f>
        <v/>
      </c>
      <c r="AC78" s="66" t="str">
        <f aca="false">IF(OR($D78="",$E78=""),"",IF(AND(AC$5&gt;=$D78,AC$5&lt;=$E78),IF(AC$5-$D78+1&lt;=ROUND(($E78-$D78+1)*$F78,0),2,IF(AC$5&lt;CFG_CurWeek,3,1)),""))</f>
        <v/>
      </c>
      <c r="AD78" s="66" t="str">
        <f aca="false">IF(OR($D78="",$E78=""),"",IF(AND(AD$5&gt;=$D78,AD$5&lt;=$E78),IF(AD$5-$D78+1&lt;=ROUND(($E78-$D78+1)*$F78,0),2,IF(AD$5&lt;CFG_CurWeek,3,1)),""))</f>
        <v/>
      </c>
      <c r="AE78" s="66" t="str">
        <f aca="false">IF(OR($D78="",$E78=""),"",IF(AND(AE$5&gt;=$D78,AE$5&lt;=$E78),IF(AE$5-$D78+1&lt;=ROUND(($E78-$D78+1)*$F78,0),2,IF(AE$5&lt;CFG_CurWeek,3,1)),""))</f>
        <v/>
      </c>
      <c r="AF78" s="66" t="str">
        <f aca="false">IF(OR($D78="",$E78=""),"",IF(AND(AF$5&gt;=$D78,AF$5&lt;=$E78),IF(AF$5-$D78+1&lt;=ROUND(($E78-$D78+1)*$F78,0),2,IF(AF$5&lt;CFG_CurWeek,3,1)),""))</f>
        <v/>
      </c>
      <c r="AG78" s="66" t="str">
        <f aca="false">IF(OR($D78="",$E78=""),"",IF(AND(AG$5&gt;=$D78,AG$5&lt;=$E78),IF(AG$5-$D78+1&lt;=ROUND(($E78-$D78+1)*$F78,0),2,IF(AG$5&lt;CFG_CurWeek,3,1)),""))</f>
        <v/>
      </c>
      <c r="AH78" s="66" t="str">
        <f aca="false">IF(OR($D78="",$E78=""),"",IF(AND(AH$5&gt;=$D78,AH$5&lt;=$E78),IF(AH$5-$D78+1&lt;=ROUND(($E78-$D78+1)*$F78,0),2,IF(AH$5&lt;CFG_CurWeek,3,1)),""))</f>
        <v/>
      </c>
      <c r="AI78" s="66" t="str">
        <f aca="false">IF(OR($D78="",$E78=""),"",IF(AND(AI$5&gt;=$D78,AI$5&lt;=$E78),IF(AI$5-$D78+1&lt;=ROUND(($E78-$D78+1)*$F78,0),2,IF(AI$5&lt;CFG_CurWeek,3,1)),""))</f>
        <v/>
      </c>
      <c r="AJ78" s="66" t="str">
        <f aca="false">IF(OR($D78="",$E78=""),"",IF(AND(AJ$5&gt;=$D78,AJ$5&lt;=$E78),IF(AJ$5-$D78+1&lt;=ROUND(($E78-$D78+1)*$F78,0),2,IF(AJ$5&lt;CFG_CurWeek,3,1)),""))</f>
        <v/>
      </c>
      <c r="AK78" s="66" t="str">
        <f aca="false">IF(OR($D78="",$E78=""),"",IF(AND(AK$5&gt;=$D78,AK$5&lt;=$E78),IF(AK$5-$D78+1&lt;=ROUND(($E78-$D78+1)*$F78,0),2,IF(AK$5&lt;CFG_CurWeek,3,1)),""))</f>
        <v/>
      </c>
      <c r="AL78" s="66" t="str">
        <f aca="false">IF(OR($D78="",$E78=""),"",IF(AND(AL$5&gt;=$D78,AL$5&lt;=$E78),IF(AL$5-$D78+1&lt;=ROUND(($E78-$D78+1)*$F78,0),2,IF(AL$5&lt;CFG_CurWeek,3,1)),""))</f>
        <v/>
      </c>
      <c r="AM78" s="66" t="n">
        <f aca="false">IF(OR($D78="",$E78=""),"",IF(AND(AM$5&gt;=$D78,AM$5&lt;=$E78),IF(AM$5-$D78+1&lt;=ROUND(($E78-$D78+1)*$F78,0),2,IF(AM$5&lt;CFG_CurWeek,3,1)),""))</f>
        <v>1</v>
      </c>
      <c r="AN78" s="66" t="n">
        <f aca="false">IF(OR($D78="",$E78=""),"",IF(AND(AN$5&gt;=$D78,AN$5&lt;=$E78),IF(AN$5-$D78+1&lt;=ROUND(($E78-$D78+1)*$F78,0),2,IF(AN$5&lt;CFG_CurWeek,3,1)),""))</f>
        <v>1</v>
      </c>
      <c r="AO78" s="66" t="str">
        <f aca="false">IF(OR($D78="",$E78=""),"",IF(AND(AO$5&gt;=$D78,AO$5&lt;=$E78),IF(AO$5-$D78+1&lt;=ROUND(($E78-$D78+1)*$F78,0),2,IF(AO$5&lt;CFG_CurWeek,3,1)),""))</f>
        <v/>
      </c>
    </row>
    <row r="79" customFormat="false" ht="15" hidden="false" customHeight="false" outlineLevel="0" collapsed="false">
      <c r="A79" s="63" t="str">
        <f aca="false">IF('01_WBS &amp; Master Plan'!A76="","",'01_WBS &amp; Master Plan'!A76)</f>
        <v>9.6</v>
      </c>
      <c r="B79" s="64" t="str">
        <f aca="false">IF('01_WBS &amp; Master Plan'!D76="","",'01_WBS &amp; Master Plan'!D76)</f>
        <v>Docker hóa app + MySQL + Redis (docker-compose)</v>
      </c>
      <c r="C79" s="63" t="str">
        <f aca="false">IF('01_WBS &amp; Master Plan'!E76="","",'01_WBS &amp; Master Plan'!E76)</f>
        <v>Nhật</v>
      </c>
      <c r="D79" s="63" t="n">
        <f aca="false">IF('01_WBS &amp; Master Plan'!H76="","",'01_WBS &amp; Master Plan'!H76)</f>
        <v>32</v>
      </c>
      <c r="E79" s="63" t="n">
        <f aca="false">IF('01_WBS &amp; Master Plan'!I76="","",'01_WBS &amp; Master Plan'!I76)</f>
        <v>33</v>
      </c>
      <c r="F79" s="65" t="n">
        <f aca="false">IF(B79="","",IF('01_WBS &amp; Master Plan'!K76="Done",1,IF('01_WBS &amp; Master Plan'!L76="",0,'01_WBS &amp; Master Plan'!L76)))</f>
        <v>0</v>
      </c>
      <c r="G79" s="63" t="str">
        <f aca="false">IF('01_WBS &amp; Master Plan'!K76="","",'01_WBS &amp; Master Plan'!K76)</f>
        <v>To Do</v>
      </c>
      <c r="H79" s="66" t="str">
        <f aca="false">IF(OR($D79="",$E79=""),"",IF(AND(H$5&gt;=$D79,H$5&lt;=$E79),IF(H$5-$D79+1&lt;=ROUND(($E79-$D79+1)*$F79,0),2,IF(H$5&lt;CFG_CurWeek,3,1)),""))</f>
        <v/>
      </c>
      <c r="I79" s="66" t="str">
        <f aca="false">IF(OR($D79="",$E79=""),"",IF(AND(I$5&gt;=$D79,I$5&lt;=$E79),IF(I$5-$D79+1&lt;=ROUND(($E79-$D79+1)*$F79,0),2,IF(I$5&lt;CFG_CurWeek,3,1)),""))</f>
        <v/>
      </c>
      <c r="J79" s="66" t="str">
        <f aca="false">IF(OR($D79="",$E79=""),"",IF(AND(J$5&gt;=$D79,J$5&lt;=$E79),IF(J$5-$D79+1&lt;=ROUND(($E79-$D79+1)*$F79,0),2,IF(J$5&lt;CFG_CurWeek,3,1)),""))</f>
        <v/>
      </c>
      <c r="K79" s="66" t="str">
        <f aca="false">IF(OR($D79="",$E79=""),"",IF(AND(K$5&gt;=$D79,K$5&lt;=$E79),IF(K$5-$D79+1&lt;=ROUND(($E79-$D79+1)*$F79,0),2,IF(K$5&lt;CFG_CurWeek,3,1)),""))</f>
        <v/>
      </c>
      <c r="L79" s="66" t="str">
        <f aca="false">IF(OR($D79="",$E79=""),"",IF(AND(L$5&gt;=$D79,L$5&lt;=$E79),IF(L$5-$D79+1&lt;=ROUND(($E79-$D79+1)*$F79,0),2,IF(L$5&lt;CFG_CurWeek,3,1)),""))</f>
        <v/>
      </c>
      <c r="M79" s="66" t="str">
        <f aca="false">IF(OR($D79="",$E79=""),"",IF(AND(M$5&gt;=$D79,M$5&lt;=$E79),IF(M$5-$D79+1&lt;=ROUND(($E79-$D79+1)*$F79,0),2,IF(M$5&lt;CFG_CurWeek,3,1)),""))</f>
        <v/>
      </c>
      <c r="N79" s="66" t="str">
        <f aca="false">IF(OR($D79="",$E79=""),"",IF(AND(N$5&gt;=$D79,N$5&lt;=$E79),IF(N$5-$D79+1&lt;=ROUND(($E79-$D79+1)*$F79,0),2,IF(N$5&lt;CFG_CurWeek,3,1)),""))</f>
        <v/>
      </c>
      <c r="O79" s="66" t="str">
        <f aca="false">IF(OR($D79="",$E79=""),"",IF(AND(O$5&gt;=$D79,O$5&lt;=$E79),IF(O$5-$D79+1&lt;=ROUND(($E79-$D79+1)*$F79,0),2,IF(O$5&lt;CFG_CurWeek,3,1)),""))</f>
        <v/>
      </c>
      <c r="P79" s="66" t="str">
        <f aca="false">IF(OR($D79="",$E79=""),"",IF(AND(P$5&gt;=$D79,P$5&lt;=$E79),IF(P$5-$D79+1&lt;=ROUND(($E79-$D79+1)*$F79,0),2,IF(P$5&lt;CFG_CurWeek,3,1)),""))</f>
        <v/>
      </c>
      <c r="Q79" s="66" t="str">
        <f aca="false">IF(OR($D79="",$E79=""),"",IF(AND(Q$5&gt;=$D79,Q$5&lt;=$E79),IF(Q$5-$D79+1&lt;=ROUND(($E79-$D79+1)*$F79,0),2,IF(Q$5&lt;CFG_CurWeek,3,1)),""))</f>
        <v/>
      </c>
      <c r="R79" s="66" t="str">
        <f aca="false">IF(OR($D79="",$E79=""),"",IF(AND(R$5&gt;=$D79,R$5&lt;=$E79),IF(R$5-$D79+1&lt;=ROUND(($E79-$D79+1)*$F79,0),2,IF(R$5&lt;CFG_CurWeek,3,1)),""))</f>
        <v/>
      </c>
      <c r="S79" s="66" t="str">
        <f aca="false">IF(OR($D79="",$E79=""),"",IF(AND(S$5&gt;=$D79,S$5&lt;=$E79),IF(S$5-$D79+1&lt;=ROUND(($E79-$D79+1)*$F79,0),2,IF(S$5&lt;CFG_CurWeek,3,1)),""))</f>
        <v/>
      </c>
      <c r="T79" s="66" t="str">
        <f aca="false">IF(OR($D79="",$E79=""),"",IF(AND(T$5&gt;=$D79,T$5&lt;=$E79),IF(T$5-$D79+1&lt;=ROUND(($E79-$D79+1)*$F79,0),2,IF(T$5&lt;CFG_CurWeek,3,1)),""))</f>
        <v/>
      </c>
      <c r="U79" s="66" t="str">
        <f aca="false">IF(OR($D79="",$E79=""),"",IF(AND(U$5&gt;=$D79,U$5&lt;=$E79),IF(U$5-$D79+1&lt;=ROUND(($E79-$D79+1)*$F79,0),2,IF(U$5&lt;CFG_CurWeek,3,1)),""))</f>
        <v/>
      </c>
      <c r="V79" s="66" t="str">
        <f aca="false">IF(OR($D79="",$E79=""),"",IF(AND(V$5&gt;=$D79,V$5&lt;=$E79),IF(V$5-$D79+1&lt;=ROUND(($E79-$D79+1)*$F79,0),2,IF(V$5&lt;CFG_CurWeek,3,1)),""))</f>
        <v/>
      </c>
      <c r="W79" s="66" t="str">
        <f aca="false">IF(OR($D79="",$E79=""),"",IF(AND(W$5&gt;=$D79,W$5&lt;=$E79),IF(W$5-$D79+1&lt;=ROUND(($E79-$D79+1)*$F79,0),2,IF(W$5&lt;CFG_CurWeek,3,1)),""))</f>
        <v/>
      </c>
      <c r="X79" s="66" t="str">
        <f aca="false">IF(OR($D79="",$E79=""),"",IF(AND(X$5&gt;=$D79,X$5&lt;=$E79),IF(X$5-$D79+1&lt;=ROUND(($E79-$D79+1)*$F79,0),2,IF(X$5&lt;CFG_CurWeek,3,1)),""))</f>
        <v/>
      </c>
      <c r="Y79" s="66" t="str">
        <f aca="false">IF(OR($D79="",$E79=""),"",IF(AND(Y$5&gt;=$D79,Y$5&lt;=$E79),IF(Y$5-$D79+1&lt;=ROUND(($E79-$D79+1)*$F79,0),2,IF(Y$5&lt;CFG_CurWeek,3,1)),""))</f>
        <v/>
      </c>
      <c r="Z79" s="66" t="str">
        <f aca="false">IF(OR($D79="",$E79=""),"",IF(AND(Z$5&gt;=$D79,Z$5&lt;=$E79),IF(Z$5-$D79+1&lt;=ROUND(($E79-$D79+1)*$F79,0),2,IF(Z$5&lt;CFG_CurWeek,3,1)),""))</f>
        <v/>
      </c>
      <c r="AA79" s="66" t="str">
        <f aca="false">IF(OR($D79="",$E79=""),"",IF(AND(AA$5&gt;=$D79,AA$5&lt;=$E79),IF(AA$5-$D79+1&lt;=ROUND(($E79-$D79+1)*$F79,0),2,IF(AA$5&lt;CFG_CurWeek,3,1)),""))</f>
        <v/>
      </c>
      <c r="AB79" s="66" t="str">
        <f aca="false">IF(OR($D79="",$E79=""),"",IF(AND(AB$5&gt;=$D79,AB$5&lt;=$E79),IF(AB$5-$D79+1&lt;=ROUND(($E79-$D79+1)*$F79,0),2,IF(AB$5&lt;CFG_CurWeek,3,1)),""))</f>
        <v/>
      </c>
      <c r="AC79" s="66" t="str">
        <f aca="false">IF(OR($D79="",$E79=""),"",IF(AND(AC$5&gt;=$D79,AC$5&lt;=$E79),IF(AC$5-$D79+1&lt;=ROUND(($E79-$D79+1)*$F79,0),2,IF(AC$5&lt;CFG_CurWeek,3,1)),""))</f>
        <v/>
      </c>
      <c r="AD79" s="66" t="str">
        <f aca="false">IF(OR($D79="",$E79=""),"",IF(AND(AD$5&gt;=$D79,AD$5&lt;=$E79),IF(AD$5-$D79+1&lt;=ROUND(($E79-$D79+1)*$F79,0),2,IF(AD$5&lt;CFG_CurWeek,3,1)),""))</f>
        <v/>
      </c>
      <c r="AE79" s="66" t="str">
        <f aca="false">IF(OR($D79="",$E79=""),"",IF(AND(AE$5&gt;=$D79,AE$5&lt;=$E79),IF(AE$5-$D79+1&lt;=ROUND(($E79-$D79+1)*$F79,0),2,IF(AE$5&lt;CFG_CurWeek,3,1)),""))</f>
        <v/>
      </c>
      <c r="AF79" s="66" t="str">
        <f aca="false">IF(OR($D79="",$E79=""),"",IF(AND(AF$5&gt;=$D79,AF$5&lt;=$E79),IF(AF$5-$D79+1&lt;=ROUND(($E79-$D79+1)*$F79,0),2,IF(AF$5&lt;CFG_CurWeek,3,1)),""))</f>
        <v/>
      </c>
      <c r="AG79" s="66" t="str">
        <f aca="false">IF(OR($D79="",$E79=""),"",IF(AND(AG$5&gt;=$D79,AG$5&lt;=$E79),IF(AG$5-$D79+1&lt;=ROUND(($E79-$D79+1)*$F79,0),2,IF(AG$5&lt;CFG_CurWeek,3,1)),""))</f>
        <v/>
      </c>
      <c r="AH79" s="66" t="str">
        <f aca="false">IF(OR($D79="",$E79=""),"",IF(AND(AH$5&gt;=$D79,AH$5&lt;=$E79),IF(AH$5-$D79+1&lt;=ROUND(($E79-$D79+1)*$F79,0),2,IF(AH$5&lt;CFG_CurWeek,3,1)),""))</f>
        <v/>
      </c>
      <c r="AI79" s="66" t="str">
        <f aca="false">IF(OR($D79="",$E79=""),"",IF(AND(AI$5&gt;=$D79,AI$5&lt;=$E79),IF(AI$5-$D79+1&lt;=ROUND(($E79-$D79+1)*$F79,0),2,IF(AI$5&lt;CFG_CurWeek,3,1)),""))</f>
        <v/>
      </c>
      <c r="AJ79" s="66" t="str">
        <f aca="false">IF(OR($D79="",$E79=""),"",IF(AND(AJ$5&gt;=$D79,AJ$5&lt;=$E79),IF(AJ$5-$D79+1&lt;=ROUND(($E79-$D79+1)*$F79,0),2,IF(AJ$5&lt;CFG_CurWeek,3,1)),""))</f>
        <v/>
      </c>
      <c r="AK79" s="66" t="str">
        <f aca="false">IF(OR($D79="",$E79=""),"",IF(AND(AK$5&gt;=$D79,AK$5&lt;=$E79),IF(AK$5-$D79+1&lt;=ROUND(($E79-$D79+1)*$F79,0),2,IF(AK$5&lt;CFG_CurWeek,3,1)),""))</f>
        <v/>
      </c>
      <c r="AL79" s="66" t="str">
        <f aca="false">IF(OR($D79="",$E79=""),"",IF(AND(AL$5&gt;=$D79,AL$5&lt;=$E79),IF(AL$5-$D79+1&lt;=ROUND(($E79-$D79+1)*$F79,0),2,IF(AL$5&lt;CFG_CurWeek,3,1)),""))</f>
        <v/>
      </c>
      <c r="AM79" s="66" t="n">
        <f aca="false">IF(OR($D79="",$E79=""),"",IF(AND(AM$5&gt;=$D79,AM$5&lt;=$E79),IF(AM$5-$D79+1&lt;=ROUND(($E79-$D79+1)*$F79,0),2,IF(AM$5&lt;CFG_CurWeek,3,1)),""))</f>
        <v>1</v>
      </c>
      <c r="AN79" s="66" t="n">
        <f aca="false">IF(OR($D79="",$E79=""),"",IF(AND(AN$5&gt;=$D79,AN$5&lt;=$E79),IF(AN$5-$D79+1&lt;=ROUND(($E79-$D79+1)*$F79,0),2,IF(AN$5&lt;CFG_CurWeek,3,1)),""))</f>
        <v>1</v>
      </c>
      <c r="AO79" s="66" t="str">
        <f aca="false">IF(OR($D79="",$E79=""),"",IF(AND(AO$5&gt;=$D79,AO$5&lt;=$E79),IF(AO$5-$D79+1&lt;=ROUND(($E79-$D79+1)*$F79,0),2,IF(AO$5&lt;CFG_CurWeek,3,1)),""))</f>
        <v/>
      </c>
    </row>
    <row r="80" customFormat="false" ht="15" hidden="false" customHeight="false" outlineLevel="0" collapsed="false">
      <c r="A80" s="63" t="str">
        <f aca="false">IF('01_WBS &amp; Master Plan'!A77="","",'01_WBS &amp; Master Plan'!A77)</f>
        <v>9.7</v>
      </c>
      <c r="B80" s="64" t="str">
        <f aca="false">IF('01_WBS &amp; Master Plan'!D77="","",'01_WBS &amp; Master Plan'!D77)</f>
        <v>Deploy FE Vercel, BE Render/Railway, DB cloud; tên miền + HTTPS</v>
      </c>
      <c r="C80" s="63" t="str">
        <f aca="false">IF('01_WBS &amp; Master Plan'!E77="","",'01_WBS &amp; Master Plan'!E77)</f>
        <v>Nhật</v>
      </c>
      <c r="D80" s="63" t="n">
        <f aca="false">IF('01_WBS &amp; Master Plan'!H77="","",'01_WBS &amp; Master Plan'!H77)</f>
        <v>33</v>
      </c>
      <c r="E80" s="63" t="n">
        <f aca="false">IF('01_WBS &amp; Master Plan'!I77="","",'01_WBS &amp; Master Plan'!I77)</f>
        <v>33</v>
      </c>
      <c r="F80" s="65" t="n">
        <f aca="false">IF(B80="","",IF('01_WBS &amp; Master Plan'!K77="Done",1,IF('01_WBS &amp; Master Plan'!L77="",0,'01_WBS &amp; Master Plan'!L77)))</f>
        <v>0</v>
      </c>
      <c r="G80" s="63" t="str">
        <f aca="false">IF('01_WBS &amp; Master Plan'!K77="","",'01_WBS &amp; Master Plan'!K77)</f>
        <v>To Do</v>
      </c>
      <c r="H80" s="66" t="str">
        <f aca="false">IF(OR($D80="",$E80=""),"",IF(AND(H$5&gt;=$D80,H$5&lt;=$E80),IF(H$5-$D80+1&lt;=ROUND(($E80-$D80+1)*$F80,0),2,IF(H$5&lt;CFG_CurWeek,3,1)),""))</f>
        <v/>
      </c>
      <c r="I80" s="66" t="str">
        <f aca="false">IF(OR($D80="",$E80=""),"",IF(AND(I$5&gt;=$D80,I$5&lt;=$E80),IF(I$5-$D80+1&lt;=ROUND(($E80-$D80+1)*$F80,0),2,IF(I$5&lt;CFG_CurWeek,3,1)),""))</f>
        <v/>
      </c>
      <c r="J80" s="66" t="str">
        <f aca="false">IF(OR($D80="",$E80=""),"",IF(AND(J$5&gt;=$D80,J$5&lt;=$E80),IF(J$5-$D80+1&lt;=ROUND(($E80-$D80+1)*$F80,0),2,IF(J$5&lt;CFG_CurWeek,3,1)),""))</f>
        <v/>
      </c>
      <c r="K80" s="66" t="str">
        <f aca="false">IF(OR($D80="",$E80=""),"",IF(AND(K$5&gt;=$D80,K$5&lt;=$E80),IF(K$5-$D80+1&lt;=ROUND(($E80-$D80+1)*$F80,0),2,IF(K$5&lt;CFG_CurWeek,3,1)),""))</f>
        <v/>
      </c>
      <c r="L80" s="66" t="str">
        <f aca="false">IF(OR($D80="",$E80=""),"",IF(AND(L$5&gt;=$D80,L$5&lt;=$E80),IF(L$5-$D80+1&lt;=ROUND(($E80-$D80+1)*$F80,0),2,IF(L$5&lt;CFG_CurWeek,3,1)),""))</f>
        <v/>
      </c>
      <c r="M80" s="66" t="str">
        <f aca="false">IF(OR($D80="",$E80=""),"",IF(AND(M$5&gt;=$D80,M$5&lt;=$E80),IF(M$5-$D80+1&lt;=ROUND(($E80-$D80+1)*$F80,0),2,IF(M$5&lt;CFG_CurWeek,3,1)),""))</f>
        <v/>
      </c>
      <c r="N80" s="66" t="str">
        <f aca="false">IF(OR($D80="",$E80=""),"",IF(AND(N$5&gt;=$D80,N$5&lt;=$E80),IF(N$5-$D80+1&lt;=ROUND(($E80-$D80+1)*$F80,0),2,IF(N$5&lt;CFG_CurWeek,3,1)),""))</f>
        <v/>
      </c>
      <c r="O80" s="66" t="str">
        <f aca="false">IF(OR($D80="",$E80=""),"",IF(AND(O$5&gt;=$D80,O$5&lt;=$E80),IF(O$5-$D80+1&lt;=ROUND(($E80-$D80+1)*$F80,0),2,IF(O$5&lt;CFG_CurWeek,3,1)),""))</f>
        <v/>
      </c>
      <c r="P80" s="66" t="str">
        <f aca="false">IF(OR($D80="",$E80=""),"",IF(AND(P$5&gt;=$D80,P$5&lt;=$E80),IF(P$5-$D80+1&lt;=ROUND(($E80-$D80+1)*$F80,0),2,IF(P$5&lt;CFG_CurWeek,3,1)),""))</f>
        <v/>
      </c>
      <c r="Q80" s="66" t="str">
        <f aca="false">IF(OR($D80="",$E80=""),"",IF(AND(Q$5&gt;=$D80,Q$5&lt;=$E80),IF(Q$5-$D80+1&lt;=ROUND(($E80-$D80+1)*$F80,0),2,IF(Q$5&lt;CFG_CurWeek,3,1)),""))</f>
        <v/>
      </c>
      <c r="R80" s="66" t="str">
        <f aca="false">IF(OR($D80="",$E80=""),"",IF(AND(R$5&gt;=$D80,R$5&lt;=$E80),IF(R$5-$D80+1&lt;=ROUND(($E80-$D80+1)*$F80,0),2,IF(R$5&lt;CFG_CurWeek,3,1)),""))</f>
        <v/>
      </c>
      <c r="S80" s="66" t="str">
        <f aca="false">IF(OR($D80="",$E80=""),"",IF(AND(S$5&gt;=$D80,S$5&lt;=$E80),IF(S$5-$D80+1&lt;=ROUND(($E80-$D80+1)*$F80,0),2,IF(S$5&lt;CFG_CurWeek,3,1)),""))</f>
        <v/>
      </c>
      <c r="T80" s="66" t="str">
        <f aca="false">IF(OR($D80="",$E80=""),"",IF(AND(T$5&gt;=$D80,T$5&lt;=$E80),IF(T$5-$D80+1&lt;=ROUND(($E80-$D80+1)*$F80,0),2,IF(T$5&lt;CFG_CurWeek,3,1)),""))</f>
        <v/>
      </c>
      <c r="U80" s="66" t="str">
        <f aca="false">IF(OR($D80="",$E80=""),"",IF(AND(U$5&gt;=$D80,U$5&lt;=$E80),IF(U$5-$D80+1&lt;=ROUND(($E80-$D80+1)*$F80,0),2,IF(U$5&lt;CFG_CurWeek,3,1)),""))</f>
        <v/>
      </c>
      <c r="V80" s="66" t="str">
        <f aca="false">IF(OR($D80="",$E80=""),"",IF(AND(V$5&gt;=$D80,V$5&lt;=$E80),IF(V$5-$D80+1&lt;=ROUND(($E80-$D80+1)*$F80,0),2,IF(V$5&lt;CFG_CurWeek,3,1)),""))</f>
        <v/>
      </c>
      <c r="W80" s="66" t="str">
        <f aca="false">IF(OR($D80="",$E80=""),"",IF(AND(W$5&gt;=$D80,W$5&lt;=$E80),IF(W$5-$D80+1&lt;=ROUND(($E80-$D80+1)*$F80,0),2,IF(W$5&lt;CFG_CurWeek,3,1)),""))</f>
        <v/>
      </c>
      <c r="X80" s="66" t="str">
        <f aca="false">IF(OR($D80="",$E80=""),"",IF(AND(X$5&gt;=$D80,X$5&lt;=$E80),IF(X$5-$D80+1&lt;=ROUND(($E80-$D80+1)*$F80,0),2,IF(X$5&lt;CFG_CurWeek,3,1)),""))</f>
        <v/>
      </c>
      <c r="Y80" s="66" t="str">
        <f aca="false">IF(OR($D80="",$E80=""),"",IF(AND(Y$5&gt;=$D80,Y$5&lt;=$E80),IF(Y$5-$D80+1&lt;=ROUND(($E80-$D80+1)*$F80,0),2,IF(Y$5&lt;CFG_CurWeek,3,1)),""))</f>
        <v/>
      </c>
      <c r="Z80" s="66" t="str">
        <f aca="false">IF(OR($D80="",$E80=""),"",IF(AND(Z$5&gt;=$D80,Z$5&lt;=$E80),IF(Z$5-$D80+1&lt;=ROUND(($E80-$D80+1)*$F80,0),2,IF(Z$5&lt;CFG_CurWeek,3,1)),""))</f>
        <v/>
      </c>
      <c r="AA80" s="66" t="str">
        <f aca="false">IF(OR($D80="",$E80=""),"",IF(AND(AA$5&gt;=$D80,AA$5&lt;=$E80),IF(AA$5-$D80+1&lt;=ROUND(($E80-$D80+1)*$F80,0),2,IF(AA$5&lt;CFG_CurWeek,3,1)),""))</f>
        <v/>
      </c>
      <c r="AB80" s="66" t="str">
        <f aca="false">IF(OR($D80="",$E80=""),"",IF(AND(AB$5&gt;=$D80,AB$5&lt;=$E80),IF(AB$5-$D80+1&lt;=ROUND(($E80-$D80+1)*$F80,0),2,IF(AB$5&lt;CFG_CurWeek,3,1)),""))</f>
        <v/>
      </c>
      <c r="AC80" s="66" t="str">
        <f aca="false">IF(OR($D80="",$E80=""),"",IF(AND(AC$5&gt;=$D80,AC$5&lt;=$E80),IF(AC$5-$D80+1&lt;=ROUND(($E80-$D80+1)*$F80,0),2,IF(AC$5&lt;CFG_CurWeek,3,1)),""))</f>
        <v/>
      </c>
      <c r="AD80" s="66" t="str">
        <f aca="false">IF(OR($D80="",$E80=""),"",IF(AND(AD$5&gt;=$D80,AD$5&lt;=$E80),IF(AD$5-$D80+1&lt;=ROUND(($E80-$D80+1)*$F80,0),2,IF(AD$5&lt;CFG_CurWeek,3,1)),""))</f>
        <v/>
      </c>
      <c r="AE80" s="66" t="str">
        <f aca="false">IF(OR($D80="",$E80=""),"",IF(AND(AE$5&gt;=$D80,AE$5&lt;=$E80),IF(AE$5-$D80+1&lt;=ROUND(($E80-$D80+1)*$F80,0),2,IF(AE$5&lt;CFG_CurWeek,3,1)),""))</f>
        <v/>
      </c>
      <c r="AF80" s="66" t="str">
        <f aca="false">IF(OR($D80="",$E80=""),"",IF(AND(AF$5&gt;=$D80,AF$5&lt;=$E80),IF(AF$5-$D80+1&lt;=ROUND(($E80-$D80+1)*$F80,0),2,IF(AF$5&lt;CFG_CurWeek,3,1)),""))</f>
        <v/>
      </c>
      <c r="AG80" s="66" t="str">
        <f aca="false">IF(OR($D80="",$E80=""),"",IF(AND(AG$5&gt;=$D80,AG$5&lt;=$E80),IF(AG$5-$D80+1&lt;=ROUND(($E80-$D80+1)*$F80,0),2,IF(AG$5&lt;CFG_CurWeek,3,1)),""))</f>
        <v/>
      </c>
      <c r="AH80" s="66" t="str">
        <f aca="false">IF(OR($D80="",$E80=""),"",IF(AND(AH$5&gt;=$D80,AH$5&lt;=$E80),IF(AH$5-$D80+1&lt;=ROUND(($E80-$D80+1)*$F80,0),2,IF(AH$5&lt;CFG_CurWeek,3,1)),""))</f>
        <v/>
      </c>
      <c r="AI80" s="66" t="str">
        <f aca="false">IF(OR($D80="",$E80=""),"",IF(AND(AI$5&gt;=$D80,AI$5&lt;=$E80),IF(AI$5-$D80+1&lt;=ROUND(($E80-$D80+1)*$F80,0),2,IF(AI$5&lt;CFG_CurWeek,3,1)),""))</f>
        <v/>
      </c>
      <c r="AJ80" s="66" t="str">
        <f aca="false">IF(OR($D80="",$E80=""),"",IF(AND(AJ$5&gt;=$D80,AJ$5&lt;=$E80),IF(AJ$5-$D80+1&lt;=ROUND(($E80-$D80+1)*$F80,0),2,IF(AJ$5&lt;CFG_CurWeek,3,1)),""))</f>
        <v/>
      </c>
      <c r="AK80" s="66" t="str">
        <f aca="false">IF(OR($D80="",$E80=""),"",IF(AND(AK$5&gt;=$D80,AK$5&lt;=$E80),IF(AK$5-$D80+1&lt;=ROUND(($E80-$D80+1)*$F80,0),2,IF(AK$5&lt;CFG_CurWeek,3,1)),""))</f>
        <v/>
      </c>
      <c r="AL80" s="66" t="str">
        <f aca="false">IF(OR($D80="",$E80=""),"",IF(AND(AL$5&gt;=$D80,AL$5&lt;=$E80),IF(AL$5-$D80+1&lt;=ROUND(($E80-$D80+1)*$F80,0),2,IF(AL$5&lt;CFG_CurWeek,3,1)),""))</f>
        <v/>
      </c>
      <c r="AM80" s="66" t="str">
        <f aca="false">IF(OR($D80="",$E80=""),"",IF(AND(AM$5&gt;=$D80,AM$5&lt;=$E80),IF(AM$5-$D80+1&lt;=ROUND(($E80-$D80+1)*$F80,0),2,IF(AM$5&lt;CFG_CurWeek,3,1)),""))</f>
        <v/>
      </c>
      <c r="AN80" s="66" t="n">
        <f aca="false">IF(OR($D80="",$E80=""),"",IF(AND(AN$5&gt;=$D80,AN$5&lt;=$E80),IF(AN$5-$D80+1&lt;=ROUND(($E80-$D80+1)*$F80,0),2,IF(AN$5&lt;CFG_CurWeek,3,1)),""))</f>
        <v>1</v>
      </c>
      <c r="AO80" s="66" t="str">
        <f aca="false">IF(OR($D80="",$E80=""),"",IF(AND(AO$5&gt;=$D80,AO$5&lt;=$E80),IF(AO$5-$D80+1&lt;=ROUND(($E80-$D80+1)*$F80,0),2,IF(AO$5&lt;CFG_CurWeek,3,1)),""))</f>
        <v/>
      </c>
    </row>
    <row r="81" customFormat="false" ht="15" hidden="false" customHeight="false" outlineLevel="0" collapsed="false">
      <c r="A81" s="63" t="str">
        <f aca="false">IF('01_WBS &amp; Master Plan'!A78="","",'01_WBS &amp; Master Plan'!A78)</f>
        <v>9.8</v>
      </c>
      <c r="B81" s="64" t="str">
        <f aca="false">IF('01_WBS &amp; Master Plan'!D78="","",'01_WBS &amp; Master Plan'!D78)</f>
        <v>GitHub Actions: lint, test, tự deploy</v>
      </c>
      <c r="C81" s="63" t="str">
        <f aca="false">IF('01_WBS &amp; Master Plan'!E78="","",'01_WBS &amp; Master Plan'!E78)</f>
        <v>Nhật</v>
      </c>
      <c r="D81" s="63" t="n">
        <f aca="false">IF('01_WBS &amp; Master Plan'!H78="","",'01_WBS &amp; Master Plan'!H78)</f>
        <v>33</v>
      </c>
      <c r="E81" s="63" t="n">
        <f aca="false">IF('01_WBS &amp; Master Plan'!I78="","",'01_WBS &amp; Master Plan'!I78)</f>
        <v>34</v>
      </c>
      <c r="F81" s="65" t="n">
        <f aca="false">IF(B81="","",IF('01_WBS &amp; Master Plan'!K78="Done",1,IF('01_WBS &amp; Master Plan'!L78="",0,'01_WBS &amp; Master Plan'!L78)))</f>
        <v>0</v>
      </c>
      <c r="G81" s="63" t="str">
        <f aca="false">IF('01_WBS &amp; Master Plan'!K78="","",'01_WBS &amp; Master Plan'!K78)</f>
        <v>To Do</v>
      </c>
      <c r="H81" s="66" t="str">
        <f aca="false">IF(OR($D81="",$E81=""),"",IF(AND(H$5&gt;=$D81,H$5&lt;=$E81),IF(H$5-$D81+1&lt;=ROUND(($E81-$D81+1)*$F81,0),2,IF(H$5&lt;CFG_CurWeek,3,1)),""))</f>
        <v/>
      </c>
      <c r="I81" s="66" t="str">
        <f aca="false">IF(OR($D81="",$E81=""),"",IF(AND(I$5&gt;=$D81,I$5&lt;=$E81),IF(I$5-$D81+1&lt;=ROUND(($E81-$D81+1)*$F81,0),2,IF(I$5&lt;CFG_CurWeek,3,1)),""))</f>
        <v/>
      </c>
      <c r="J81" s="66" t="str">
        <f aca="false">IF(OR($D81="",$E81=""),"",IF(AND(J$5&gt;=$D81,J$5&lt;=$E81),IF(J$5-$D81+1&lt;=ROUND(($E81-$D81+1)*$F81,0),2,IF(J$5&lt;CFG_CurWeek,3,1)),""))</f>
        <v/>
      </c>
      <c r="K81" s="66" t="str">
        <f aca="false">IF(OR($D81="",$E81=""),"",IF(AND(K$5&gt;=$D81,K$5&lt;=$E81),IF(K$5-$D81+1&lt;=ROUND(($E81-$D81+1)*$F81,0),2,IF(K$5&lt;CFG_CurWeek,3,1)),""))</f>
        <v/>
      </c>
      <c r="L81" s="66" t="str">
        <f aca="false">IF(OR($D81="",$E81=""),"",IF(AND(L$5&gt;=$D81,L$5&lt;=$E81),IF(L$5-$D81+1&lt;=ROUND(($E81-$D81+1)*$F81,0),2,IF(L$5&lt;CFG_CurWeek,3,1)),""))</f>
        <v/>
      </c>
      <c r="M81" s="66" t="str">
        <f aca="false">IF(OR($D81="",$E81=""),"",IF(AND(M$5&gt;=$D81,M$5&lt;=$E81),IF(M$5-$D81+1&lt;=ROUND(($E81-$D81+1)*$F81,0),2,IF(M$5&lt;CFG_CurWeek,3,1)),""))</f>
        <v/>
      </c>
      <c r="N81" s="66" t="str">
        <f aca="false">IF(OR($D81="",$E81=""),"",IF(AND(N$5&gt;=$D81,N$5&lt;=$E81),IF(N$5-$D81+1&lt;=ROUND(($E81-$D81+1)*$F81,0),2,IF(N$5&lt;CFG_CurWeek,3,1)),""))</f>
        <v/>
      </c>
      <c r="O81" s="66" t="str">
        <f aca="false">IF(OR($D81="",$E81=""),"",IF(AND(O$5&gt;=$D81,O$5&lt;=$E81),IF(O$5-$D81+1&lt;=ROUND(($E81-$D81+1)*$F81,0),2,IF(O$5&lt;CFG_CurWeek,3,1)),""))</f>
        <v/>
      </c>
      <c r="P81" s="66" t="str">
        <f aca="false">IF(OR($D81="",$E81=""),"",IF(AND(P$5&gt;=$D81,P$5&lt;=$E81),IF(P$5-$D81+1&lt;=ROUND(($E81-$D81+1)*$F81,0),2,IF(P$5&lt;CFG_CurWeek,3,1)),""))</f>
        <v/>
      </c>
      <c r="Q81" s="66" t="str">
        <f aca="false">IF(OR($D81="",$E81=""),"",IF(AND(Q$5&gt;=$D81,Q$5&lt;=$E81),IF(Q$5-$D81+1&lt;=ROUND(($E81-$D81+1)*$F81,0),2,IF(Q$5&lt;CFG_CurWeek,3,1)),""))</f>
        <v/>
      </c>
      <c r="R81" s="66" t="str">
        <f aca="false">IF(OR($D81="",$E81=""),"",IF(AND(R$5&gt;=$D81,R$5&lt;=$E81),IF(R$5-$D81+1&lt;=ROUND(($E81-$D81+1)*$F81,0),2,IF(R$5&lt;CFG_CurWeek,3,1)),""))</f>
        <v/>
      </c>
      <c r="S81" s="66" t="str">
        <f aca="false">IF(OR($D81="",$E81=""),"",IF(AND(S$5&gt;=$D81,S$5&lt;=$E81),IF(S$5-$D81+1&lt;=ROUND(($E81-$D81+1)*$F81,0),2,IF(S$5&lt;CFG_CurWeek,3,1)),""))</f>
        <v/>
      </c>
      <c r="T81" s="66" t="str">
        <f aca="false">IF(OR($D81="",$E81=""),"",IF(AND(T$5&gt;=$D81,T$5&lt;=$E81),IF(T$5-$D81+1&lt;=ROUND(($E81-$D81+1)*$F81,0),2,IF(T$5&lt;CFG_CurWeek,3,1)),""))</f>
        <v/>
      </c>
      <c r="U81" s="66" t="str">
        <f aca="false">IF(OR($D81="",$E81=""),"",IF(AND(U$5&gt;=$D81,U$5&lt;=$E81),IF(U$5-$D81+1&lt;=ROUND(($E81-$D81+1)*$F81,0),2,IF(U$5&lt;CFG_CurWeek,3,1)),""))</f>
        <v/>
      </c>
      <c r="V81" s="66" t="str">
        <f aca="false">IF(OR($D81="",$E81=""),"",IF(AND(V$5&gt;=$D81,V$5&lt;=$E81),IF(V$5-$D81+1&lt;=ROUND(($E81-$D81+1)*$F81,0),2,IF(V$5&lt;CFG_CurWeek,3,1)),""))</f>
        <v/>
      </c>
      <c r="W81" s="66" t="str">
        <f aca="false">IF(OR($D81="",$E81=""),"",IF(AND(W$5&gt;=$D81,W$5&lt;=$E81),IF(W$5-$D81+1&lt;=ROUND(($E81-$D81+1)*$F81,0),2,IF(W$5&lt;CFG_CurWeek,3,1)),""))</f>
        <v/>
      </c>
      <c r="X81" s="66" t="str">
        <f aca="false">IF(OR($D81="",$E81=""),"",IF(AND(X$5&gt;=$D81,X$5&lt;=$E81),IF(X$5-$D81+1&lt;=ROUND(($E81-$D81+1)*$F81,0),2,IF(X$5&lt;CFG_CurWeek,3,1)),""))</f>
        <v/>
      </c>
      <c r="Y81" s="66" t="str">
        <f aca="false">IF(OR($D81="",$E81=""),"",IF(AND(Y$5&gt;=$D81,Y$5&lt;=$E81),IF(Y$5-$D81+1&lt;=ROUND(($E81-$D81+1)*$F81,0),2,IF(Y$5&lt;CFG_CurWeek,3,1)),""))</f>
        <v/>
      </c>
      <c r="Z81" s="66" t="str">
        <f aca="false">IF(OR($D81="",$E81=""),"",IF(AND(Z$5&gt;=$D81,Z$5&lt;=$E81),IF(Z$5-$D81+1&lt;=ROUND(($E81-$D81+1)*$F81,0),2,IF(Z$5&lt;CFG_CurWeek,3,1)),""))</f>
        <v/>
      </c>
      <c r="AA81" s="66" t="str">
        <f aca="false">IF(OR($D81="",$E81=""),"",IF(AND(AA$5&gt;=$D81,AA$5&lt;=$E81),IF(AA$5-$D81+1&lt;=ROUND(($E81-$D81+1)*$F81,0),2,IF(AA$5&lt;CFG_CurWeek,3,1)),""))</f>
        <v/>
      </c>
      <c r="AB81" s="66" t="str">
        <f aca="false">IF(OR($D81="",$E81=""),"",IF(AND(AB$5&gt;=$D81,AB$5&lt;=$E81),IF(AB$5-$D81+1&lt;=ROUND(($E81-$D81+1)*$F81,0),2,IF(AB$5&lt;CFG_CurWeek,3,1)),""))</f>
        <v/>
      </c>
      <c r="AC81" s="66" t="str">
        <f aca="false">IF(OR($D81="",$E81=""),"",IF(AND(AC$5&gt;=$D81,AC$5&lt;=$E81),IF(AC$5-$D81+1&lt;=ROUND(($E81-$D81+1)*$F81,0),2,IF(AC$5&lt;CFG_CurWeek,3,1)),""))</f>
        <v/>
      </c>
      <c r="AD81" s="66" t="str">
        <f aca="false">IF(OR($D81="",$E81=""),"",IF(AND(AD$5&gt;=$D81,AD$5&lt;=$E81),IF(AD$5-$D81+1&lt;=ROUND(($E81-$D81+1)*$F81,0),2,IF(AD$5&lt;CFG_CurWeek,3,1)),""))</f>
        <v/>
      </c>
      <c r="AE81" s="66" t="str">
        <f aca="false">IF(OR($D81="",$E81=""),"",IF(AND(AE$5&gt;=$D81,AE$5&lt;=$E81),IF(AE$5-$D81+1&lt;=ROUND(($E81-$D81+1)*$F81,0),2,IF(AE$5&lt;CFG_CurWeek,3,1)),""))</f>
        <v/>
      </c>
      <c r="AF81" s="66" t="str">
        <f aca="false">IF(OR($D81="",$E81=""),"",IF(AND(AF$5&gt;=$D81,AF$5&lt;=$E81),IF(AF$5-$D81+1&lt;=ROUND(($E81-$D81+1)*$F81,0),2,IF(AF$5&lt;CFG_CurWeek,3,1)),""))</f>
        <v/>
      </c>
      <c r="AG81" s="66" t="str">
        <f aca="false">IF(OR($D81="",$E81=""),"",IF(AND(AG$5&gt;=$D81,AG$5&lt;=$E81),IF(AG$5-$D81+1&lt;=ROUND(($E81-$D81+1)*$F81,0),2,IF(AG$5&lt;CFG_CurWeek,3,1)),""))</f>
        <v/>
      </c>
      <c r="AH81" s="66" t="str">
        <f aca="false">IF(OR($D81="",$E81=""),"",IF(AND(AH$5&gt;=$D81,AH$5&lt;=$E81),IF(AH$5-$D81+1&lt;=ROUND(($E81-$D81+1)*$F81,0),2,IF(AH$5&lt;CFG_CurWeek,3,1)),""))</f>
        <v/>
      </c>
      <c r="AI81" s="66" t="str">
        <f aca="false">IF(OR($D81="",$E81=""),"",IF(AND(AI$5&gt;=$D81,AI$5&lt;=$E81),IF(AI$5-$D81+1&lt;=ROUND(($E81-$D81+1)*$F81,0),2,IF(AI$5&lt;CFG_CurWeek,3,1)),""))</f>
        <v/>
      </c>
      <c r="AJ81" s="66" t="str">
        <f aca="false">IF(OR($D81="",$E81=""),"",IF(AND(AJ$5&gt;=$D81,AJ$5&lt;=$E81),IF(AJ$5-$D81+1&lt;=ROUND(($E81-$D81+1)*$F81,0),2,IF(AJ$5&lt;CFG_CurWeek,3,1)),""))</f>
        <v/>
      </c>
      <c r="AK81" s="66" t="str">
        <f aca="false">IF(OR($D81="",$E81=""),"",IF(AND(AK$5&gt;=$D81,AK$5&lt;=$E81),IF(AK$5-$D81+1&lt;=ROUND(($E81-$D81+1)*$F81,0),2,IF(AK$5&lt;CFG_CurWeek,3,1)),""))</f>
        <v/>
      </c>
      <c r="AL81" s="66" t="str">
        <f aca="false">IF(OR($D81="",$E81=""),"",IF(AND(AL$5&gt;=$D81,AL$5&lt;=$E81),IF(AL$5-$D81+1&lt;=ROUND(($E81-$D81+1)*$F81,0),2,IF(AL$5&lt;CFG_CurWeek,3,1)),""))</f>
        <v/>
      </c>
      <c r="AM81" s="66" t="str">
        <f aca="false">IF(OR($D81="",$E81=""),"",IF(AND(AM$5&gt;=$D81,AM$5&lt;=$E81),IF(AM$5-$D81+1&lt;=ROUND(($E81-$D81+1)*$F81,0),2,IF(AM$5&lt;CFG_CurWeek,3,1)),""))</f>
        <v/>
      </c>
      <c r="AN81" s="66" t="n">
        <f aca="false">IF(OR($D81="",$E81=""),"",IF(AND(AN$5&gt;=$D81,AN$5&lt;=$E81),IF(AN$5-$D81+1&lt;=ROUND(($E81-$D81+1)*$F81,0),2,IF(AN$5&lt;CFG_CurWeek,3,1)),""))</f>
        <v>1</v>
      </c>
      <c r="AO81" s="66" t="n">
        <f aca="false">IF(OR($D81="",$E81=""),"",IF(AND(AO$5&gt;=$D81,AO$5&lt;=$E81),IF(AO$5-$D81+1&lt;=ROUND(($E81-$D81+1)*$F81,0),2,IF(AO$5&lt;CFG_CurWeek,3,1)),""))</f>
        <v>1</v>
      </c>
    </row>
    <row r="82" customFormat="false" ht="15" hidden="false" customHeight="false" outlineLevel="0" collapsed="false">
      <c r="A82" s="63" t="str">
        <f aca="false">IF('01_WBS &amp; Master Plan'!A79="","",'01_WBS &amp; Master Plan'!A79)</f>
        <v>9.9</v>
      </c>
      <c r="B82" s="64" t="str">
        <f aca="false">IF('01_WBS &amp; Master Plan'!D79="","",'01_WBS &amp; Master Plan'!D79)</f>
        <v>Kiểm thử hồi quy toàn hệ thống, sửa lỗi tồn đọng</v>
      </c>
      <c r="C82" s="63" t="str">
        <f aca="false">IF('01_WBS &amp; Master Plan'!E79="","",'01_WBS &amp; Master Plan'!E79)</f>
        <v>Nhật</v>
      </c>
      <c r="D82" s="63" t="n">
        <f aca="false">IF('01_WBS &amp; Master Plan'!H79="","",'01_WBS &amp; Master Plan'!H79)</f>
        <v>34</v>
      </c>
      <c r="E82" s="63" t="n">
        <f aca="false">IF('01_WBS &amp; Master Plan'!I79="","",'01_WBS &amp; Master Plan'!I79)</f>
        <v>34</v>
      </c>
      <c r="F82" s="65" t="n">
        <f aca="false">IF(B82="","",IF('01_WBS &amp; Master Plan'!K79="Done",1,IF('01_WBS &amp; Master Plan'!L79="",0,'01_WBS &amp; Master Plan'!L79)))</f>
        <v>0</v>
      </c>
      <c r="G82" s="63" t="str">
        <f aca="false">IF('01_WBS &amp; Master Plan'!K79="","",'01_WBS &amp; Master Plan'!K79)</f>
        <v>To Do</v>
      </c>
      <c r="H82" s="66" t="str">
        <f aca="false">IF(OR($D82="",$E82=""),"",IF(AND(H$5&gt;=$D82,H$5&lt;=$E82),IF(H$5-$D82+1&lt;=ROUND(($E82-$D82+1)*$F82,0),2,IF(H$5&lt;CFG_CurWeek,3,1)),""))</f>
        <v/>
      </c>
      <c r="I82" s="66" t="str">
        <f aca="false">IF(OR($D82="",$E82=""),"",IF(AND(I$5&gt;=$D82,I$5&lt;=$E82),IF(I$5-$D82+1&lt;=ROUND(($E82-$D82+1)*$F82,0),2,IF(I$5&lt;CFG_CurWeek,3,1)),""))</f>
        <v/>
      </c>
      <c r="J82" s="66" t="str">
        <f aca="false">IF(OR($D82="",$E82=""),"",IF(AND(J$5&gt;=$D82,J$5&lt;=$E82),IF(J$5-$D82+1&lt;=ROUND(($E82-$D82+1)*$F82,0),2,IF(J$5&lt;CFG_CurWeek,3,1)),""))</f>
        <v/>
      </c>
      <c r="K82" s="66" t="str">
        <f aca="false">IF(OR($D82="",$E82=""),"",IF(AND(K$5&gt;=$D82,K$5&lt;=$E82),IF(K$5-$D82+1&lt;=ROUND(($E82-$D82+1)*$F82,0),2,IF(K$5&lt;CFG_CurWeek,3,1)),""))</f>
        <v/>
      </c>
      <c r="L82" s="66" t="str">
        <f aca="false">IF(OR($D82="",$E82=""),"",IF(AND(L$5&gt;=$D82,L$5&lt;=$E82),IF(L$5-$D82+1&lt;=ROUND(($E82-$D82+1)*$F82,0),2,IF(L$5&lt;CFG_CurWeek,3,1)),""))</f>
        <v/>
      </c>
      <c r="M82" s="66" t="str">
        <f aca="false">IF(OR($D82="",$E82=""),"",IF(AND(M$5&gt;=$D82,M$5&lt;=$E82),IF(M$5-$D82+1&lt;=ROUND(($E82-$D82+1)*$F82,0),2,IF(M$5&lt;CFG_CurWeek,3,1)),""))</f>
        <v/>
      </c>
      <c r="N82" s="66" t="str">
        <f aca="false">IF(OR($D82="",$E82=""),"",IF(AND(N$5&gt;=$D82,N$5&lt;=$E82),IF(N$5-$D82+1&lt;=ROUND(($E82-$D82+1)*$F82,0),2,IF(N$5&lt;CFG_CurWeek,3,1)),""))</f>
        <v/>
      </c>
      <c r="O82" s="66" t="str">
        <f aca="false">IF(OR($D82="",$E82=""),"",IF(AND(O$5&gt;=$D82,O$5&lt;=$E82),IF(O$5-$D82+1&lt;=ROUND(($E82-$D82+1)*$F82,0),2,IF(O$5&lt;CFG_CurWeek,3,1)),""))</f>
        <v/>
      </c>
      <c r="P82" s="66" t="str">
        <f aca="false">IF(OR($D82="",$E82=""),"",IF(AND(P$5&gt;=$D82,P$5&lt;=$E82),IF(P$5-$D82+1&lt;=ROUND(($E82-$D82+1)*$F82,0),2,IF(P$5&lt;CFG_CurWeek,3,1)),""))</f>
        <v/>
      </c>
      <c r="Q82" s="66" t="str">
        <f aca="false">IF(OR($D82="",$E82=""),"",IF(AND(Q$5&gt;=$D82,Q$5&lt;=$E82),IF(Q$5-$D82+1&lt;=ROUND(($E82-$D82+1)*$F82,0),2,IF(Q$5&lt;CFG_CurWeek,3,1)),""))</f>
        <v/>
      </c>
      <c r="R82" s="66" t="str">
        <f aca="false">IF(OR($D82="",$E82=""),"",IF(AND(R$5&gt;=$D82,R$5&lt;=$E82),IF(R$5-$D82+1&lt;=ROUND(($E82-$D82+1)*$F82,0),2,IF(R$5&lt;CFG_CurWeek,3,1)),""))</f>
        <v/>
      </c>
      <c r="S82" s="66" t="str">
        <f aca="false">IF(OR($D82="",$E82=""),"",IF(AND(S$5&gt;=$D82,S$5&lt;=$E82),IF(S$5-$D82+1&lt;=ROUND(($E82-$D82+1)*$F82,0),2,IF(S$5&lt;CFG_CurWeek,3,1)),""))</f>
        <v/>
      </c>
      <c r="T82" s="66" t="str">
        <f aca="false">IF(OR($D82="",$E82=""),"",IF(AND(T$5&gt;=$D82,T$5&lt;=$E82),IF(T$5-$D82+1&lt;=ROUND(($E82-$D82+1)*$F82,0),2,IF(T$5&lt;CFG_CurWeek,3,1)),""))</f>
        <v/>
      </c>
      <c r="U82" s="66" t="str">
        <f aca="false">IF(OR($D82="",$E82=""),"",IF(AND(U$5&gt;=$D82,U$5&lt;=$E82),IF(U$5-$D82+1&lt;=ROUND(($E82-$D82+1)*$F82,0),2,IF(U$5&lt;CFG_CurWeek,3,1)),""))</f>
        <v/>
      </c>
      <c r="V82" s="66" t="str">
        <f aca="false">IF(OR($D82="",$E82=""),"",IF(AND(V$5&gt;=$D82,V$5&lt;=$E82),IF(V$5-$D82+1&lt;=ROUND(($E82-$D82+1)*$F82,0),2,IF(V$5&lt;CFG_CurWeek,3,1)),""))</f>
        <v/>
      </c>
      <c r="W82" s="66" t="str">
        <f aca="false">IF(OR($D82="",$E82=""),"",IF(AND(W$5&gt;=$D82,W$5&lt;=$E82),IF(W$5-$D82+1&lt;=ROUND(($E82-$D82+1)*$F82,0),2,IF(W$5&lt;CFG_CurWeek,3,1)),""))</f>
        <v/>
      </c>
      <c r="X82" s="66" t="str">
        <f aca="false">IF(OR($D82="",$E82=""),"",IF(AND(X$5&gt;=$D82,X$5&lt;=$E82),IF(X$5-$D82+1&lt;=ROUND(($E82-$D82+1)*$F82,0),2,IF(X$5&lt;CFG_CurWeek,3,1)),""))</f>
        <v/>
      </c>
      <c r="Y82" s="66" t="str">
        <f aca="false">IF(OR($D82="",$E82=""),"",IF(AND(Y$5&gt;=$D82,Y$5&lt;=$E82),IF(Y$5-$D82+1&lt;=ROUND(($E82-$D82+1)*$F82,0),2,IF(Y$5&lt;CFG_CurWeek,3,1)),""))</f>
        <v/>
      </c>
      <c r="Z82" s="66" t="str">
        <f aca="false">IF(OR($D82="",$E82=""),"",IF(AND(Z$5&gt;=$D82,Z$5&lt;=$E82),IF(Z$5-$D82+1&lt;=ROUND(($E82-$D82+1)*$F82,0),2,IF(Z$5&lt;CFG_CurWeek,3,1)),""))</f>
        <v/>
      </c>
      <c r="AA82" s="66" t="str">
        <f aca="false">IF(OR($D82="",$E82=""),"",IF(AND(AA$5&gt;=$D82,AA$5&lt;=$E82),IF(AA$5-$D82+1&lt;=ROUND(($E82-$D82+1)*$F82,0),2,IF(AA$5&lt;CFG_CurWeek,3,1)),""))</f>
        <v/>
      </c>
      <c r="AB82" s="66" t="str">
        <f aca="false">IF(OR($D82="",$E82=""),"",IF(AND(AB$5&gt;=$D82,AB$5&lt;=$E82),IF(AB$5-$D82+1&lt;=ROUND(($E82-$D82+1)*$F82,0),2,IF(AB$5&lt;CFG_CurWeek,3,1)),""))</f>
        <v/>
      </c>
      <c r="AC82" s="66" t="str">
        <f aca="false">IF(OR($D82="",$E82=""),"",IF(AND(AC$5&gt;=$D82,AC$5&lt;=$E82),IF(AC$5-$D82+1&lt;=ROUND(($E82-$D82+1)*$F82,0),2,IF(AC$5&lt;CFG_CurWeek,3,1)),""))</f>
        <v/>
      </c>
      <c r="AD82" s="66" t="str">
        <f aca="false">IF(OR($D82="",$E82=""),"",IF(AND(AD$5&gt;=$D82,AD$5&lt;=$E82),IF(AD$5-$D82+1&lt;=ROUND(($E82-$D82+1)*$F82,0),2,IF(AD$5&lt;CFG_CurWeek,3,1)),""))</f>
        <v/>
      </c>
      <c r="AE82" s="66" t="str">
        <f aca="false">IF(OR($D82="",$E82=""),"",IF(AND(AE$5&gt;=$D82,AE$5&lt;=$E82),IF(AE$5-$D82+1&lt;=ROUND(($E82-$D82+1)*$F82,0),2,IF(AE$5&lt;CFG_CurWeek,3,1)),""))</f>
        <v/>
      </c>
      <c r="AF82" s="66" t="str">
        <f aca="false">IF(OR($D82="",$E82=""),"",IF(AND(AF$5&gt;=$D82,AF$5&lt;=$E82),IF(AF$5-$D82+1&lt;=ROUND(($E82-$D82+1)*$F82,0),2,IF(AF$5&lt;CFG_CurWeek,3,1)),""))</f>
        <v/>
      </c>
      <c r="AG82" s="66" t="str">
        <f aca="false">IF(OR($D82="",$E82=""),"",IF(AND(AG$5&gt;=$D82,AG$5&lt;=$E82),IF(AG$5-$D82+1&lt;=ROUND(($E82-$D82+1)*$F82,0),2,IF(AG$5&lt;CFG_CurWeek,3,1)),""))</f>
        <v/>
      </c>
      <c r="AH82" s="66" t="str">
        <f aca="false">IF(OR($D82="",$E82=""),"",IF(AND(AH$5&gt;=$D82,AH$5&lt;=$E82),IF(AH$5-$D82+1&lt;=ROUND(($E82-$D82+1)*$F82,0),2,IF(AH$5&lt;CFG_CurWeek,3,1)),""))</f>
        <v/>
      </c>
      <c r="AI82" s="66" t="str">
        <f aca="false">IF(OR($D82="",$E82=""),"",IF(AND(AI$5&gt;=$D82,AI$5&lt;=$E82),IF(AI$5-$D82+1&lt;=ROUND(($E82-$D82+1)*$F82,0),2,IF(AI$5&lt;CFG_CurWeek,3,1)),""))</f>
        <v/>
      </c>
      <c r="AJ82" s="66" t="str">
        <f aca="false">IF(OR($D82="",$E82=""),"",IF(AND(AJ$5&gt;=$D82,AJ$5&lt;=$E82),IF(AJ$5-$D82+1&lt;=ROUND(($E82-$D82+1)*$F82,0),2,IF(AJ$5&lt;CFG_CurWeek,3,1)),""))</f>
        <v/>
      </c>
      <c r="AK82" s="66" t="str">
        <f aca="false">IF(OR($D82="",$E82=""),"",IF(AND(AK$5&gt;=$D82,AK$5&lt;=$E82),IF(AK$5-$D82+1&lt;=ROUND(($E82-$D82+1)*$F82,0),2,IF(AK$5&lt;CFG_CurWeek,3,1)),""))</f>
        <v/>
      </c>
      <c r="AL82" s="66" t="str">
        <f aca="false">IF(OR($D82="",$E82=""),"",IF(AND(AL$5&gt;=$D82,AL$5&lt;=$E82),IF(AL$5-$D82+1&lt;=ROUND(($E82-$D82+1)*$F82,0),2,IF(AL$5&lt;CFG_CurWeek,3,1)),""))</f>
        <v/>
      </c>
      <c r="AM82" s="66" t="str">
        <f aca="false">IF(OR($D82="",$E82=""),"",IF(AND(AM$5&gt;=$D82,AM$5&lt;=$E82),IF(AM$5-$D82+1&lt;=ROUND(($E82-$D82+1)*$F82,0),2,IF(AM$5&lt;CFG_CurWeek,3,1)),""))</f>
        <v/>
      </c>
      <c r="AN82" s="66" t="str">
        <f aca="false">IF(OR($D82="",$E82=""),"",IF(AND(AN$5&gt;=$D82,AN$5&lt;=$E82),IF(AN$5-$D82+1&lt;=ROUND(($E82-$D82+1)*$F82,0),2,IF(AN$5&lt;CFG_CurWeek,3,1)),""))</f>
        <v/>
      </c>
      <c r="AO82" s="66" t="n">
        <f aca="false">IF(OR($D82="",$E82=""),"",IF(AND(AO$5&gt;=$D82,AO$5&lt;=$E82),IF(AO$5-$D82+1&lt;=ROUND(($E82-$D82+1)*$F82,0),2,IF(AO$5&lt;CFG_CurWeek,3,1)),""))</f>
        <v>1</v>
      </c>
    </row>
    <row r="83" customFormat="false" ht="15" hidden="false" customHeight="false" outlineLevel="0" collapsed="false">
      <c r="A83" s="63" t="str">
        <f aca="false">IF('01_WBS &amp; Master Plan'!A80="","",'01_WBS &amp; Master Plan'!A80)</f>
        <v>9.10</v>
      </c>
      <c r="B83" s="64" t="str">
        <f aca="false">IF('01_WBS &amp; Master Plan'!D80="","",'01_WBS &amp; Master Plan'!D80)</f>
        <v>README, ảnh chụp, video demo; Release Production</v>
      </c>
      <c r="C83" s="63" t="str">
        <f aca="false">IF('01_WBS &amp; Master Plan'!E80="","",'01_WBS &amp; Master Plan'!E80)</f>
        <v>Nhật</v>
      </c>
      <c r="D83" s="63" t="n">
        <f aca="false">IF('01_WBS &amp; Master Plan'!H80="","",'01_WBS &amp; Master Plan'!H80)</f>
        <v>34</v>
      </c>
      <c r="E83" s="63" t="n">
        <f aca="false">IF('01_WBS &amp; Master Plan'!I80="","",'01_WBS &amp; Master Plan'!I80)</f>
        <v>34</v>
      </c>
      <c r="F83" s="65" t="n">
        <f aca="false">IF(B83="","",IF('01_WBS &amp; Master Plan'!K80="Done",1,IF('01_WBS &amp; Master Plan'!L80="",0,'01_WBS &amp; Master Plan'!L80)))</f>
        <v>0</v>
      </c>
      <c r="G83" s="63" t="str">
        <f aca="false">IF('01_WBS &amp; Master Plan'!K80="","",'01_WBS &amp; Master Plan'!K80)</f>
        <v>To Do</v>
      </c>
      <c r="H83" s="66" t="str">
        <f aca="false">IF(OR($D83="",$E83=""),"",IF(AND(H$5&gt;=$D83,H$5&lt;=$E83),IF(H$5-$D83+1&lt;=ROUND(($E83-$D83+1)*$F83,0),2,IF(H$5&lt;CFG_CurWeek,3,1)),""))</f>
        <v/>
      </c>
      <c r="I83" s="66" t="str">
        <f aca="false">IF(OR($D83="",$E83=""),"",IF(AND(I$5&gt;=$D83,I$5&lt;=$E83),IF(I$5-$D83+1&lt;=ROUND(($E83-$D83+1)*$F83,0),2,IF(I$5&lt;CFG_CurWeek,3,1)),""))</f>
        <v/>
      </c>
      <c r="J83" s="66" t="str">
        <f aca="false">IF(OR($D83="",$E83=""),"",IF(AND(J$5&gt;=$D83,J$5&lt;=$E83),IF(J$5-$D83+1&lt;=ROUND(($E83-$D83+1)*$F83,0),2,IF(J$5&lt;CFG_CurWeek,3,1)),""))</f>
        <v/>
      </c>
      <c r="K83" s="66" t="str">
        <f aca="false">IF(OR($D83="",$E83=""),"",IF(AND(K$5&gt;=$D83,K$5&lt;=$E83),IF(K$5-$D83+1&lt;=ROUND(($E83-$D83+1)*$F83,0),2,IF(K$5&lt;CFG_CurWeek,3,1)),""))</f>
        <v/>
      </c>
      <c r="L83" s="66" t="str">
        <f aca="false">IF(OR($D83="",$E83=""),"",IF(AND(L$5&gt;=$D83,L$5&lt;=$E83),IF(L$5-$D83+1&lt;=ROUND(($E83-$D83+1)*$F83,0),2,IF(L$5&lt;CFG_CurWeek,3,1)),""))</f>
        <v/>
      </c>
      <c r="M83" s="66" t="str">
        <f aca="false">IF(OR($D83="",$E83=""),"",IF(AND(M$5&gt;=$D83,M$5&lt;=$E83),IF(M$5-$D83+1&lt;=ROUND(($E83-$D83+1)*$F83,0),2,IF(M$5&lt;CFG_CurWeek,3,1)),""))</f>
        <v/>
      </c>
      <c r="N83" s="66" t="str">
        <f aca="false">IF(OR($D83="",$E83=""),"",IF(AND(N$5&gt;=$D83,N$5&lt;=$E83),IF(N$5-$D83+1&lt;=ROUND(($E83-$D83+1)*$F83,0),2,IF(N$5&lt;CFG_CurWeek,3,1)),""))</f>
        <v/>
      </c>
      <c r="O83" s="66" t="str">
        <f aca="false">IF(OR($D83="",$E83=""),"",IF(AND(O$5&gt;=$D83,O$5&lt;=$E83),IF(O$5-$D83+1&lt;=ROUND(($E83-$D83+1)*$F83,0),2,IF(O$5&lt;CFG_CurWeek,3,1)),""))</f>
        <v/>
      </c>
      <c r="P83" s="66" t="str">
        <f aca="false">IF(OR($D83="",$E83=""),"",IF(AND(P$5&gt;=$D83,P$5&lt;=$E83),IF(P$5-$D83+1&lt;=ROUND(($E83-$D83+1)*$F83,0),2,IF(P$5&lt;CFG_CurWeek,3,1)),""))</f>
        <v/>
      </c>
      <c r="Q83" s="66" t="str">
        <f aca="false">IF(OR($D83="",$E83=""),"",IF(AND(Q$5&gt;=$D83,Q$5&lt;=$E83),IF(Q$5-$D83+1&lt;=ROUND(($E83-$D83+1)*$F83,0),2,IF(Q$5&lt;CFG_CurWeek,3,1)),""))</f>
        <v/>
      </c>
      <c r="R83" s="66" t="str">
        <f aca="false">IF(OR($D83="",$E83=""),"",IF(AND(R$5&gt;=$D83,R$5&lt;=$E83),IF(R$5-$D83+1&lt;=ROUND(($E83-$D83+1)*$F83,0),2,IF(R$5&lt;CFG_CurWeek,3,1)),""))</f>
        <v/>
      </c>
      <c r="S83" s="66" t="str">
        <f aca="false">IF(OR($D83="",$E83=""),"",IF(AND(S$5&gt;=$D83,S$5&lt;=$E83),IF(S$5-$D83+1&lt;=ROUND(($E83-$D83+1)*$F83,0),2,IF(S$5&lt;CFG_CurWeek,3,1)),""))</f>
        <v/>
      </c>
      <c r="T83" s="66" t="str">
        <f aca="false">IF(OR($D83="",$E83=""),"",IF(AND(T$5&gt;=$D83,T$5&lt;=$E83),IF(T$5-$D83+1&lt;=ROUND(($E83-$D83+1)*$F83,0),2,IF(T$5&lt;CFG_CurWeek,3,1)),""))</f>
        <v/>
      </c>
      <c r="U83" s="66" t="str">
        <f aca="false">IF(OR($D83="",$E83=""),"",IF(AND(U$5&gt;=$D83,U$5&lt;=$E83),IF(U$5-$D83+1&lt;=ROUND(($E83-$D83+1)*$F83,0),2,IF(U$5&lt;CFG_CurWeek,3,1)),""))</f>
        <v/>
      </c>
      <c r="V83" s="66" t="str">
        <f aca="false">IF(OR($D83="",$E83=""),"",IF(AND(V$5&gt;=$D83,V$5&lt;=$E83),IF(V$5-$D83+1&lt;=ROUND(($E83-$D83+1)*$F83,0),2,IF(V$5&lt;CFG_CurWeek,3,1)),""))</f>
        <v/>
      </c>
      <c r="W83" s="66" t="str">
        <f aca="false">IF(OR($D83="",$E83=""),"",IF(AND(W$5&gt;=$D83,W$5&lt;=$E83),IF(W$5-$D83+1&lt;=ROUND(($E83-$D83+1)*$F83,0),2,IF(W$5&lt;CFG_CurWeek,3,1)),""))</f>
        <v/>
      </c>
      <c r="X83" s="66" t="str">
        <f aca="false">IF(OR($D83="",$E83=""),"",IF(AND(X$5&gt;=$D83,X$5&lt;=$E83),IF(X$5-$D83+1&lt;=ROUND(($E83-$D83+1)*$F83,0),2,IF(X$5&lt;CFG_CurWeek,3,1)),""))</f>
        <v/>
      </c>
      <c r="Y83" s="66" t="str">
        <f aca="false">IF(OR($D83="",$E83=""),"",IF(AND(Y$5&gt;=$D83,Y$5&lt;=$E83),IF(Y$5-$D83+1&lt;=ROUND(($E83-$D83+1)*$F83,0),2,IF(Y$5&lt;CFG_CurWeek,3,1)),""))</f>
        <v/>
      </c>
      <c r="Z83" s="66" t="str">
        <f aca="false">IF(OR($D83="",$E83=""),"",IF(AND(Z$5&gt;=$D83,Z$5&lt;=$E83),IF(Z$5-$D83+1&lt;=ROUND(($E83-$D83+1)*$F83,0),2,IF(Z$5&lt;CFG_CurWeek,3,1)),""))</f>
        <v/>
      </c>
      <c r="AA83" s="66" t="str">
        <f aca="false">IF(OR($D83="",$E83=""),"",IF(AND(AA$5&gt;=$D83,AA$5&lt;=$E83),IF(AA$5-$D83+1&lt;=ROUND(($E83-$D83+1)*$F83,0),2,IF(AA$5&lt;CFG_CurWeek,3,1)),""))</f>
        <v/>
      </c>
      <c r="AB83" s="66" t="str">
        <f aca="false">IF(OR($D83="",$E83=""),"",IF(AND(AB$5&gt;=$D83,AB$5&lt;=$E83),IF(AB$5-$D83+1&lt;=ROUND(($E83-$D83+1)*$F83,0),2,IF(AB$5&lt;CFG_CurWeek,3,1)),""))</f>
        <v/>
      </c>
      <c r="AC83" s="66" t="str">
        <f aca="false">IF(OR($D83="",$E83=""),"",IF(AND(AC$5&gt;=$D83,AC$5&lt;=$E83),IF(AC$5-$D83+1&lt;=ROUND(($E83-$D83+1)*$F83,0),2,IF(AC$5&lt;CFG_CurWeek,3,1)),""))</f>
        <v/>
      </c>
      <c r="AD83" s="66" t="str">
        <f aca="false">IF(OR($D83="",$E83=""),"",IF(AND(AD$5&gt;=$D83,AD$5&lt;=$E83),IF(AD$5-$D83+1&lt;=ROUND(($E83-$D83+1)*$F83,0),2,IF(AD$5&lt;CFG_CurWeek,3,1)),""))</f>
        <v/>
      </c>
      <c r="AE83" s="66" t="str">
        <f aca="false">IF(OR($D83="",$E83=""),"",IF(AND(AE$5&gt;=$D83,AE$5&lt;=$E83),IF(AE$5-$D83+1&lt;=ROUND(($E83-$D83+1)*$F83,0),2,IF(AE$5&lt;CFG_CurWeek,3,1)),""))</f>
        <v/>
      </c>
      <c r="AF83" s="66" t="str">
        <f aca="false">IF(OR($D83="",$E83=""),"",IF(AND(AF$5&gt;=$D83,AF$5&lt;=$E83),IF(AF$5-$D83+1&lt;=ROUND(($E83-$D83+1)*$F83,0),2,IF(AF$5&lt;CFG_CurWeek,3,1)),""))</f>
        <v/>
      </c>
      <c r="AG83" s="66" t="str">
        <f aca="false">IF(OR($D83="",$E83=""),"",IF(AND(AG$5&gt;=$D83,AG$5&lt;=$E83),IF(AG$5-$D83+1&lt;=ROUND(($E83-$D83+1)*$F83,0),2,IF(AG$5&lt;CFG_CurWeek,3,1)),""))</f>
        <v/>
      </c>
      <c r="AH83" s="66" t="str">
        <f aca="false">IF(OR($D83="",$E83=""),"",IF(AND(AH$5&gt;=$D83,AH$5&lt;=$E83),IF(AH$5-$D83+1&lt;=ROUND(($E83-$D83+1)*$F83,0),2,IF(AH$5&lt;CFG_CurWeek,3,1)),""))</f>
        <v/>
      </c>
      <c r="AI83" s="66" t="str">
        <f aca="false">IF(OR($D83="",$E83=""),"",IF(AND(AI$5&gt;=$D83,AI$5&lt;=$E83),IF(AI$5-$D83+1&lt;=ROUND(($E83-$D83+1)*$F83,0),2,IF(AI$5&lt;CFG_CurWeek,3,1)),""))</f>
        <v/>
      </c>
      <c r="AJ83" s="66" t="str">
        <f aca="false">IF(OR($D83="",$E83=""),"",IF(AND(AJ$5&gt;=$D83,AJ$5&lt;=$E83),IF(AJ$5-$D83+1&lt;=ROUND(($E83-$D83+1)*$F83,0),2,IF(AJ$5&lt;CFG_CurWeek,3,1)),""))</f>
        <v/>
      </c>
      <c r="AK83" s="66" t="str">
        <f aca="false">IF(OR($D83="",$E83=""),"",IF(AND(AK$5&gt;=$D83,AK$5&lt;=$E83),IF(AK$5-$D83+1&lt;=ROUND(($E83-$D83+1)*$F83,0),2,IF(AK$5&lt;CFG_CurWeek,3,1)),""))</f>
        <v/>
      </c>
      <c r="AL83" s="66" t="str">
        <f aca="false">IF(OR($D83="",$E83=""),"",IF(AND(AL$5&gt;=$D83,AL$5&lt;=$E83),IF(AL$5-$D83+1&lt;=ROUND(($E83-$D83+1)*$F83,0),2,IF(AL$5&lt;CFG_CurWeek,3,1)),""))</f>
        <v/>
      </c>
      <c r="AM83" s="66" t="str">
        <f aca="false">IF(OR($D83="",$E83=""),"",IF(AND(AM$5&gt;=$D83,AM$5&lt;=$E83),IF(AM$5-$D83+1&lt;=ROUND(($E83-$D83+1)*$F83,0),2,IF(AM$5&lt;CFG_CurWeek,3,1)),""))</f>
        <v/>
      </c>
      <c r="AN83" s="66" t="str">
        <f aca="false">IF(OR($D83="",$E83=""),"",IF(AND(AN$5&gt;=$D83,AN$5&lt;=$E83),IF(AN$5-$D83+1&lt;=ROUND(($E83-$D83+1)*$F83,0),2,IF(AN$5&lt;CFG_CurWeek,3,1)),""))</f>
        <v/>
      </c>
      <c r="AO83" s="66" t="n">
        <f aca="false">IF(OR($D83="",$E83=""),"",IF(AND(AO$5&gt;=$D83,AO$5&lt;=$E83),IF(AO$5-$D83+1&lt;=ROUND(($E83-$D83+1)*$F83,0),2,IF(AO$5&lt;CFG_CurWeek,3,1)),""))</f>
        <v>1</v>
      </c>
    </row>
    <row r="84" customFormat="false" ht="15" hidden="false" customHeight="false" outlineLevel="0" collapsed="false">
      <c r="A84" s="63" t="str">
        <f aca="false">IF('01_WBS &amp; Master Plan'!A81="","",'01_WBS &amp; Master Plan'!A81)</f>
        <v/>
      </c>
      <c r="B84" s="64" t="str">
        <f aca="false">IF('01_WBS &amp; Master Plan'!D81="","",'01_WBS &amp; Master Plan'!D81)</f>
        <v/>
      </c>
      <c r="C84" s="63" t="str">
        <f aca="false">IF('01_WBS &amp; Master Plan'!E81="","",'01_WBS &amp; Master Plan'!E81)</f>
        <v/>
      </c>
      <c r="D84" s="63" t="str">
        <f aca="false">IF('01_WBS &amp; Master Plan'!H81="","",'01_WBS &amp; Master Plan'!H81)</f>
        <v/>
      </c>
      <c r="E84" s="63" t="str">
        <f aca="false">IF('01_WBS &amp; Master Plan'!I81="","",'01_WBS &amp; Master Plan'!I81)</f>
        <v/>
      </c>
      <c r="F84" s="65" t="str">
        <f aca="false">IF(B84="","",IF('01_WBS &amp; Master Plan'!K81="Done",1,IF('01_WBS &amp; Master Plan'!L81="",0,'01_WBS &amp; Master Plan'!L81)))</f>
        <v/>
      </c>
      <c r="G84" s="63" t="str">
        <f aca="false">IF('01_WBS &amp; Master Plan'!K81="","",'01_WBS &amp; Master Plan'!K81)</f>
        <v/>
      </c>
      <c r="H84" s="66" t="str">
        <f aca="false">IF(OR($D84="",$E84=""),"",IF(AND(H$5&gt;=$D84,H$5&lt;=$E84),IF(H$5-$D84+1&lt;=ROUND(($E84-$D84+1)*$F84,0),2,IF(H$5&lt;CFG_CurWeek,3,1)),""))</f>
        <v/>
      </c>
      <c r="I84" s="66" t="str">
        <f aca="false">IF(OR($D84="",$E84=""),"",IF(AND(I$5&gt;=$D84,I$5&lt;=$E84),IF(I$5-$D84+1&lt;=ROUND(($E84-$D84+1)*$F84,0),2,IF(I$5&lt;CFG_CurWeek,3,1)),""))</f>
        <v/>
      </c>
      <c r="J84" s="66" t="str">
        <f aca="false">IF(OR($D84="",$E84=""),"",IF(AND(J$5&gt;=$D84,J$5&lt;=$E84),IF(J$5-$D84+1&lt;=ROUND(($E84-$D84+1)*$F84,0),2,IF(J$5&lt;CFG_CurWeek,3,1)),""))</f>
        <v/>
      </c>
      <c r="K84" s="66" t="str">
        <f aca="false">IF(OR($D84="",$E84=""),"",IF(AND(K$5&gt;=$D84,K$5&lt;=$E84),IF(K$5-$D84+1&lt;=ROUND(($E84-$D84+1)*$F84,0),2,IF(K$5&lt;CFG_CurWeek,3,1)),""))</f>
        <v/>
      </c>
      <c r="L84" s="66" t="str">
        <f aca="false">IF(OR($D84="",$E84=""),"",IF(AND(L$5&gt;=$D84,L$5&lt;=$E84),IF(L$5-$D84+1&lt;=ROUND(($E84-$D84+1)*$F84,0),2,IF(L$5&lt;CFG_CurWeek,3,1)),""))</f>
        <v/>
      </c>
      <c r="M84" s="66" t="str">
        <f aca="false">IF(OR($D84="",$E84=""),"",IF(AND(M$5&gt;=$D84,M$5&lt;=$E84),IF(M$5-$D84+1&lt;=ROUND(($E84-$D84+1)*$F84,0),2,IF(M$5&lt;CFG_CurWeek,3,1)),""))</f>
        <v/>
      </c>
      <c r="N84" s="66" t="str">
        <f aca="false">IF(OR($D84="",$E84=""),"",IF(AND(N$5&gt;=$D84,N$5&lt;=$E84),IF(N$5-$D84+1&lt;=ROUND(($E84-$D84+1)*$F84,0),2,IF(N$5&lt;CFG_CurWeek,3,1)),""))</f>
        <v/>
      </c>
      <c r="O84" s="66" t="str">
        <f aca="false">IF(OR($D84="",$E84=""),"",IF(AND(O$5&gt;=$D84,O$5&lt;=$E84),IF(O$5-$D84+1&lt;=ROUND(($E84-$D84+1)*$F84,0),2,IF(O$5&lt;CFG_CurWeek,3,1)),""))</f>
        <v/>
      </c>
      <c r="P84" s="66" t="str">
        <f aca="false">IF(OR($D84="",$E84=""),"",IF(AND(P$5&gt;=$D84,P$5&lt;=$E84),IF(P$5-$D84+1&lt;=ROUND(($E84-$D84+1)*$F84,0),2,IF(P$5&lt;CFG_CurWeek,3,1)),""))</f>
        <v/>
      </c>
      <c r="Q84" s="66" t="str">
        <f aca="false">IF(OR($D84="",$E84=""),"",IF(AND(Q$5&gt;=$D84,Q$5&lt;=$E84),IF(Q$5-$D84+1&lt;=ROUND(($E84-$D84+1)*$F84,0),2,IF(Q$5&lt;CFG_CurWeek,3,1)),""))</f>
        <v/>
      </c>
      <c r="R84" s="66" t="str">
        <f aca="false">IF(OR($D84="",$E84=""),"",IF(AND(R$5&gt;=$D84,R$5&lt;=$E84),IF(R$5-$D84+1&lt;=ROUND(($E84-$D84+1)*$F84,0),2,IF(R$5&lt;CFG_CurWeek,3,1)),""))</f>
        <v/>
      </c>
      <c r="S84" s="66" t="str">
        <f aca="false">IF(OR($D84="",$E84=""),"",IF(AND(S$5&gt;=$D84,S$5&lt;=$E84),IF(S$5-$D84+1&lt;=ROUND(($E84-$D84+1)*$F84,0),2,IF(S$5&lt;CFG_CurWeek,3,1)),""))</f>
        <v/>
      </c>
      <c r="T84" s="66" t="str">
        <f aca="false">IF(OR($D84="",$E84=""),"",IF(AND(T$5&gt;=$D84,T$5&lt;=$E84),IF(T$5-$D84+1&lt;=ROUND(($E84-$D84+1)*$F84,0),2,IF(T$5&lt;CFG_CurWeek,3,1)),""))</f>
        <v/>
      </c>
      <c r="U84" s="66" t="str">
        <f aca="false">IF(OR($D84="",$E84=""),"",IF(AND(U$5&gt;=$D84,U$5&lt;=$E84),IF(U$5-$D84+1&lt;=ROUND(($E84-$D84+1)*$F84,0),2,IF(U$5&lt;CFG_CurWeek,3,1)),""))</f>
        <v/>
      </c>
      <c r="V84" s="66" t="str">
        <f aca="false">IF(OR($D84="",$E84=""),"",IF(AND(V$5&gt;=$D84,V$5&lt;=$E84),IF(V$5-$D84+1&lt;=ROUND(($E84-$D84+1)*$F84,0),2,IF(V$5&lt;CFG_CurWeek,3,1)),""))</f>
        <v/>
      </c>
      <c r="W84" s="66" t="str">
        <f aca="false">IF(OR($D84="",$E84=""),"",IF(AND(W$5&gt;=$D84,W$5&lt;=$E84),IF(W$5-$D84+1&lt;=ROUND(($E84-$D84+1)*$F84,0),2,IF(W$5&lt;CFG_CurWeek,3,1)),""))</f>
        <v/>
      </c>
      <c r="X84" s="66" t="str">
        <f aca="false">IF(OR($D84="",$E84=""),"",IF(AND(X$5&gt;=$D84,X$5&lt;=$E84),IF(X$5-$D84+1&lt;=ROUND(($E84-$D84+1)*$F84,0),2,IF(X$5&lt;CFG_CurWeek,3,1)),""))</f>
        <v/>
      </c>
      <c r="Y84" s="66" t="str">
        <f aca="false">IF(OR($D84="",$E84=""),"",IF(AND(Y$5&gt;=$D84,Y$5&lt;=$E84),IF(Y$5-$D84+1&lt;=ROUND(($E84-$D84+1)*$F84,0),2,IF(Y$5&lt;CFG_CurWeek,3,1)),""))</f>
        <v/>
      </c>
      <c r="Z84" s="66" t="str">
        <f aca="false">IF(OR($D84="",$E84=""),"",IF(AND(Z$5&gt;=$D84,Z$5&lt;=$E84),IF(Z$5-$D84+1&lt;=ROUND(($E84-$D84+1)*$F84,0),2,IF(Z$5&lt;CFG_CurWeek,3,1)),""))</f>
        <v/>
      </c>
      <c r="AA84" s="66" t="str">
        <f aca="false">IF(OR($D84="",$E84=""),"",IF(AND(AA$5&gt;=$D84,AA$5&lt;=$E84),IF(AA$5-$D84+1&lt;=ROUND(($E84-$D84+1)*$F84,0),2,IF(AA$5&lt;CFG_CurWeek,3,1)),""))</f>
        <v/>
      </c>
      <c r="AB84" s="66" t="str">
        <f aca="false">IF(OR($D84="",$E84=""),"",IF(AND(AB$5&gt;=$D84,AB$5&lt;=$E84),IF(AB$5-$D84+1&lt;=ROUND(($E84-$D84+1)*$F84,0),2,IF(AB$5&lt;CFG_CurWeek,3,1)),""))</f>
        <v/>
      </c>
      <c r="AC84" s="66" t="str">
        <f aca="false">IF(OR($D84="",$E84=""),"",IF(AND(AC$5&gt;=$D84,AC$5&lt;=$E84),IF(AC$5-$D84+1&lt;=ROUND(($E84-$D84+1)*$F84,0),2,IF(AC$5&lt;CFG_CurWeek,3,1)),""))</f>
        <v/>
      </c>
      <c r="AD84" s="66" t="str">
        <f aca="false">IF(OR($D84="",$E84=""),"",IF(AND(AD$5&gt;=$D84,AD$5&lt;=$E84),IF(AD$5-$D84+1&lt;=ROUND(($E84-$D84+1)*$F84,0),2,IF(AD$5&lt;CFG_CurWeek,3,1)),""))</f>
        <v/>
      </c>
      <c r="AE84" s="66" t="str">
        <f aca="false">IF(OR($D84="",$E84=""),"",IF(AND(AE$5&gt;=$D84,AE$5&lt;=$E84),IF(AE$5-$D84+1&lt;=ROUND(($E84-$D84+1)*$F84,0),2,IF(AE$5&lt;CFG_CurWeek,3,1)),""))</f>
        <v/>
      </c>
      <c r="AF84" s="66" t="str">
        <f aca="false">IF(OR($D84="",$E84=""),"",IF(AND(AF$5&gt;=$D84,AF$5&lt;=$E84),IF(AF$5-$D84+1&lt;=ROUND(($E84-$D84+1)*$F84,0),2,IF(AF$5&lt;CFG_CurWeek,3,1)),""))</f>
        <v/>
      </c>
      <c r="AG84" s="66" t="str">
        <f aca="false">IF(OR($D84="",$E84=""),"",IF(AND(AG$5&gt;=$D84,AG$5&lt;=$E84),IF(AG$5-$D84+1&lt;=ROUND(($E84-$D84+1)*$F84,0),2,IF(AG$5&lt;CFG_CurWeek,3,1)),""))</f>
        <v/>
      </c>
      <c r="AH84" s="66" t="str">
        <f aca="false">IF(OR($D84="",$E84=""),"",IF(AND(AH$5&gt;=$D84,AH$5&lt;=$E84),IF(AH$5-$D84+1&lt;=ROUND(($E84-$D84+1)*$F84,0),2,IF(AH$5&lt;CFG_CurWeek,3,1)),""))</f>
        <v/>
      </c>
      <c r="AI84" s="66" t="str">
        <f aca="false">IF(OR($D84="",$E84=""),"",IF(AND(AI$5&gt;=$D84,AI$5&lt;=$E84),IF(AI$5-$D84+1&lt;=ROUND(($E84-$D84+1)*$F84,0),2,IF(AI$5&lt;CFG_CurWeek,3,1)),""))</f>
        <v/>
      </c>
      <c r="AJ84" s="66" t="str">
        <f aca="false">IF(OR($D84="",$E84=""),"",IF(AND(AJ$5&gt;=$D84,AJ$5&lt;=$E84),IF(AJ$5-$D84+1&lt;=ROUND(($E84-$D84+1)*$F84,0),2,IF(AJ$5&lt;CFG_CurWeek,3,1)),""))</f>
        <v/>
      </c>
      <c r="AK84" s="66" t="str">
        <f aca="false">IF(OR($D84="",$E84=""),"",IF(AND(AK$5&gt;=$D84,AK$5&lt;=$E84),IF(AK$5-$D84+1&lt;=ROUND(($E84-$D84+1)*$F84,0),2,IF(AK$5&lt;CFG_CurWeek,3,1)),""))</f>
        <v/>
      </c>
      <c r="AL84" s="66" t="str">
        <f aca="false">IF(OR($D84="",$E84=""),"",IF(AND(AL$5&gt;=$D84,AL$5&lt;=$E84),IF(AL$5-$D84+1&lt;=ROUND(($E84-$D84+1)*$F84,0),2,IF(AL$5&lt;CFG_CurWeek,3,1)),""))</f>
        <v/>
      </c>
      <c r="AM84" s="66" t="str">
        <f aca="false">IF(OR($D84="",$E84=""),"",IF(AND(AM$5&gt;=$D84,AM$5&lt;=$E84),IF(AM$5-$D84+1&lt;=ROUND(($E84-$D84+1)*$F84,0),2,IF(AM$5&lt;CFG_CurWeek,3,1)),""))</f>
        <v/>
      </c>
      <c r="AN84" s="66" t="str">
        <f aca="false">IF(OR($D84="",$E84=""),"",IF(AND(AN$5&gt;=$D84,AN$5&lt;=$E84),IF(AN$5-$D84+1&lt;=ROUND(($E84-$D84+1)*$F84,0),2,IF(AN$5&lt;CFG_CurWeek,3,1)),""))</f>
        <v/>
      </c>
      <c r="AO84" s="66" t="str">
        <f aca="false">IF(OR($D84="",$E84=""),"",IF(AND(AO$5&gt;=$D84,AO$5&lt;=$E84),IF(AO$5-$D84+1&lt;=ROUND(($E84-$D84+1)*$F84,0),2,IF(AO$5&lt;CFG_CurWeek,3,1)),""))</f>
        <v/>
      </c>
    </row>
    <row r="85" customFormat="false" ht="15" hidden="false" customHeight="false" outlineLevel="0" collapsed="false">
      <c r="A85" s="63" t="str">
        <f aca="false">IF('01_WBS &amp; Master Plan'!A82="","",'01_WBS &amp; Master Plan'!A82)</f>
        <v/>
      </c>
      <c r="B85" s="64" t="str">
        <f aca="false">IF('01_WBS &amp; Master Plan'!D82="","",'01_WBS &amp; Master Plan'!D82)</f>
        <v/>
      </c>
      <c r="C85" s="63" t="str">
        <f aca="false">IF('01_WBS &amp; Master Plan'!E82="","",'01_WBS &amp; Master Plan'!E82)</f>
        <v/>
      </c>
      <c r="D85" s="63" t="str">
        <f aca="false">IF('01_WBS &amp; Master Plan'!H82="","",'01_WBS &amp; Master Plan'!H82)</f>
        <v/>
      </c>
      <c r="E85" s="63" t="str">
        <f aca="false">IF('01_WBS &amp; Master Plan'!I82="","",'01_WBS &amp; Master Plan'!I82)</f>
        <v/>
      </c>
      <c r="F85" s="65" t="str">
        <f aca="false">IF(B85="","",IF('01_WBS &amp; Master Plan'!K82="Done",1,IF('01_WBS &amp; Master Plan'!L82="",0,'01_WBS &amp; Master Plan'!L82)))</f>
        <v/>
      </c>
      <c r="G85" s="63" t="str">
        <f aca="false">IF('01_WBS &amp; Master Plan'!K82="","",'01_WBS &amp; Master Plan'!K82)</f>
        <v/>
      </c>
      <c r="H85" s="66" t="str">
        <f aca="false">IF(OR($D85="",$E85=""),"",IF(AND(H$5&gt;=$D85,H$5&lt;=$E85),IF(H$5-$D85+1&lt;=ROUND(($E85-$D85+1)*$F85,0),2,IF(H$5&lt;CFG_CurWeek,3,1)),""))</f>
        <v/>
      </c>
      <c r="I85" s="66" t="str">
        <f aca="false">IF(OR($D85="",$E85=""),"",IF(AND(I$5&gt;=$D85,I$5&lt;=$E85),IF(I$5-$D85+1&lt;=ROUND(($E85-$D85+1)*$F85,0),2,IF(I$5&lt;CFG_CurWeek,3,1)),""))</f>
        <v/>
      </c>
      <c r="J85" s="66" t="str">
        <f aca="false">IF(OR($D85="",$E85=""),"",IF(AND(J$5&gt;=$D85,J$5&lt;=$E85),IF(J$5-$D85+1&lt;=ROUND(($E85-$D85+1)*$F85,0),2,IF(J$5&lt;CFG_CurWeek,3,1)),""))</f>
        <v/>
      </c>
      <c r="K85" s="66" t="str">
        <f aca="false">IF(OR($D85="",$E85=""),"",IF(AND(K$5&gt;=$D85,K$5&lt;=$E85),IF(K$5-$D85+1&lt;=ROUND(($E85-$D85+1)*$F85,0),2,IF(K$5&lt;CFG_CurWeek,3,1)),""))</f>
        <v/>
      </c>
      <c r="L85" s="66" t="str">
        <f aca="false">IF(OR($D85="",$E85=""),"",IF(AND(L$5&gt;=$D85,L$5&lt;=$E85),IF(L$5-$D85+1&lt;=ROUND(($E85-$D85+1)*$F85,0),2,IF(L$5&lt;CFG_CurWeek,3,1)),""))</f>
        <v/>
      </c>
      <c r="M85" s="66" t="str">
        <f aca="false">IF(OR($D85="",$E85=""),"",IF(AND(M$5&gt;=$D85,M$5&lt;=$E85),IF(M$5-$D85+1&lt;=ROUND(($E85-$D85+1)*$F85,0),2,IF(M$5&lt;CFG_CurWeek,3,1)),""))</f>
        <v/>
      </c>
      <c r="N85" s="66" t="str">
        <f aca="false">IF(OR($D85="",$E85=""),"",IF(AND(N$5&gt;=$D85,N$5&lt;=$E85),IF(N$5-$D85+1&lt;=ROUND(($E85-$D85+1)*$F85,0),2,IF(N$5&lt;CFG_CurWeek,3,1)),""))</f>
        <v/>
      </c>
      <c r="O85" s="66" t="str">
        <f aca="false">IF(OR($D85="",$E85=""),"",IF(AND(O$5&gt;=$D85,O$5&lt;=$E85),IF(O$5-$D85+1&lt;=ROUND(($E85-$D85+1)*$F85,0),2,IF(O$5&lt;CFG_CurWeek,3,1)),""))</f>
        <v/>
      </c>
      <c r="P85" s="66" t="str">
        <f aca="false">IF(OR($D85="",$E85=""),"",IF(AND(P$5&gt;=$D85,P$5&lt;=$E85),IF(P$5-$D85+1&lt;=ROUND(($E85-$D85+1)*$F85,0),2,IF(P$5&lt;CFG_CurWeek,3,1)),""))</f>
        <v/>
      </c>
      <c r="Q85" s="66" t="str">
        <f aca="false">IF(OR($D85="",$E85=""),"",IF(AND(Q$5&gt;=$D85,Q$5&lt;=$E85),IF(Q$5-$D85+1&lt;=ROUND(($E85-$D85+1)*$F85,0),2,IF(Q$5&lt;CFG_CurWeek,3,1)),""))</f>
        <v/>
      </c>
      <c r="R85" s="66" t="str">
        <f aca="false">IF(OR($D85="",$E85=""),"",IF(AND(R$5&gt;=$D85,R$5&lt;=$E85),IF(R$5-$D85+1&lt;=ROUND(($E85-$D85+1)*$F85,0),2,IF(R$5&lt;CFG_CurWeek,3,1)),""))</f>
        <v/>
      </c>
      <c r="S85" s="66" t="str">
        <f aca="false">IF(OR($D85="",$E85=""),"",IF(AND(S$5&gt;=$D85,S$5&lt;=$E85),IF(S$5-$D85+1&lt;=ROUND(($E85-$D85+1)*$F85,0),2,IF(S$5&lt;CFG_CurWeek,3,1)),""))</f>
        <v/>
      </c>
      <c r="T85" s="66" t="str">
        <f aca="false">IF(OR($D85="",$E85=""),"",IF(AND(T$5&gt;=$D85,T$5&lt;=$E85),IF(T$5-$D85+1&lt;=ROUND(($E85-$D85+1)*$F85,0),2,IF(T$5&lt;CFG_CurWeek,3,1)),""))</f>
        <v/>
      </c>
      <c r="U85" s="66" t="str">
        <f aca="false">IF(OR($D85="",$E85=""),"",IF(AND(U$5&gt;=$D85,U$5&lt;=$E85),IF(U$5-$D85+1&lt;=ROUND(($E85-$D85+1)*$F85,0),2,IF(U$5&lt;CFG_CurWeek,3,1)),""))</f>
        <v/>
      </c>
      <c r="V85" s="66" t="str">
        <f aca="false">IF(OR($D85="",$E85=""),"",IF(AND(V$5&gt;=$D85,V$5&lt;=$E85),IF(V$5-$D85+1&lt;=ROUND(($E85-$D85+1)*$F85,0),2,IF(V$5&lt;CFG_CurWeek,3,1)),""))</f>
        <v/>
      </c>
      <c r="W85" s="66" t="str">
        <f aca="false">IF(OR($D85="",$E85=""),"",IF(AND(W$5&gt;=$D85,W$5&lt;=$E85),IF(W$5-$D85+1&lt;=ROUND(($E85-$D85+1)*$F85,0),2,IF(W$5&lt;CFG_CurWeek,3,1)),""))</f>
        <v/>
      </c>
      <c r="X85" s="66" t="str">
        <f aca="false">IF(OR($D85="",$E85=""),"",IF(AND(X$5&gt;=$D85,X$5&lt;=$E85),IF(X$5-$D85+1&lt;=ROUND(($E85-$D85+1)*$F85,0),2,IF(X$5&lt;CFG_CurWeek,3,1)),""))</f>
        <v/>
      </c>
      <c r="Y85" s="66" t="str">
        <f aca="false">IF(OR($D85="",$E85=""),"",IF(AND(Y$5&gt;=$D85,Y$5&lt;=$E85),IF(Y$5-$D85+1&lt;=ROUND(($E85-$D85+1)*$F85,0),2,IF(Y$5&lt;CFG_CurWeek,3,1)),""))</f>
        <v/>
      </c>
      <c r="Z85" s="66" t="str">
        <f aca="false">IF(OR($D85="",$E85=""),"",IF(AND(Z$5&gt;=$D85,Z$5&lt;=$E85),IF(Z$5-$D85+1&lt;=ROUND(($E85-$D85+1)*$F85,0),2,IF(Z$5&lt;CFG_CurWeek,3,1)),""))</f>
        <v/>
      </c>
      <c r="AA85" s="66" t="str">
        <f aca="false">IF(OR($D85="",$E85=""),"",IF(AND(AA$5&gt;=$D85,AA$5&lt;=$E85),IF(AA$5-$D85+1&lt;=ROUND(($E85-$D85+1)*$F85,0),2,IF(AA$5&lt;CFG_CurWeek,3,1)),""))</f>
        <v/>
      </c>
      <c r="AB85" s="66" t="str">
        <f aca="false">IF(OR($D85="",$E85=""),"",IF(AND(AB$5&gt;=$D85,AB$5&lt;=$E85),IF(AB$5-$D85+1&lt;=ROUND(($E85-$D85+1)*$F85,0),2,IF(AB$5&lt;CFG_CurWeek,3,1)),""))</f>
        <v/>
      </c>
      <c r="AC85" s="66" t="str">
        <f aca="false">IF(OR($D85="",$E85=""),"",IF(AND(AC$5&gt;=$D85,AC$5&lt;=$E85),IF(AC$5-$D85+1&lt;=ROUND(($E85-$D85+1)*$F85,0),2,IF(AC$5&lt;CFG_CurWeek,3,1)),""))</f>
        <v/>
      </c>
      <c r="AD85" s="66" t="str">
        <f aca="false">IF(OR($D85="",$E85=""),"",IF(AND(AD$5&gt;=$D85,AD$5&lt;=$E85),IF(AD$5-$D85+1&lt;=ROUND(($E85-$D85+1)*$F85,0),2,IF(AD$5&lt;CFG_CurWeek,3,1)),""))</f>
        <v/>
      </c>
      <c r="AE85" s="66" t="str">
        <f aca="false">IF(OR($D85="",$E85=""),"",IF(AND(AE$5&gt;=$D85,AE$5&lt;=$E85),IF(AE$5-$D85+1&lt;=ROUND(($E85-$D85+1)*$F85,0),2,IF(AE$5&lt;CFG_CurWeek,3,1)),""))</f>
        <v/>
      </c>
      <c r="AF85" s="66" t="str">
        <f aca="false">IF(OR($D85="",$E85=""),"",IF(AND(AF$5&gt;=$D85,AF$5&lt;=$E85),IF(AF$5-$D85+1&lt;=ROUND(($E85-$D85+1)*$F85,0),2,IF(AF$5&lt;CFG_CurWeek,3,1)),""))</f>
        <v/>
      </c>
      <c r="AG85" s="66" t="str">
        <f aca="false">IF(OR($D85="",$E85=""),"",IF(AND(AG$5&gt;=$D85,AG$5&lt;=$E85),IF(AG$5-$D85+1&lt;=ROUND(($E85-$D85+1)*$F85,0),2,IF(AG$5&lt;CFG_CurWeek,3,1)),""))</f>
        <v/>
      </c>
      <c r="AH85" s="66" t="str">
        <f aca="false">IF(OR($D85="",$E85=""),"",IF(AND(AH$5&gt;=$D85,AH$5&lt;=$E85),IF(AH$5-$D85+1&lt;=ROUND(($E85-$D85+1)*$F85,0),2,IF(AH$5&lt;CFG_CurWeek,3,1)),""))</f>
        <v/>
      </c>
      <c r="AI85" s="66" t="str">
        <f aca="false">IF(OR($D85="",$E85=""),"",IF(AND(AI$5&gt;=$D85,AI$5&lt;=$E85),IF(AI$5-$D85+1&lt;=ROUND(($E85-$D85+1)*$F85,0),2,IF(AI$5&lt;CFG_CurWeek,3,1)),""))</f>
        <v/>
      </c>
      <c r="AJ85" s="66" t="str">
        <f aca="false">IF(OR($D85="",$E85=""),"",IF(AND(AJ$5&gt;=$D85,AJ$5&lt;=$E85),IF(AJ$5-$D85+1&lt;=ROUND(($E85-$D85+1)*$F85,0),2,IF(AJ$5&lt;CFG_CurWeek,3,1)),""))</f>
        <v/>
      </c>
      <c r="AK85" s="66" t="str">
        <f aca="false">IF(OR($D85="",$E85=""),"",IF(AND(AK$5&gt;=$D85,AK$5&lt;=$E85),IF(AK$5-$D85+1&lt;=ROUND(($E85-$D85+1)*$F85,0),2,IF(AK$5&lt;CFG_CurWeek,3,1)),""))</f>
        <v/>
      </c>
      <c r="AL85" s="66" t="str">
        <f aca="false">IF(OR($D85="",$E85=""),"",IF(AND(AL$5&gt;=$D85,AL$5&lt;=$E85),IF(AL$5-$D85+1&lt;=ROUND(($E85-$D85+1)*$F85,0),2,IF(AL$5&lt;CFG_CurWeek,3,1)),""))</f>
        <v/>
      </c>
      <c r="AM85" s="66" t="str">
        <f aca="false">IF(OR($D85="",$E85=""),"",IF(AND(AM$5&gt;=$D85,AM$5&lt;=$E85),IF(AM$5-$D85+1&lt;=ROUND(($E85-$D85+1)*$F85,0),2,IF(AM$5&lt;CFG_CurWeek,3,1)),""))</f>
        <v/>
      </c>
      <c r="AN85" s="66" t="str">
        <f aca="false">IF(OR($D85="",$E85=""),"",IF(AND(AN$5&gt;=$D85,AN$5&lt;=$E85),IF(AN$5-$D85+1&lt;=ROUND(($E85-$D85+1)*$F85,0),2,IF(AN$5&lt;CFG_CurWeek,3,1)),""))</f>
        <v/>
      </c>
      <c r="AO85" s="66" t="str">
        <f aca="false">IF(OR($D85="",$E85=""),"",IF(AND(AO$5&gt;=$D85,AO$5&lt;=$E85),IF(AO$5-$D85+1&lt;=ROUND(($E85-$D85+1)*$F85,0),2,IF(AO$5&lt;CFG_CurWeek,3,1)),""))</f>
        <v/>
      </c>
    </row>
    <row r="86" customFormat="false" ht="15" hidden="false" customHeight="false" outlineLevel="0" collapsed="false">
      <c r="A86" s="63" t="str">
        <f aca="false">IF('01_WBS &amp; Master Plan'!A83="","",'01_WBS &amp; Master Plan'!A83)</f>
        <v/>
      </c>
      <c r="B86" s="64" t="str">
        <f aca="false">IF('01_WBS &amp; Master Plan'!D83="","",'01_WBS &amp; Master Plan'!D83)</f>
        <v/>
      </c>
      <c r="C86" s="63" t="str">
        <f aca="false">IF('01_WBS &amp; Master Plan'!E83="","",'01_WBS &amp; Master Plan'!E83)</f>
        <v/>
      </c>
      <c r="D86" s="63" t="str">
        <f aca="false">IF('01_WBS &amp; Master Plan'!H83="","",'01_WBS &amp; Master Plan'!H83)</f>
        <v/>
      </c>
      <c r="E86" s="63" t="str">
        <f aca="false">IF('01_WBS &amp; Master Plan'!I83="","",'01_WBS &amp; Master Plan'!I83)</f>
        <v/>
      </c>
      <c r="F86" s="65" t="str">
        <f aca="false">IF(B86="","",IF('01_WBS &amp; Master Plan'!K83="Done",1,IF('01_WBS &amp; Master Plan'!L83="",0,'01_WBS &amp; Master Plan'!L83)))</f>
        <v/>
      </c>
      <c r="G86" s="63" t="str">
        <f aca="false">IF('01_WBS &amp; Master Plan'!K83="","",'01_WBS &amp; Master Plan'!K83)</f>
        <v/>
      </c>
      <c r="H86" s="66" t="str">
        <f aca="false">IF(OR($D86="",$E86=""),"",IF(AND(H$5&gt;=$D86,H$5&lt;=$E86),IF(H$5-$D86+1&lt;=ROUND(($E86-$D86+1)*$F86,0),2,IF(H$5&lt;CFG_CurWeek,3,1)),""))</f>
        <v/>
      </c>
      <c r="I86" s="66" t="str">
        <f aca="false">IF(OR($D86="",$E86=""),"",IF(AND(I$5&gt;=$D86,I$5&lt;=$E86),IF(I$5-$D86+1&lt;=ROUND(($E86-$D86+1)*$F86,0),2,IF(I$5&lt;CFG_CurWeek,3,1)),""))</f>
        <v/>
      </c>
      <c r="J86" s="66" t="str">
        <f aca="false">IF(OR($D86="",$E86=""),"",IF(AND(J$5&gt;=$D86,J$5&lt;=$E86),IF(J$5-$D86+1&lt;=ROUND(($E86-$D86+1)*$F86,0),2,IF(J$5&lt;CFG_CurWeek,3,1)),""))</f>
        <v/>
      </c>
      <c r="K86" s="66" t="str">
        <f aca="false">IF(OR($D86="",$E86=""),"",IF(AND(K$5&gt;=$D86,K$5&lt;=$E86),IF(K$5-$D86+1&lt;=ROUND(($E86-$D86+1)*$F86,0),2,IF(K$5&lt;CFG_CurWeek,3,1)),""))</f>
        <v/>
      </c>
      <c r="L86" s="66" t="str">
        <f aca="false">IF(OR($D86="",$E86=""),"",IF(AND(L$5&gt;=$D86,L$5&lt;=$E86),IF(L$5-$D86+1&lt;=ROUND(($E86-$D86+1)*$F86,0),2,IF(L$5&lt;CFG_CurWeek,3,1)),""))</f>
        <v/>
      </c>
      <c r="M86" s="66" t="str">
        <f aca="false">IF(OR($D86="",$E86=""),"",IF(AND(M$5&gt;=$D86,M$5&lt;=$E86),IF(M$5-$D86+1&lt;=ROUND(($E86-$D86+1)*$F86,0),2,IF(M$5&lt;CFG_CurWeek,3,1)),""))</f>
        <v/>
      </c>
      <c r="N86" s="66" t="str">
        <f aca="false">IF(OR($D86="",$E86=""),"",IF(AND(N$5&gt;=$D86,N$5&lt;=$E86),IF(N$5-$D86+1&lt;=ROUND(($E86-$D86+1)*$F86,0),2,IF(N$5&lt;CFG_CurWeek,3,1)),""))</f>
        <v/>
      </c>
      <c r="O86" s="66" t="str">
        <f aca="false">IF(OR($D86="",$E86=""),"",IF(AND(O$5&gt;=$D86,O$5&lt;=$E86),IF(O$5-$D86+1&lt;=ROUND(($E86-$D86+1)*$F86,0),2,IF(O$5&lt;CFG_CurWeek,3,1)),""))</f>
        <v/>
      </c>
      <c r="P86" s="66" t="str">
        <f aca="false">IF(OR($D86="",$E86=""),"",IF(AND(P$5&gt;=$D86,P$5&lt;=$E86),IF(P$5-$D86+1&lt;=ROUND(($E86-$D86+1)*$F86,0),2,IF(P$5&lt;CFG_CurWeek,3,1)),""))</f>
        <v/>
      </c>
      <c r="Q86" s="66" t="str">
        <f aca="false">IF(OR($D86="",$E86=""),"",IF(AND(Q$5&gt;=$D86,Q$5&lt;=$E86),IF(Q$5-$D86+1&lt;=ROUND(($E86-$D86+1)*$F86,0),2,IF(Q$5&lt;CFG_CurWeek,3,1)),""))</f>
        <v/>
      </c>
      <c r="R86" s="66" t="str">
        <f aca="false">IF(OR($D86="",$E86=""),"",IF(AND(R$5&gt;=$D86,R$5&lt;=$E86),IF(R$5-$D86+1&lt;=ROUND(($E86-$D86+1)*$F86,0),2,IF(R$5&lt;CFG_CurWeek,3,1)),""))</f>
        <v/>
      </c>
      <c r="S86" s="66" t="str">
        <f aca="false">IF(OR($D86="",$E86=""),"",IF(AND(S$5&gt;=$D86,S$5&lt;=$E86),IF(S$5-$D86+1&lt;=ROUND(($E86-$D86+1)*$F86,0),2,IF(S$5&lt;CFG_CurWeek,3,1)),""))</f>
        <v/>
      </c>
      <c r="T86" s="66" t="str">
        <f aca="false">IF(OR($D86="",$E86=""),"",IF(AND(T$5&gt;=$D86,T$5&lt;=$E86),IF(T$5-$D86+1&lt;=ROUND(($E86-$D86+1)*$F86,0),2,IF(T$5&lt;CFG_CurWeek,3,1)),""))</f>
        <v/>
      </c>
      <c r="U86" s="66" t="str">
        <f aca="false">IF(OR($D86="",$E86=""),"",IF(AND(U$5&gt;=$D86,U$5&lt;=$E86),IF(U$5-$D86+1&lt;=ROUND(($E86-$D86+1)*$F86,0),2,IF(U$5&lt;CFG_CurWeek,3,1)),""))</f>
        <v/>
      </c>
      <c r="V86" s="66" t="str">
        <f aca="false">IF(OR($D86="",$E86=""),"",IF(AND(V$5&gt;=$D86,V$5&lt;=$E86),IF(V$5-$D86+1&lt;=ROUND(($E86-$D86+1)*$F86,0),2,IF(V$5&lt;CFG_CurWeek,3,1)),""))</f>
        <v/>
      </c>
      <c r="W86" s="66" t="str">
        <f aca="false">IF(OR($D86="",$E86=""),"",IF(AND(W$5&gt;=$D86,W$5&lt;=$E86),IF(W$5-$D86+1&lt;=ROUND(($E86-$D86+1)*$F86,0),2,IF(W$5&lt;CFG_CurWeek,3,1)),""))</f>
        <v/>
      </c>
      <c r="X86" s="66" t="str">
        <f aca="false">IF(OR($D86="",$E86=""),"",IF(AND(X$5&gt;=$D86,X$5&lt;=$E86),IF(X$5-$D86+1&lt;=ROUND(($E86-$D86+1)*$F86,0),2,IF(X$5&lt;CFG_CurWeek,3,1)),""))</f>
        <v/>
      </c>
      <c r="Y86" s="66" t="str">
        <f aca="false">IF(OR($D86="",$E86=""),"",IF(AND(Y$5&gt;=$D86,Y$5&lt;=$E86),IF(Y$5-$D86+1&lt;=ROUND(($E86-$D86+1)*$F86,0),2,IF(Y$5&lt;CFG_CurWeek,3,1)),""))</f>
        <v/>
      </c>
      <c r="Z86" s="66" t="str">
        <f aca="false">IF(OR($D86="",$E86=""),"",IF(AND(Z$5&gt;=$D86,Z$5&lt;=$E86),IF(Z$5-$D86+1&lt;=ROUND(($E86-$D86+1)*$F86,0),2,IF(Z$5&lt;CFG_CurWeek,3,1)),""))</f>
        <v/>
      </c>
      <c r="AA86" s="66" t="str">
        <f aca="false">IF(OR($D86="",$E86=""),"",IF(AND(AA$5&gt;=$D86,AA$5&lt;=$E86),IF(AA$5-$D86+1&lt;=ROUND(($E86-$D86+1)*$F86,0),2,IF(AA$5&lt;CFG_CurWeek,3,1)),""))</f>
        <v/>
      </c>
      <c r="AB86" s="66" t="str">
        <f aca="false">IF(OR($D86="",$E86=""),"",IF(AND(AB$5&gt;=$D86,AB$5&lt;=$E86),IF(AB$5-$D86+1&lt;=ROUND(($E86-$D86+1)*$F86,0),2,IF(AB$5&lt;CFG_CurWeek,3,1)),""))</f>
        <v/>
      </c>
      <c r="AC86" s="66" t="str">
        <f aca="false">IF(OR($D86="",$E86=""),"",IF(AND(AC$5&gt;=$D86,AC$5&lt;=$E86),IF(AC$5-$D86+1&lt;=ROUND(($E86-$D86+1)*$F86,0),2,IF(AC$5&lt;CFG_CurWeek,3,1)),""))</f>
        <v/>
      </c>
      <c r="AD86" s="66" t="str">
        <f aca="false">IF(OR($D86="",$E86=""),"",IF(AND(AD$5&gt;=$D86,AD$5&lt;=$E86),IF(AD$5-$D86+1&lt;=ROUND(($E86-$D86+1)*$F86,0),2,IF(AD$5&lt;CFG_CurWeek,3,1)),""))</f>
        <v/>
      </c>
      <c r="AE86" s="66" t="str">
        <f aca="false">IF(OR($D86="",$E86=""),"",IF(AND(AE$5&gt;=$D86,AE$5&lt;=$E86),IF(AE$5-$D86+1&lt;=ROUND(($E86-$D86+1)*$F86,0),2,IF(AE$5&lt;CFG_CurWeek,3,1)),""))</f>
        <v/>
      </c>
      <c r="AF86" s="66" t="str">
        <f aca="false">IF(OR($D86="",$E86=""),"",IF(AND(AF$5&gt;=$D86,AF$5&lt;=$E86),IF(AF$5-$D86+1&lt;=ROUND(($E86-$D86+1)*$F86,0),2,IF(AF$5&lt;CFG_CurWeek,3,1)),""))</f>
        <v/>
      </c>
      <c r="AG86" s="66" t="str">
        <f aca="false">IF(OR($D86="",$E86=""),"",IF(AND(AG$5&gt;=$D86,AG$5&lt;=$E86),IF(AG$5-$D86+1&lt;=ROUND(($E86-$D86+1)*$F86,0),2,IF(AG$5&lt;CFG_CurWeek,3,1)),""))</f>
        <v/>
      </c>
      <c r="AH86" s="66" t="str">
        <f aca="false">IF(OR($D86="",$E86=""),"",IF(AND(AH$5&gt;=$D86,AH$5&lt;=$E86),IF(AH$5-$D86+1&lt;=ROUND(($E86-$D86+1)*$F86,0),2,IF(AH$5&lt;CFG_CurWeek,3,1)),""))</f>
        <v/>
      </c>
      <c r="AI86" s="66" t="str">
        <f aca="false">IF(OR($D86="",$E86=""),"",IF(AND(AI$5&gt;=$D86,AI$5&lt;=$E86),IF(AI$5-$D86+1&lt;=ROUND(($E86-$D86+1)*$F86,0),2,IF(AI$5&lt;CFG_CurWeek,3,1)),""))</f>
        <v/>
      </c>
      <c r="AJ86" s="66" t="str">
        <f aca="false">IF(OR($D86="",$E86=""),"",IF(AND(AJ$5&gt;=$D86,AJ$5&lt;=$E86),IF(AJ$5-$D86+1&lt;=ROUND(($E86-$D86+1)*$F86,0),2,IF(AJ$5&lt;CFG_CurWeek,3,1)),""))</f>
        <v/>
      </c>
      <c r="AK86" s="66" t="str">
        <f aca="false">IF(OR($D86="",$E86=""),"",IF(AND(AK$5&gt;=$D86,AK$5&lt;=$E86),IF(AK$5-$D86+1&lt;=ROUND(($E86-$D86+1)*$F86,0),2,IF(AK$5&lt;CFG_CurWeek,3,1)),""))</f>
        <v/>
      </c>
      <c r="AL86" s="66" t="str">
        <f aca="false">IF(OR($D86="",$E86=""),"",IF(AND(AL$5&gt;=$D86,AL$5&lt;=$E86),IF(AL$5-$D86+1&lt;=ROUND(($E86-$D86+1)*$F86,0),2,IF(AL$5&lt;CFG_CurWeek,3,1)),""))</f>
        <v/>
      </c>
      <c r="AM86" s="66" t="str">
        <f aca="false">IF(OR($D86="",$E86=""),"",IF(AND(AM$5&gt;=$D86,AM$5&lt;=$E86),IF(AM$5-$D86+1&lt;=ROUND(($E86-$D86+1)*$F86,0),2,IF(AM$5&lt;CFG_CurWeek,3,1)),""))</f>
        <v/>
      </c>
      <c r="AN86" s="66" t="str">
        <f aca="false">IF(OR($D86="",$E86=""),"",IF(AND(AN$5&gt;=$D86,AN$5&lt;=$E86),IF(AN$5-$D86+1&lt;=ROUND(($E86-$D86+1)*$F86,0),2,IF(AN$5&lt;CFG_CurWeek,3,1)),""))</f>
        <v/>
      </c>
      <c r="AO86" s="66" t="str">
        <f aca="false">IF(OR($D86="",$E86=""),"",IF(AND(AO$5&gt;=$D86,AO$5&lt;=$E86),IF(AO$5-$D86+1&lt;=ROUND(($E86-$D86+1)*$F86,0),2,IF(AO$5&lt;CFG_CurWeek,3,1)),""))</f>
        <v/>
      </c>
    </row>
    <row r="87" customFormat="false" ht="15" hidden="false" customHeight="false" outlineLevel="0" collapsed="false">
      <c r="A87" s="63" t="str">
        <f aca="false">IF('01_WBS &amp; Master Plan'!A84="","",'01_WBS &amp; Master Plan'!A84)</f>
        <v/>
      </c>
      <c r="B87" s="64" t="str">
        <f aca="false">IF('01_WBS &amp; Master Plan'!D84="","",'01_WBS &amp; Master Plan'!D84)</f>
        <v/>
      </c>
      <c r="C87" s="63" t="str">
        <f aca="false">IF('01_WBS &amp; Master Plan'!E84="","",'01_WBS &amp; Master Plan'!E84)</f>
        <v/>
      </c>
      <c r="D87" s="63" t="str">
        <f aca="false">IF('01_WBS &amp; Master Plan'!H84="","",'01_WBS &amp; Master Plan'!H84)</f>
        <v/>
      </c>
      <c r="E87" s="63" t="str">
        <f aca="false">IF('01_WBS &amp; Master Plan'!I84="","",'01_WBS &amp; Master Plan'!I84)</f>
        <v/>
      </c>
      <c r="F87" s="65" t="str">
        <f aca="false">IF(B87="","",IF('01_WBS &amp; Master Plan'!K84="Done",1,IF('01_WBS &amp; Master Plan'!L84="",0,'01_WBS &amp; Master Plan'!L84)))</f>
        <v/>
      </c>
      <c r="G87" s="63" t="str">
        <f aca="false">IF('01_WBS &amp; Master Plan'!K84="","",'01_WBS &amp; Master Plan'!K84)</f>
        <v/>
      </c>
      <c r="H87" s="66" t="str">
        <f aca="false">IF(OR($D87="",$E87=""),"",IF(AND(H$5&gt;=$D87,H$5&lt;=$E87),IF(H$5-$D87+1&lt;=ROUND(($E87-$D87+1)*$F87,0),2,IF(H$5&lt;CFG_CurWeek,3,1)),""))</f>
        <v/>
      </c>
      <c r="I87" s="66" t="str">
        <f aca="false">IF(OR($D87="",$E87=""),"",IF(AND(I$5&gt;=$D87,I$5&lt;=$E87),IF(I$5-$D87+1&lt;=ROUND(($E87-$D87+1)*$F87,0),2,IF(I$5&lt;CFG_CurWeek,3,1)),""))</f>
        <v/>
      </c>
      <c r="J87" s="66" t="str">
        <f aca="false">IF(OR($D87="",$E87=""),"",IF(AND(J$5&gt;=$D87,J$5&lt;=$E87),IF(J$5-$D87+1&lt;=ROUND(($E87-$D87+1)*$F87,0),2,IF(J$5&lt;CFG_CurWeek,3,1)),""))</f>
        <v/>
      </c>
      <c r="K87" s="66" t="str">
        <f aca="false">IF(OR($D87="",$E87=""),"",IF(AND(K$5&gt;=$D87,K$5&lt;=$E87),IF(K$5-$D87+1&lt;=ROUND(($E87-$D87+1)*$F87,0),2,IF(K$5&lt;CFG_CurWeek,3,1)),""))</f>
        <v/>
      </c>
      <c r="L87" s="66" t="str">
        <f aca="false">IF(OR($D87="",$E87=""),"",IF(AND(L$5&gt;=$D87,L$5&lt;=$E87),IF(L$5-$D87+1&lt;=ROUND(($E87-$D87+1)*$F87,0),2,IF(L$5&lt;CFG_CurWeek,3,1)),""))</f>
        <v/>
      </c>
      <c r="M87" s="66" t="str">
        <f aca="false">IF(OR($D87="",$E87=""),"",IF(AND(M$5&gt;=$D87,M$5&lt;=$E87),IF(M$5-$D87+1&lt;=ROUND(($E87-$D87+1)*$F87,0),2,IF(M$5&lt;CFG_CurWeek,3,1)),""))</f>
        <v/>
      </c>
      <c r="N87" s="66" t="str">
        <f aca="false">IF(OR($D87="",$E87=""),"",IF(AND(N$5&gt;=$D87,N$5&lt;=$E87),IF(N$5-$D87+1&lt;=ROUND(($E87-$D87+1)*$F87,0),2,IF(N$5&lt;CFG_CurWeek,3,1)),""))</f>
        <v/>
      </c>
      <c r="O87" s="66" t="str">
        <f aca="false">IF(OR($D87="",$E87=""),"",IF(AND(O$5&gt;=$D87,O$5&lt;=$E87),IF(O$5-$D87+1&lt;=ROUND(($E87-$D87+1)*$F87,0),2,IF(O$5&lt;CFG_CurWeek,3,1)),""))</f>
        <v/>
      </c>
      <c r="P87" s="66" t="str">
        <f aca="false">IF(OR($D87="",$E87=""),"",IF(AND(P$5&gt;=$D87,P$5&lt;=$E87),IF(P$5-$D87+1&lt;=ROUND(($E87-$D87+1)*$F87,0),2,IF(P$5&lt;CFG_CurWeek,3,1)),""))</f>
        <v/>
      </c>
      <c r="Q87" s="66" t="str">
        <f aca="false">IF(OR($D87="",$E87=""),"",IF(AND(Q$5&gt;=$D87,Q$5&lt;=$E87),IF(Q$5-$D87+1&lt;=ROUND(($E87-$D87+1)*$F87,0),2,IF(Q$5&lt;CFG_CurWeek,3,1)),""))</f>
        <v/>
      </c>
      <c r="R87" s="66" t="str">
        <f aca="false">IF(OR($D87="",$E87=""),"",IF(AND(R$5&gt;=$D87,R$5&lt;=$E87),IF(R$5-$D87+1&lt;=ROUND(($E87-$D87+1)*$F87,0),2,IF(R$5&lt;CFG_CurWeek,3,1)),""))</f>
        <v/>
      </c>
      <c r="S87" s="66" t="str">
        <f aca="false">IF(OR($D87="",$E87=""),"",IF(AND(S$5&gt;=$D87,S$5&lt;=$E87),IF(S$5-$D87+1&lt;=ROUND(($E87-$D87+1)*$F87,0),2,IF(S$5&lt;CFG_CurWeek,3,1)),""))</f>
        <v/>
      </c>
      <c r="T87" s="66" t="str">
        <f aca="false">IF(OR($D87="",$E87=""),"",IF(AND(T$5&gt;=$D87,T$5&lt;=$E87),IF(T$5-$D87+1&lt;=ROUND(($E87-$D87+1)*$F87,0),2,IF(T$5&lt;CFG_CurWeek,3,1)),""))</f>
        <v/>
      </c>
      <c r="U87" s="66" t="str">
        <f aca="false">IF(OR($D87="",$E87=""),"",IF(AND(U$5&gt;=$D87,U$5&lt;=$E87),IF(U$5-$D87+1&lt;=ROUND(($E87-$D87+1)*$F87,0),2,IF(U$5&lt;CFG_CurWeek,3,1)),""))</f>
        <v/>
      </c>
      <c r="V87" s="66" t="str">
        <f aca="false">IF(OR($D87="",$E87=""),"",IF(AND(V$5&gt;=$D87,V$5&lt;=$E87),IF(V$5-$D87+1&lt;=ROUND(($E87-$D87+1)*$F87,0),2,IF(V$5&lt;CFG_CurWeek,3,1)),""))</f>
        <v/>
      </c>
      <c r="W87" s="66" t="str">
        <f aca="false">IF(OR($D87="",$E87=""),"",IF(AND(W$5&gt;=$D87,W$5&lt;=$E87),IF(W$5-$D87+1&lt;=ROUND(($E87-$D87+1)*$F87,0),2,IF(W$5&lt;CFG_CurWeek,3,1)),""))</f>
        <v/>
      </c>
      <c r="X87" s="66" t="str">
        <f aca="false">IF(OR($D87="",$E87=""),"",IF(AND(X$5&gt;=$D87,X$5&lt;=$E87),IF(X$5-$D87+1&lt;=ROUND(($E87-$D87+1)*$F87,0),2,IF(X$5&lt;CFG_CurWeek,3,1)),""))</f>
        <v/>
      </c>
      <c r="Y87" s="66" t="str">
        <f aca="false">IF(OR($D87="",$E87=""),"",IF(AND(Y$5&gt;=$D87,Y$5&lt;=$E87),IF(Y$5-$D87+1&lt;=ROUND(($E87-$D87+1)*$F87,0),2,IF(Y$5&lt;CFG_CurWeek,3,1)),""))</f>
        <v/>
      </c>
      <c r="Z87" s="66" t="str">
        <f aca="false">IF(OR($D87="",$E87=""),"",IF(AND(Z$5&gt;=$D87,Z$5&lt;=$E87),IF(Z$5-$D87+1&lt;=ROUND(($E87-$D87+1)*$F87,0),2,IF(Z$5&lt;CFG_CurWeek,3,1)),""))</f>
        <v/>
      </c>
      <c r="AA87" s="66" t="str">
        <f aca="false">IF(OR($D87="",$E87=""),"",IF(AND(AA$5&gt;=$D87,AA$5&lt;=$E87),IF(AA$5-$D87+1&lt;=ROUND(($E87-$D87+1)*$F87,0),2,IF(AA$5&lt;CFG_CurWeek,3,1)),""))</f>
        <v/>
      </c>
      <c r="AB87" s="66" t="str">
        <f aca="false">IF(OR($D87="",$E87=""),"",IF(AND(AB$5&gt;=$D87,AB$5&lt;=$E87),IF(AB$5-$D87+1&lt;=ROUND(($E87-$D87+1)*$F87,0),2,IF(AB$5&lt;CFG_CurWeek,3,1)),""))</f>
        <v/>
      </c>
      <c r="AC87" s="66" t="str">
        <f aca="false">IF(OR($D87="",$E87=""),"",IF(AND(AC$5&gt;=$D87,AC$5&lt;=$E87),IF(AC$5-$D87+1&lt;=ROUND(($E87-$D87+1)*$F87,0),2,IF(AC$5&lt;CFG_CurWeek,3,1)),""))</f>
        <v/>
      </c>
      <c r="AD87" s="66" t="str">
        <f aca="false">IF(OR($D87="",$E87=""),"",IF(AND(AD$5&gt;=$D87,AD$5&lt;=$E87),IF(AD$5-$D87+1&lt;=ROUND(($E87-$D87+1)*$F87,0),2,IF(AD$5&lt;CFG_CurWeek,3,1)),""))</f>
        <v/>
      </c>
      <c r="AE87" s="66" t="str">
        <f aca="false">IF(OR($D87="",$E87=""),"",IF(AND(AE$5&gt;=$D87,AE$5&lt;=$E87),IF(AE$5-$D87+1&lt;=ROUND(($E87-$D87+1)*$F87,0),2,IF(AE$5&lt;CFG_CurWeek,3,1)),""))</f>
        <v/>
      </c>
      <c r="AF87" s="66" t="str">
        <f aca="false">IF(OR($D87="",$E87=""),"",IF(AND(AF$5&gt;=$D87,AF$5&lt;=$E87),IF(AF$5-$D87+1&lt;=ROUND(($E87-$D87+1)*$F87,0),2,IF(AF$5&lt;CFG_CurWeek,3,1)),""))</f>
        <v/>
      </c>
      <c r="AG87" s="66" t="str">
        <f aca="false">IF(OR($D87="",$E87=""),"",IF(AND(AG$5&gt;=$D87,AG$5&lt;=$E87),IF(AG$5-$D87+1&lt;=ROUND(($E87-$D87+1)*$F87,0),2,IF(AG$5&lt;CFG_CurWeek,3,1)),""))</f>
        <v/>
      </c>
      <c r="AH87" s="66" t="str">
        <f aca="false">IF(OR($D87="",$E87=""),"",IF(AND(AH$5&gt;=$D87,AH$5&lt;=$E87),IF(AH$5-$D87+1&lt;=ROUND(($E87-$D87+1)*$F87,0),2,IF(AH$5&lt;CFG_CurWeek,3,1)),""))</f>
        <v/>
      </c>
      <c r="AI87" s="66" t="str">
        <f aca="false">IF(OR($D87="",$E87=""),"",IF(AND(AI$5&gt;=$D87,AI$5&lt;=$E87),IF(AI$5-$D87+1&lt;=ROUND(($E87-$D87+1)*$F87,0),2,IF(AI$5&lt;CFG_CurWeek,3,1)),""))</f>
        <v/>
      </c>
      <c r="AJ87" s="66" t="str">
        <f aca="false">IF(OR($D87="",$E87=""),"",IF(AND(AJ$5&gt;=$D87,AJ$5&lt;=$E87),IF(AJ$5-$D87+1&lt;=ROUND(($E87-$D87+1)*$F87,0),2,IF(AJ$5&lt;CFG_CurWeek,3,1)),""))</f>
        <v/>
      </c>
      <c r="AK87" s="66" t="str">
        <f aca="false">IF(OR($D87="",$E87=""),"",IF(AND(AK$5&gt;=$D87,AK$5&lt;=$E87),IF(AK$5-$D87+1&lt;=ROUND(($E87-$D87+1)*$F87,0),2,IF(AK$5&lt;CFG_CurWeek,3,1)),""))</f>
        <v/>
      </c>
      <c r="AL87" s="66" t="str">
        <f aca="false">IF(OR($D87="",$E87=""),"",IF(AND(AL$5&gt;=$D87,AL$5&lt;=$E87),IF(AL$5-$D87+1&lt;=ROUND(($E87-$D87+1)*$F87,0),2,IF(AL$5&lt;CFG_CurWeek,3,1)),""))</f>
        <v/>
      </c>
      <c r="AM87" s="66" t="str">
        <f aca="false">IF(OR($D87="",$E87=""),"",IF(AND(AM$5&gt;=$D87,AM$5&lt;=$E87),IF(AM$5-$D87+1&lt;=ROUND(($E87-$D87+1)*$F87,0),2,IF(AM$5&lt;CFG_CurWeek,3,1)),""))</f>
        <v/>
      </c>
      <c r="AN87" s="66" t="str">
        <f aca="false">IF(OR($D87="",$E87=""),"",IF(AND(AN$5&gt;=$D87,AN$5&lt;=$E87),IF(AN$5-$D87+1&lt;=ROUND(($E87-$D87+1)*$F87,0),2,IF(AN$5&lt;CFG_CurWeek,3,1)),""))</f>
        <v/>
      </c>
      <c r="AO87" s="66" t="str">
        <f aca="false">IF(OR($D87="",$E87=""),"",IF(AND(AO$5&gt;=$D87,AO$5&lt;=$E87),IF(AO$5-$D87+1&lt;=ROUND(($E87-$D87+1)*$F87,0),2,IF(AO$5&lt;CFG_CurWeek,3,1)),""))</f>
        <v/>
      </c>
    </row>
    <row r="88" customFormat="false" ht="15" hidden="false" customHeight="false" outlineLevel="0" collapsed="false">
      <c r="A88" s="63" t="str">
        <f aca="false">IF('01_WBS &amp; Master Plan'!A85="","",'01_WBS &amp; Master Plan'!A85)</f>
        <v/>
      </c>
      <c r="B88" s="64" t="str">
        <f aca="false">IF('01_WBS &amp; Master Plan'!D85="","",'01_WBS &amp; Master Plan'!D85)</f>
        <v/>
      </c>
      <c r="C88" s="63" t="str">
        <f aca="false">IF('01_WBS &amp; Master Plan'!E85="","",'01_WBS &amp; Master Plan'!E85)</f>
        <v/>
      </c>
      <c r="D88" s="63" t="str">
        <f aca="false">IF('01_WBS &amp; Master Plan'!H85="","",'01_WBS &amp; Master Plan'!H85)</f>
        <v/>
      </c>
      <c r="E88" s="63" t="str">
        <f aca="false">IF('01_WBS &amp; Master Plan'!I85="","",'01_WBS &amp; Master Plan'!I85)</f>
        <v/>
      </c>
      <c r="F88" s="65" t="str">
        <f aca="false">IF(B88="","",IF('01_WBS &amp; Master Plan'!K85="Done",1,IF('01_WBS &amp; Master Plan'!L85="",0,'01_WBS &amp; Master Plan'!L85)))</f>
        <v/>
      </c>
      <c r="G88" s="63" t="str">
        <f aca="false">IF('01_WBS &amp; Master Plan'!K85="","",'01_WBS &amp; Master Plan'!K85)</f>
        <v/>
      </c>
      <c r="H88" s="66" t="str">
        <f aca="false">IF(OR($D88="",$E88=""),"",IF(AND(H$5&gt;=$D88,H$5&lt;=$E88),IF(H$5-$D88+1&lt;=ROUND(($E88-$D88+1)*$F88,0),2,IF(H$5&lt;CFG_CurWeek,3,1)),""))</f>
        <v/>
      </c>
      <c r="I88" s="66" t="str">
        <f aca="false">IF(OR($D88="",$E88=""),"",IF(AND(I$5&gt;=$D88,I$5&lt;=$E88),IF(I$5-$D88+1&lt;=ROUND(($E88-$D88+1)*$F88,0),2,IF(I$5&lt;CFG_CurWeek,3,1)),""))</f>
        <v/>
      </c>
      <c r="J88" s="66" t="str">
        <f aca="false">IF(OR($D88="",$E88=""),"",IF(AND(J$5&gt;=$D88,J$5&lt;=$E88),IF(J$5-$D88+1&lt;=ROUND(($E88-$D88+1)*$F88,0),2,IF(J$5&lt;CFG_CurWeek,3,1)),""))</f>
        <v/>
      </c>
      <c r="K88" s="66" t="str">
        <f aca="false">IF(OR($D88="",$E88=""),"",IF(AND(K$5&gt;=$D88,K$5&lt;=$E88),IF(K$5-$D88+1&lt;=ROUND(($E88-$D88+1)*$F88,0),2,IF(K$5&lt;CFG_CurWeek,3,1)),""))</f>
        <v/>
      </c>
      <c r="L88" s="66" t="str">
        <f aca="false">IF(OR($D88="",$E88=""),"",IF(AND(L$5&gt;=$D88,L$5&lt;=$E88),IF(L$5-$D88+1&lt;=ROUND(($E88-$D88+1)*$F88,0),2,IF(L$5&lt;CFG_CurWeek,3,1)),""))</f>
        <v/>
      </c>
      <c r="M88" s="66" t="str">
        <f aca="false">IF(OR($D88="",$E88=""),"",IF(AND(M$5&gt;=$D88,M$5&lt;=$E88),IF(M$5-$D88+1&lt;=ROUND(($E88-$D88+1)*$F88,0),2,IF(M$5&lt;CFG_CurWeek,3,1)),""))</f>
        <v/>
      </c>
      <c r="N88" s="66" t="str">
        <f aca="false">IF(OR($D88="",$E88=""),"",IF(AND(N$5&gt;=$D88,N$5&lt;=$E88),IF(N$5-$D88+1&lt;=ROUND(($E88-$D88+1)*$F88,0),2,IF(N$5&lt;CFG_CurWeek,3,1)),""))</f>
        <v/>
      </c>
      <c r="O88" s="66" t="str">
        <f aca="false">IF(OR($D88="",$E88=""),"",IF(AND(O$5&gt;=$D88,O$5&lt;=$E88),IF(O$5-$D88+1&lt;=ROUND(($E88-$D88+1)*$F88,0),2,IF(O$5&lt;CFG_CurWeek,3,1)),""))</f>
        <v/>
      </c>
      <c r="P88" s="66" t="str">
        <f aca="false">IF(OR($D88="",$E88=""),"",IF(AND(P$5&gt;=$D88,P$5&lt;=$E88),IF(P$5-$D88+1&lt;=ROUND(($E88-$D88+1)*$F88,0),2,IF(P$5&lt;CFG_CurWeek,3,1)),""))</f>
        <v/>
      </c>
      <c r="Q88" s="66" t="str">
        <f aca="false">IF(OR($D88="",$E88=""),"",IF(AND(Q$5&gt;=$D88,Q$5&lt;=$E88),IF(Q$5-$D88+1&lt;=ROUND(($E88-$D88+1)*$F88,0),2,IF(Q$5&lt;CFG_CurWeek,3,1)),""))</f>
        <v/>
      </c>
      <c r="R88" s="66" t="str">
        <f aca="false">IF(OR($D88="",$E88=""),"",IF(AND(R$5&gt;=$D88,R$5&lt;=$E88),IF(R$5-$D88+1&lt;=ROUND(($E88-$D88+1)*$F88,0),2,IF(R$5&lt;CFG_CurWeek,3,1)),""))</f>
        <v/>
      </c>
      <c r="S88" s="66" t="str">
        <f aca="false">IF(OR($D88="",$E88=""),"",IF(AND(S$5&gt;=$D88,S$5&lt;=$E88),IF(S$5-$D88+1&lt;=ROUND(($E88-$D88+1)*$F88,0),2,IF(S$5&lt;CFG_CurWeek,3,1)),""))</f>
        <v/>
      </c>
      <c r="T88" s="66" t="str">
        <f aca="false">IF(OR($D88="",$E88=""),"",IF(AND(T$5&gt;=$D88,T$5&lt;=$E88),IF(T$5-$D88+1&lt;=ROUND(($E88-$D88+1)*$F88,0),2,IF(T$5&lt;CFG_CurWeek,3,1)),""))</f>
        <v/>
      </c>
      <c r="U88" s="66" t="str">
        <f aca="false">IF(OR($D88="",$E88=""),"",IF(AND(U$5&gt;=$D88,U$5&lt;=$E88),IF(U$5-$D88+1&lt;=ROUND(($E88-$D88+1)*$F88,0),2,IF(U$5&lt;CFG_CurWeek,3,1)),""))</f>
        <v/>
      </c>
      <c r="V88" s="66" t="str">
        <f aca="false">IF(OR($D88="",$E88=""),"",IF(AND(V$5&gt;=$D88,V$5&lt;=$E88),IF(V$5-$D88+1&lt;=ROUND(($E88-$D88+1)*$F88,0),2,IF(V$5&lt;CFG_CurWeek,3,1)),""))</f>
        <v/>
      </c>
      <c r="W88" s="66" t="str">
        <f aca="false">IF(OR($D88="",$E88=""),"",IF(AND(W$5&gt;=$D88,W$5&lt;=$E88),IF(W$5-$D88+1&lt;=ROUND(($E88-$D88+1)*$F88,0),2,IF(W$5&lt;CFG_CurWeek,3,1)),""))</f>
        <v/>
      </c>
      <c r="X88" s="66" t="str">
        <f aca="false">IF(OR($D88="",$E88=""),"",IF(AND(X$5&gt;=$D88,X$5&lt;=$E88),IF(X$5-$D88+1&lt;=ROUND(($E88-$D88+1)*$F88,0),2,IF(X$5&lt;CFG_CurWeek,3,1)),""))</f>
        <v/>
      </c>
      <c r="Y88" s="66" t="str">
        <f aca="false">IF(OR($D88="",$E88=""),"",IF(AND(Y$5&gt;=$D88,Y$5&lt;=$E88),IF(Y$5-$D88+1&lt;=ROUND(($E88-$D88+1)*$F88,0),2,IF(Y$5&lt;CFG_CurWeek,3,1)),""))</f>
        <v/>
      </c>
      <c r="Z88" s="66" t="str">
        <f aca="false">IF(OR($D88="",$E88=""),"",IF(AND(Z$5&gt;=$D88,Z$5&lt;=$E88),IF(Z$5-$D88+1&lt;=ROUND(($E88-$D88+1)*$F88,0),2,IF(Z$5&lt;CFG_CurWeek,3,1)),""))</f>
        <v/>
      </c>
      <c r="AA88" s="66" t="str">
        <f aca="false">IF(OR($D88="",$E88=""),"",IF(AND(AA$5&gt;=$D88,AA$5&lt;=$E88),IF(AA$5-$D88+1&lt;=ROUND(($E88-$D88+1)*$F88,0),2,IF(AA$5&lt;CFG_CurWeek,3,1)),""))</f>
        <v/>
      </c>
      <c r="AB88" s="66" t="str">
        <f aca="false">IF(OR($D88="",$E88=""),"",IF(AND(AB$5&gt;=$D88,AB$5&lt;=$E88),IF(AB$5-$D88+1&lt;=ROUND(($E88-$D88+1)*$F88,0),2,IF(AB$5&lt;CFG_CurWeek,3,1)),""))</f>
        <v/>
      </c>
      <c r="AC88" s="66" t="str">
        <f aca="false">IF(OR($D88="",$E88=""),"",IF(AND(AC$5&gt;=$D88,AC$5&lt;=$E88),IF(AC$5-$D88+1&lt;=ROUND(($E88-$D88+1)*$F88,0),2,IF(AC$5&lt;CFG_CurWeek,3,1)),""))</f>
        <v/>
      </c>
      <c r="AD88" s="66" t="str">
        <f aca="false">IF(OR($D88="",$E88=""),"",IF(AND(AD$5&gt;=$D88,AD$5&lt;=$E88),IF(AD$5-$D88+1&lt;=ROUND(($E88-$D88+1)*$F88,0),2,IF(AD$5&lt;CFG_CurWeek,3,1)),""))</f>
        <v/>
      </c>
      <c r="AE88" s="66" t="str">
        <f aca="false">IF(OR($D88="",$E88=""),"",IF(AND(AE$5&gt;=$D88,AE$5&lt;=$E88),IF(AE$5-$D88+1&lt;=ROUND(($E88-$D88+1)*$F88,0),2,IF(AE$5&lt;CFG_CurWeek,3,1)),""))</f>
        <v/>
      </c>
      <c r="AF88" s="66" t="str">
        <f aca="false">IF(OR($D88="",$E88=""),"",IF(AND(AF$5&gt;=$D88,AF$5&lt;=$E88),IF(AF$5-$D88+1&lt;=ROUND(($E88-$D88+1)*$F88,0),2,IF(AF$5&lt;CFG_CurWeek,3,1)),""))</f>
        <v/>
      </c>
      <c r="AG88" s="66" t="str">
        <f aca="false">IF(OR($D88="",$E88=""),"",IF(AND(AG$5&gt;=$D88,AG$5&lt;=$E88),IF(AG$5-$D88+1&lt;=ROUND(($E88-$D88+1)*$F88,0),2,IF(AG$5&lt;CFG_CurWeek,3,1)),""))</f>
        <v/>
      </c>
      <c r="AH88" s="66" t="str">
        <f aca="false">IF(OR($D88="",$E88=""),"",IF(AND(AH$5&gt;=$D88,AH$5&lt;=$E88),IF(AH$5-$D88+1&lt;=ROUND(($E88-$D88+1)*$F88,0),2,IF(AH$5&lt;CFG_CurWeek,3,1)),""))</f>
        <v/>
      </c>
      <c r="AI88" s="66" t="str">
        <f aca="false">IF(OR($D88="",$E88=""),"",IF(AND(AI$5&gt;=$D88,AI$5&lt;=$E88),IF(AI$5-$D88+1&lt;=ROUND(($E88-$D88+1)*$F88,0),2,IF(AI$5&lt;CFG_CurWeek,3,1)),""))</f>
        <v/>
      </c>
      <c r="AJ88" s="66" t="str">
        <f aca="false">IF(OR($D88="",$E88=""),"",IF(AND(AJ$5&gt;=$D88,AJ$5&lt;=$E88),IF(AJ$5-$D88+1&lt;=ROUND(($E88-$D88+1)*$F88,0),2,IF(AJ$5&lt;CFG_CurWeek,3,1)),""))</f>
        <v/>
      </c>
      <c r="AK88" s="66" t="str">
        <f aca="false">IF(OR($D88="",$E88=""),"",IF(AND(AK$5&gt;=$D88,AK$5&lt;=$E88),IF(AK$5-$D88+1&lt;=ROUND(($E88-$D88+1)*$F88,0),2,IF(AK$5&lt;CFG_CurWeek,3,1)),""))</f>
        <v/>
      </c>
      <c r="AL88" s="66" t="str">
        <f aca="false">IF(OR($D88="",$E88=""),"",IF(AND(AL$5&gt;=$D88,AL$5&lt;=$E88),IF(AL$5-$D88+1&lt;=ROUND(($E88-$D88+1)*$F88,0),2,IF(AL$5&lt;CFG_CurWeek,3,1)),""))</f>
        <v/>
      </c>
      <c r="AM88" s="66" t="str">
        <f aca="false">IF(OR($D88="",$E88=""),"",IF(AND(AM$5&gt;=$D88,AM$5&lt;=$E88),IF(AM$5-$D88+1&lt;=ROUND(($E88-$D88+1)*$F88,0),2,IF(AM$5&lt;CFG_CurWeek,3,1)),""))</f>
        <v/>
      </c>
      <c r="AN88" s="66" t="str">
        <f aca="false">IF(OR($D88="",$E88=""),"",IF(AND(AN$5&gt;=$D88,AN$5&lt;=$E88),IF(AN$5-$D88+1&lt;=ROUND(($E88-$D88+1)*$F88,0),2,IF(AN$5&lt;CFG_CurWeek,3,1)),""))</f>
        <v/>
      </c>
      <c r="AO88" s="66" t="str">
        <f aca="false">IF(OR($D88="",$E88=""),"",IF(AND(AO$5&gt;=$D88,AO$5&lt;=$E88),IF(AO$5-$D88+1&lt;=ROUND(($E88-$D88+1)*$F88,0),2,IF(AO$5&lt;CFG_CurWeek,3,1)),""))</f>
        <v/>
      </c>
    </row>
    <row r="89" customFormat="false" ht="15" hidden="false" customHeight="false" outlineLevel="0" collapsed="false">
      <c r="A89" s="63" t="str">
        <f aca="false">IF('01_WBS &amp; Master Plan'!A86="","",'01_WBS &amp; Master Plan'!A86)</f>
        <v/>
      </c>
      <c r="B89" s="64" t="str">
        <f aca="false">IF('01_WBS &amp; Master Plan'!D86="","",'01_WBS &amp; Master Plan'!D86)</f>
        <v/>
      </c>
      <c r="C89" s="63" t="str">
        <f aca="false">IF('01_WBS &amp; Master Plan'!E86="","",'01_WBS &amp; Master Plan'!E86)</f>
        <v/>
      </c>
      <c r="D89" s="63" t="str">
        <f aca="false">IF('01_WBS &amp; Master Plan'!H86="","",'01_WBS &amp; Master Plan'!H86)</f>
        <v/>
      </c>
      <c r="E89" s="63" t="str">
        <f aca="false">IF('01_WBS &amp; Master Plan'!I86="","",'01_WBS &amp; Master Plan'!I86)</f>
        <v/>
      </c>
      <c r="F89" s="65" t="str">
        <f aca="false">IF(B89="","",IF('01_WBS &amp; Master Plan'!K86="Done",1,IF('01_WBS &amp; Master Plan'!L86="",0,'01_WBS &amp; Master Plan'!L86)))</f>
        <v/>
      </c>
      <c r="G89" s="63" t="str">
        <f aca="false">IF('01_WBS &amp; Master Plan'!K86="","",'01_WBS &amp; Master Plan'!K86)</f>
        <v/>
      </c>
      <c r="H89" s="66" t="str">
        <f aca="false">IF(OR($D89="",$E89=""),"",IF(AND(H$5&gt;=$D89,H$5&lt;=$E89),IF(H$5-$D89+1&lt;=ROUND(($E89-$D89+1)*$F89,0),2,IF(H$5&lt;CFG_CurWeek,3,1)),""))</f>
        <v/>
      </c>
      <c r="I89" s="66" t="str">
        <f aca="false">IF(OR($D89="",$E89=""),"",IF(AND(I$5&gt;=$D89,I$5&lt;=$E89),IF(I$5-$D89+1&lt;=ROUND(($E89-$D89+1)*$F89,0),2,IF(I$5&lt;CFG_CurWeek,3,1)),""))</f>
        <v/>
      </c>
      <c r="J89" s="66" t="str">
        <f aca="false">IF(OR($D89="",$E89=""),"",IF(AND(J$5&gt;=$D89,J$5&lt;=$E89),IF(J$5-$D89+1&lt;=ROUND(($E89-$D89+1)*$F89,0),2,IF(J$5&lt;CFG_CurWeek,3,1)),""))</f>
        <v/>
      </c>
      <c r="K89" s="66" t="str">
        <f aca="false">IF(OR($D89="",$E89=""),"",IF(AND(K$5&gt;=$D89,K$5&lt;=$E89),IF(K$5-$D89+1&lt;=ROUND(($E89-$D89+1)*$F89,0),2,IF(K$5&lt;CFG_CurWeek,3,1)),""))</f>
        <v/>
      </c>
      <c r="L89" s="66" t="str">
        <f aca="false">IF(OR($D89="",$E89=""),"",IF(AND(L$5&gt;=$D89,L$5&lt;=$E89),IF(L$5-$D89+1&lt;=ROUND(($E89-$D89+1)*$F89,0),2,IF(L$5&lt;CFG_CurWeek,3,1)),""))</f>
        <v/>
      </c>
      <c r="M89" s="66" t="str">
        <f aca="false">IF(OR($D89="",$E89=""),"",IF(AND(M$5&gt;=$D89,M$5&lt;=$E89),IF(M$5-$D89+1&lt;=ROUND(($E89-$D89+1)*$F89,0),2,IF(M$5&lt;CFG_CurWeek,3,1)),""))</f>
        <v/>
      </c>
      <c r="N89" s="66" t="str">
        <f aca="false">IF(OR($D89="",$E89=""),"",IF(AND(N$5&gt;=$D89,N$5&lt;=$E89),IF(N$5-$D89+1&lt;=ROUND(($E89-$D89+1)*$F89,0),2,IF(N$5&lt;CFG_CurWeek,3,1)),""))</f>
        <v/>
      </c>
      <c r="O89" s="66" t="str">
        <f aca="false">IF(OR($D89="",$E89=""),"",IF(AND(O$5&gt;=$D89,O$5&lt;=$E89),IF(O$5-$D89+1&lt;=ROUND(($E89-$D89+1)*$F89,0),2,IF(O$5&lt;CFG_CurWeek,3,1)),""))</f>
        <v/>
      </c>
      <c r="P89" s="66" t="str">
        <f aca="false">IF(OR($D89="",$E89=""),"",IF(AND(P$5&gt;=$D89,P$5&lt;=$E89),IF(P$5-$D89+1&lt;=ROUND(($E89-$D89+1)*$F89,0),2,IF(P$5&lt;CFG_CurWeek,3,1)),""))</f>
        <v/>
      </c>
      <c r="Q89" s="66" t="str">
        <f aca="false">IF(OR($D89="",$E89=""),"",IF(AND(Q$5&gt;=$D89,Q$5&lt;=$E89),IF(Q$5-$D89+1&lt;=ROUND(($E89-$D89+1)*$F89,0),2,IF(Q$5&lt;CFG_CurWeek,3,1)),""))</f>
        <v/>
      </c>
      <c r="R89" s="66" t="str">
        <f aca="false">IF(OR($D89="",$E89=""),"",IF(AND(R$5&gt;=$D89,R$5&lt;=$E89),IF(R$5-$D89+1&lt;=ROUND(($E89-$D89+1)*$F89,0),2,IF(R$5&lt;CFG_CurWeek,3,1)),""))</f>
        <v/>
      </c>
      <c r="S89" s="66" t="str">
        <f aca="false">IF(OR($D89="",$E89=""),"",IF(AND(S$5&gt;=$D89,S$5&lt;=$E89),IF(S$5-$D89+1&lt;=ROUND(($E89-$D89+1)*$F89,0),2,IF(S$5&lt;CFG_CurWeek,3,1)),""))</f>
        <v/>
      </c>
      <c r="T89" s="66" t="str">
        <f aca="false">IF(OR($D89="",$E89=""),"",IF(AND(T$5&gt;=$D89,T$5&lt;=$E89),IF(T$5-$D89+1&lt;=ROUND(($E89-$D89+1)*$F89,0),2,IF(T$5&lt;CFG_CurWeek,3,1)),""))</f>
        <v/>
      </c>
      <c r="U89" s="66" t="str">
        <f aca="false">IF(OR($D89="",$E89=""),"",IF(AND(U$5&gt;=$D89,U$5&lt;=$E89),IF(U$5-$D89+1&lt;=ROUND(($E89-$D89+1)*$F89,0),2,IF(U$5&lt;CFG_CurWeek,3,1)),""))</f>
        <v/>
      </c>
      <c r="V89" s="66" t="str">
        <f aca="false">IF(OR($D89="",$E89=""),"",IF(AND(V$5&gt;=$D89,V$5&lt;=$E89),IF(V$5-$D89+1&lt;=ROUND(($E89-$D89+1)*$F89,0),2,IF(V$5&lt;CFG_CurWeek,3,1)),""))</f>
        <v/>
      </c>
      <c r="W89" s="66" t="str">
        <f aca="false">IF(OR($D89="",$E89=""),"",IF(AND(W$5&gt;=$D89,W$5&lt;=$E89),IF(W$5-$D89+1&lt;=ROUND(($E89-$D89+1)*$F89,0),2,IF(W$5&lt;CFG_CurWeek,3,1)),""))</f>
        <v/>
      </c>
      <c r="X89" s="66" t="str">
        <f aca="false">IF(OR($D89="",$E89=""),"",IF(AND(X$5&gt;=$D89,X$5&lt;=$E89),IF(X$5-$D89+1&lt;=ROUND(($E89-$D89+1)*$F89,0),2,IF(X$5&lt;CFG_CurWeek,3,1)),""))</f>
        <v/>
      </c>
      <c r="Y89" s="66" t="str">
        <f aca="false">IF(OR($D89="",$E89=""),"",IF(AND(Y$5&gt;=$D89,Y$5&lt;=$E89),IF(Y$5-$D89+1&lt;=ROUND(($E89-$D89+1)*$F89,0),2,IF(Y$5&lt;CFG_CurWeek,3,1)),""))</f>
        <v/>
      </c>
      <c r="Z89" s="66" t="str">
        <f aca="false">IF(OR($D89="",$E89=""),"",IF(AND(Z$5&gt;=$D89,Z$5&lt;=$E89),IF(Z$5-$D89+1&lt;=ROUND(($E89-$D89+1)*$F89,0),2,IF(Z$5&lt;CFG_CurWeek,3,1)),""))</f>
        <v/>
      </c>
      <c r="AA89" s="66" t="str">
        <f aca="false">IF(OR($D89="",$E89=""),"",IF(AND(AA$5&gt;=$D89,AA$5&lt;=$E89),IF(AA$5-$D89+1&lt;=ROUND(($E89-$D89+1)*$F89,0),2,IF(AA$5&lt;CFG_CurWeek,3,1)),""))</f>
        <v/>
      </c>
      <c r="AB89" s="66" t="str">
        <f aca="false">IF(OR($D89="",$E89=""),"",IF(AND(AB$5&gt;=$D89,AB$5&lt;=$E89),IF(AB$5-$D89+1&lt;=ROUND(($E89-$D89+1)*$F89,0),2,IF(AB$5&lt;CFG_CurWeek,3,1)),""))</f>
        <v/>
      </c>
      <c r="AC89" s="66" t="str">
        <f aca="false">IF(OR($D89="",$E89=""),"",IF(AND(AC$5&gt;=$D89,AC$5&lt;=$E89),IF(AC$5-$D89+1&lt;=ROUND(($E89-$D89+1)*$F89,0),2,IF(AC$5&lt;CFG_CurWeek,3,1)),""))</f>
        <v/>
      </c>
      <c r="AD89" s="66" t="str">
        <f aca="false">IF(OR($D89="",$E89=""),"",IF(AND(AD$5&gt;=$D89,AD$5&lt;=$E89),IF(AD$5-$D89+1&lt;=ROUND(($E89-$D89+1)*$F89,0),2,IF(AD$5&lt;CFG_CurWeek,3,1)),""))</f>
        <v/>
      </c>
      <c r="AE89" s="66" t="str">
        <f aca="false">IF(OR($D89="",$E89=""),"",IF(AND(AE$5&gt;=$D89,AE$5&lt;=$E89),IF(AE$5-$D89+1&lt;=ROUND(($E89-$D89+1)*$F89,0),2,IF(AE$5&lt;CFG_CurWeek,3,1)),""))</f>
        <v/>
      </c>
      <c r="AF89" s="66" t="str">
        <f aca="false">IF(OR($D89="",$E89=""),"",IF(AND(AF$5&gt;=$D89,AF$5&lt;=$E89),IF(AF$5-$D89+1&lt;=ROUND(($E89-$D89+1)*$F89,0),2,IF(AF$5&lt;CFG_CurWeek,3,1)),""))</f>
        <v/>
      </c>
      <c r="AG89" s="66" t="str">
        <f aca="false">IF(OR($D89="",$E89=""),"",IF(AND(AG$5&gt;=$D89,AG$5&lt;=$E89),IF(AG$5-$D89+1&lt;=ROUND(($E89-$D89+1)*$F89,0),2,IF(AG$5&lt;CFG_CurWeek,3,1)),""))</f>
        <v/>
      </c>
      <c r="AH89" s="66" t="str">
        <f aca="false">IF(OR($D89="",$E89=""),"",IF(AND(AH$5&gt;=$D89,AH$5&lt;=$E89),IF(AH$5-$D89+1&lt;=ROUND(($E89-$D89+1)*$F89,0),2,IF(AH$5&lt;CFG_CurWeek,3,1)),""))</f>
        <v/>
      </c>
      <c r="AI89" s="66" t="str">
        <f aca="false">IF(OR($D89="",$E89=""),"",IF(AND(AI$5&gt;=$D89,AI$5&lt;=$E89),IF(AI$5-$D89+1&lt;=ROUND(($E89-$D89+1)*$F89,0),2,IF(AI$5&lt;CFG_CurWeek,3,1)),""))</f>
        <v/>
      </c>
      <c r="AJ89" s="66" t="str">
        <f aca="false">IF(OR($D89="",$E89=""),"",IF(AND(AJ$5&gt;=$D89,AJ$5&lt;=$E89),IF(AJ$5-$D89+1&lt;=ROUND(($E89-$D89+1)*$F89,0),2,IF(AJ$5&lt;CFG_CurWeek,3,1)),""))</f>
        <v/>
      </c>
      <c r="AK89" s="66" t="str">
        <f aca="false">IF(OR($D89="",$E89=""),"",IF(AND(AK$5&gt;=$D89,AK$5&lt;=$E89),IF(AK$5-$D89+1&lt;=ROUND(($E89-$D89+1)*$F89,0),2,IF(AK$5&lt;CFG_CurWeek,3,1)),""))</f>
        <v/>
      </c>
      <c r="AL89" s="66" t="str">
        <f aca="false">IF(OR($D89="",$E89=""),"",IF(AND(AL$5&gt;=$D89,AL$5&lt;=$E89),IF(AL$5-$D89+1&lt;=ROUND(($E89-$D89+1)*$F89,0),2,IF(AL$5&lt;CFG_CurWeek,3,1)),""))</f>
        <v/>
      </c>
      <c r="AM89" s="66" t="str">
        <f aca="false">IF(OR($D89="",$E89=""),"",IF(AND(AM$5&gt;=$D89,AM$5&lt;=$E89),IF(AM$5-$D89+1&lt;=ROUND(($E89-$D89+1)*$F89,0),2,IF(AM$5&lt;CFG_CurWeek,3,1)),""))</f>
        <v/>
      </c>
      <c r="AN89" s="66" t="str">
        <f aca="false">IF(OR($D89="",$E89=""),"",IF(AND(AN$5&gt;=$D89,AN$5&lt;=$E89),IF(AN$5-$D89+1&lt;=ROUND(($E89-$D89+1)*$F89,0),2,IF(AN$5&lt;CFG_CurWeek,3,1)),""))</f>
        <v/>
      </c>
      <c r="AO89" s="66" t="str">
        <f aca="false">IF(OR($D89="",$E89=""),"",IF(AND(AO$5&gt;=$D89,AO$5&lt;=$E89),IF(AO$5-$D89+1&lt;=ROUND(($E89-$D89+1)*$F89,0),2,IF(AO$5&lt;CFG_CurWeek,3,1)),""))</f>
        <v/>
      </c>
    </row>
    <row r="90" customFormat="false" ht="15" hidden="false" customHeight="false" outlineLevel="0" collapsed="false">
      <c r="A90" s="63" t="str">
        <f aca="false">IF('01_WBS &amp; Master Plan'!A87="","",'01_WBS &amp; Master Plan'!A87)</f>
        <v/>
      </c>
      <c r="B90" s="64" t="str">
        <f aca="false">IF('01_WBS &amp; Master Plan'!D87="","",'01_WBS &amp; Master Plan'!D87)</f>
        <v/>
      </c>
      <c r="C90" s="63" t="str">
        <f aca="false">IF('01_WBS &amp; Master Plan'!E87="","",'01_WBS &amp; Master Plan'!E87)</f>
        <v/>
      </c>
      <c r="D90" s="63" t="str">
        <f aca="false">IF('01_WBS &amp; Master Plan'!H87="","",'01_WBS &amp; Master Plan'!H87)</f>
        <v/>
      </c>
      <c r="E90" s="63" t="str">
        <f aca="false">IF('01_WBS &amp; Master Plan'!I87="","",'01_WBS &amp; Master Plan'!I87)</f>
        <v/>
      </c>
      <c r="F90" s="65" t="str">
        <f aca="false">IF(B90="","",IF('01_WBS &amp; Master Plan'!K87="Done",1,IF('01_WBS &amp; Master Plan'!L87="",0,'01_WBS &amp; Master Plan'!L87)))</f>
        <v/>
      </c>
      <c r="G90" s="63" t="str">
        <f aca="false">IF('01_WBS &amp; Master Plan'!K87="","",'01_WBS &amp; Master Plan'!K87)</f>
        <v/>
      </c>
      <c r="H90" s="66" t="str">
        <f aca="false">IF(OR($D90="",$E90=""),"",IF(AND(H$5&gt;=$D90,H$5&lt;=$E90),IF(H$5-$D90+1&lt;=ROUND(($E90-$D90+1)*$F90,0),2,IF(H$5&lt;CFG_CurWeek,3,1)),""))</f>
        <v/>
      </c>
      <c r="I90" s="66" t="str">
        <f aca="false">IF(OR($D90="",$E90=""),"",IF(AND(I$5&gt;=$D90,I$5&lt;=$E90),IF(I$5-$D90+1&lt;=ROUND(($E90-$D90+1)*$F90,0),2,IF(I$5&lt;CFG_CurWeek,3,1)),""))</f>
        <v/>
      </c>
      <c r="J90" s="66" t="str">
        <f aca="false">IF(OR($D90="",$E90=""),"",IF(AND(J$5&gt;=$D90,J$5&lt;=$E90),IF(J$5-$D90+1&lt;=ROUND(($E90-$D90+1)*$F90,0),2,IF(J$5&lt;CFG_CurWeek,3,1)),""))</f>
        <v/>
      </c>
      <c r="K90" s="66" t="str">
        <f aca="false">IF(OR($D90="",$E90=""),"",IF(AND(K$5&gt;=$D90,K$5&lt;=$E90),IF(K$5-$D90+1&lt;=ROUND(($E90-$D90+1)*$F90,0),2,IF(K$5&lt;CFG_CurWeek,3,1)),""))</f>
        <v/>
      </c>
      <c r="L90" s="66" t="str">
        <f aca="false">IF(OR($D90="",$E90=""),"",IF(AND(L$5&gt;=$D90,L$5&lt;=$E90),IF(L$5-$D90+1&lt;=ROUND(($E90-$D90+1)*$F90,0),2,IF(L$5&lt;CFG_CurWeek,3,1)),""))</f>
        <v/>
      </c>
      <c r="M90" s="66" t="str">
        <f aca="false">IF(OR($D90="",$E90=""),"",IF(AND(M$5&gt;=$D90,M$5&lt;=$E90),IF(M$5-$D90+1&lt;=ROUND(($E90-$D90+1)*$F90,0),2,IF(M$5&lt;CFG_CurWeek,3,1)),""))</f>
        <v/>
      </c>
      <c r="N90" s="66" t="str">
        <f aca="false">IF(OR($D90="",$E90=""),"",IF(AND(N$5&gt;=$D90,N$5&lt;=$E90),IF(N$5-$D90+1&lt;=ROUND(($E90-$D90+1)*$F90,0),2,IF(N$5&lt;CFG_CurWeek,3,1)),""))</f>
        <v/>
      </c>
      <c r="O90" s="66" t="str">
        <f aca="false">IF(OR($D90="",$E90=""),"",IF(AND(O$5&gt;=$D90,O$5&lt;=$E90),IF(O$5-$D90+1&lt;=ROUND(($E90-$D90+1)*$F90,0),2,IF(O$5&lt;CFG_CurWeek,3,1)),""))</f>
        <v/>
      </c>
      <c r="P90" s="66" t="str">
        <f aca="false">IF(OR($D90="",$E90=""),"",IF(AND(P$5&gt;=$D90,P$5&lt;=$E90),IF(P$5-$D90+1&lt;=ROUND(($E90-$D90+1)*$F90,0),2,IF(P$5&lt;CFG_CurWeek,3,1)),""))</f>
        <v/>
      </c>
      <c r="Q90" s="66" t="str">
        <f aca="false">IF(OR($D90="",$E90=""),"",IF(AND(Q$5&gt;=$D90,Q$5&lt;=$E90),IF(Q$5-$D90+1&lt;=ROUND(($E90-$D90+1)*$F90,0),2,IF(Q$5&lt;CFG_CurWeek,3,1)),""))</f>
        <v/>
      </c>
      <c r="R90" s="66" t="str">
        <f aca="false">IF(OR($D90="",$E90=""),"",IF(AND(R$5&gt;=$D90,R$5&lt;=$E90),IF(R$5-$D90+1&lt;=ROUND(($E90-$D90+1)*$F90,0),2,IF(R$5&lt;CFG_CurWeek,3,1)),""))</f>
        <v/>
      </c>
      <c r="S90" s="66" t="str">
        <f aca="false">IF(OR($D90="",$E90=""),"",IF(AND(S$5&gt;=$D90,S$5&lt;=$E90),IF(S$5-$D90+1&lt;=ROUND(($E90-$D90+1)*$F90,0),2,IF(S$5&lt;CFG_CurWeek,3,1)),""))</f>
        <v/>
      </c>
      <c r="T90" s="66" t="str">
        <f aca="false">IF(OR($D90="",$E90=""),"",IF(AND(T$5&gt;=$D90,T$5&lt;=$E90),IF(T$5-$D90+1&lt;=ROUND(($E90-$D90+1)*$F90,0),2,IF(T$5&lt;CFG_CurWeek,3,1)),""))</f>
        <v/>
      </c>
      <c r="U90" s="66" t="str">
        <f aca="false">IF(OR($D90="",$E90=""),"",IF(AND(U$5&gt;=$D90,U$5&lt;=$E90),IF(U$5-$D90+1&lt;=ROUND(($E90-$D90+1)*$F90,0),2,IF(U$5&lt;CFG_CurWeek,3,1)),""))</f>
        <v/>
      </c>
      <c r="V90" s="66" t="str">
        <f aca="false">IF(OR($D90="",$E90=""),"",IF(AND(V$5&gt;=$D90,V$5&lt;=$E90),IF(V$5-$D90+1&lt;=ROUND(($E90-$D90+1)*$F90,0),2,IF(V$5&lt;CFG_CurWeek,3,1)),""))</f>
        <v/>
      </c>
      <c r="W90" s="66" t="str">
        <f aca="false">IF(OR($D90="",$E90=""),"",IF(AND(W$5&gt;=$D90,W$5&lt;=$E90),IF(W$5-$D90+1&lt;=ROUND(($E90-$D90+1)*$F90,0),2,IF(W$5&lt;CFG_CurWeek,3,1)),""))</f>
        <v/>
      </c>
      <c r="X90" s="66" t="str">
        <f aca="false">IF(OR($D90="",$E90=""),"",IF(AND(X$5&gt;=$D90,X$5&lt;=$E90),IF(X$5-$D90+1&lt;=ROUND(($E90-$D90+1)*$F90,0),2,IF(X$5&lt;CFG_CurWeek,3,1)),""))</f>
        <v/>
      </c>
      <c r="Y90" s="66" t="str">
        <f aca="false">IF(OR($D90="",$E90=""),"",IF(AND(Y$5&gt;=$D90,Y$5&lt;=$E90),IF(Y$5-$D90+1&lt;=ROUND(($E90-$D90+1)*$F90,0),2,IF(Y$5&lt;CFG_CurWeek,3,1)),""))</f>
        <v/>
      </c>
      <c r="Z90" s="66" t="str">
        <f aca="false">IF(OR($D90="",$E90=""),"",IF(AND(Z$5&gt;=$D90,Z$5&lt;=$E90),IF(Z$5-$D90+1&lt;=ROUND(($E90-$D90+1)*$F90,0),2,IF(Z$5&lt;CFG_CurWeek,3,1)),""))</f>
        <v/>
      </c>
      <c r="AA90" s="66" t="str">
        <f aca="false">IF(OR($D90="",$E90=""),"",IF(AND(AA$5&gt;=$D90,AA$5&lt;=$E90),IF(AA$5-$D90+1&lt;=ROUND(($E90-$D90+1)*$F90,0),2,IF(AA$5&lt;CFG_CurWeek,3,1)),""))</f>
        <v/>
      </c>
      <c r="AB90" s="66" t="str">
        <f aca="false">IF(OR($D90="",$E90=""),"",IF(AND(AB$5&gt;=$D90,AB$5&lt;=$E90),IF(AB$5-$D90+1&lt;=ROUND(($E90-$D90+1)*$F90,0),2,IF(AB$5&lt;CFG_CurWeek,3,1)),""))</f>
        <v/>
      </c>
      <c r="AC90" s="66" t="str">
        <f aca="false">IF(OR($D90="",$E90=""),"",IF(AND(AC$5&gt;=$D90,AC$5&lt;=$E90),IF(AC$5-$D90+1&lt;=ROUND(($E90-$D90+1)*$F90,0),2,IF(AC$5&lt;CFG_CurWeek,3,1)),""))</f>
        <v/>
      </c>
      <c r="AD90" s="66" t="str">
        <f aca="false">IF(OR($D90="",$E90=""),"",IF(AND(AD$5&gt;=$D90,AD$5&lt;=$E90),IF(AD$5-$D90+1&lt;=ROUND(($E90-$D90+1)*$F90,0),2,IF(AD$5&lt;CFG_CurWeek,3,1)),""))</f>
        <v/>
      </c>
      <c r="AE90" s="66" t="str">
        <f aca="false">IF(OR($D90="",$E90=""),"",IF(AND(AE$5&gt;=$D90,AE$5&lt;=$E90),IF(AE$5-$D90+1&lt;=ROUND(($E90-$D90+1)*$F90,0),2,IF(AE$5&lt;CFG_CurWeek,3,1)),""))</f>
        <v/>
      </c>
      <c r="AF90" s="66" t="str">
        <f aca="false">IF(OR($D90="",$E90=""),"",IF(AND(AF$5&gt;=$D90,AF$5&lt;=$E90),IF(AF$5-$D90+1&lt;=ROUND(($E90-$D90+1)*$F90,0),2,IF(AF$5&lt;CFG_CurWeek,3,1)),""))</f>
        <v/>
      </c>
      <c r="AG90" s="66" t="str">
        <f aca="false">IF(OR($D90="",$E90=""),"",IF(AND(AG$5&gt;=$D90,AG$5&lt;=$E90),IF(AG$5-$D90+1&lt;=ROUND(($E90-$D90+1)*$F90,0),2,IF(AG$5&lt;CFG_CurWeek,3,1)),""))</f>
        <v/>
      </c>
      <c r="AH90" s="66" t="str">
        <f aca="false">IF(OR($D90="",$E90=""),"",IF(AND(AH$5&gt;=$D90,AH$5&lt;=$E90),IF(AH$5-$D90+1&lt;=ROUND(($E90-$D90+1)*$F90,0),2,IF(AH$5&lt;CFG_CurWeek,3,1)),""))</f>
        <v/>
      </c>
      <c r="AI90" s="66" t="str">
        <f aca="false">IF(OR($D90="",$E90=""),"",IF(AND(AI$5&gt;=$D90,AI$5&lt;=$E90),IF(AI$5-$D90+1&lt;=ROUND(($E90-$D90+1)*$F90,0),2,IF(AI$5&lt;CFG_CurWeek,3,1)),""))</f>
        <v/>
      </c>
      <c r="AJ90" s="66" t="str">
        <f aca="false">IF(OR($D90="",$E90=""),"",IF(AND(AJ$5&gt;=$D90,AJ$5&lt;=$E90),IF(AJ$5-$D90+1&lt;=ROUND(($E90-$D90+1)*$F90,0),2,IF(AJ$5&lt;CFG_CurWeek,3,1)),""))</f>
        <v/>
      </c>
      <c r="AK90" s="66" t="str">
        <f aca="false">IF(OR($D90="",$E90=""),"",IF(AND(AK$5&gt;=$D90,AK$5&lt;=$E90),IF(AK$5-$D90+1&lt;=ROUND(($E90-$D90+1)*$F90,0),2,IF(AK$5&lt;CFG_CurWeek,3,1)),""))</f>
        <v/>
      </c>
      <c r="AL90" s="66" t="str">
        <f aca="false">IF(OR($D90="",$E90=""),"",IF(AND(AL$5&gt;=$D90,AL$5&lt;=$E90),IF(AL$5-$D90+1&lt;=ROUND(($E90-$D90+1)*$F90,0),2,IF(AL$5&lt;CFG_CurWeek,3,1)),""))</f>
        <v/>
      </c>
      <c r="AM90" s="66" t="str">
        <f aca="false">IF(OR($D90="",$E90=""),"",IF(AND(AM$5&gt;=$D90,AM$5&lt;=$E90),IF(AM$5-$D90+1&lt;=ROUND(($E90-$D90+1)*$F90,0),2,IF(AM$5&lt;CFG_CurWeek,3,1)),""))</f>
        <v/>
      </c>
      <c r="AN90" s="66" t="str">
        <f aca="false">IF(OR($D90="",$E90=""),"",IF(AND(AN$5&gt;=$D90,AN$5&lt;=$E90),IF(AN$5-$D90+1&lt;=ROUND(($E90-$D90+1)*$F90,0),2,IF(AN$5&lt;CFG_CurWeek,3,1)),""))</f>
        <v/>
      </c>
      <c r="AO90" s="66" t="str">
        <f aca="false">IF(OR($D90="",$E90=""),"",IF(AND(AO$5&gt;=$D90,AO$5&lt;=$E90),IF(AO$5-$D90+1&lt;=ROUND(($E90-$D90+1)*$F90,0),2,IF(AO$5&lt;CFG_CurWeek,3,1)),""))</f>
        <v/>
      </c>
    </row>
    <row r="91" customFormat="false" ht="15" hidden="false" customHeight="false" outlineLevel="0" collapsed="false">
      <c r="A91" s="63" t="str">
        <f aca="false">IF('01_WBS &amp; Master Plan'!A88="","",'01_WBS &amp; Master Plan'!A88)</f>
        <v/>
      </c>
      <c r="B91" s="64" t="str">
        <f aca="false">IF('01_WBS &amp; Master Plan'!D88="","",'01_WBS &amp; Master Plan'!D88)</f>
        <v/>
      </c>
      <c r="C91" s="63" t="str">
        <f aca="false">IF('01_WBS &amp; Master Plan'!E88="","",'01_WBS &amp; Master Plan'!E88)</f>
        <v/>
      </c>
      <c r="D91" s="63" t="str">
        <f aca="false">IF('01_WBS &amp; Master Plan'!H88="","",'01_WBS &amp; Master Plan'!H88)</f>
        <v/>
      </c>
      <c r="E91" s="63" t="str">
        <f aca="false">IF('01_WBS &amp; Master Plan'!I88="","",'01_WBS &amp; Master Plan'!I88)</f>
        <v/>
      </c>
      <c r="F91" s="65" t="str">
        <f aca="false">IF(B91="","",IF('01_WBS &amp; Master Plan'!K88="Done",1,IF('01_WBS &amp; Master Plan'!L88="",0,'01_WBS &amp; Master Plan'!L88)))</f>
        <v/>
      </c>
      <c r="G91" s="63" t="str">
        <f aca="false">IF('01_WBS &amp; Master Plan'!K88="","",'01_WBS &amp; Master Plan'!K88)</f>
        <v/>
      </c>
      <c r="H91" s="66" t="str">
        <f aca="false">IF(OR($D91="",$E91=""),"",IF(AND(H$5&gt;=$D91,H$5&lt;=$E91),IF(H$5-$D91+1&lt;=ROUND(($E91-$D91+1)*$F91,0),2,IF(H$5&lt;CFG_CurWeek,3,1)),""))</f>
        <v/>
      </c>
      <c r="I91" s="66" t="str">
        <f aca="false">IF(OR($D91="",$E91=""),"",IF(AND(I$5&gt;=$D91,I$5&lt;=$E91),IF(I$5-$D91+1&lt;=ROUND(($E91-$D91+1)*$F91,0),2,IF(I$5&lt;CFG_CurWeek,3,1)),""))</f>
        <v/>
      </c>
      <c r="J91" s="66" t="str">
        <f aca="false">IF(OR($D91="",$E91=""),"",IF(AND(J$5&gt;=$D91,J$5&lt;=$E91),IF(J$5-$D91+1&lt;=ROUND(($E91-$D91+1)*$F91,0),2,IF(J$5&lt;CFG_CurWeek,3,1)),""))</f>
        <v/>
      </c>
      <c r="K91" s="66" t="str">
        <f aca="false">IF(OR($D91="",$E91=""),"",IF(AND(K$5&gt;=$D91,K$5&lt;=$E91),IF(K$5-$D91+1&lt;=ROUND(($E91-$D91+1)*$F91,0),2,IF(K$5&lt;CFG_CurWeek,3,1)),""))</f>
        <v/>
      </c>
      <c r="L91" s="66" t="str">
        <f aca="false">IF(OR($D91="",$E91=""),"",IF(AND(L$5&gt;=$D91,L$5&lt;=$E91),IF(L$5-$D91+1&lt;=ROUND(($E91-$D91+1)*$F91,0),2,IF(L$5&lt;CFG_CurWeek,3,1)),""))</f>
        <v/>
      </c>
      <c r="M91" s="66" t="str">
        <f aca="false">IF(OR($D91="",$E91=""),"",IF(AND(M$5&gt;=$D91,M$5&lt;=$E91),IF(M$5-$D91+1&lt;=ROUND(($E91-$D91+1)*$F91,0),2,IF(M$5&lt;CFG_CurWeek,3,1)),""))</f>
        <v/>
      </c>
      <c r="N91" s="66" t="str">
        <f aca="false">IF(OR($D91="",$E91=""),"",IF(AND(N$5&gt;=$D91,N$5&lt;=$E91),IF(N$5-$D91+1&lt;=ROUND(($E91-$D91+1)*$F91,0),2,IF(N$5&lt;CFG_CurWeek,3,1)),""))</f>
        <v/>
      </c>
      <c r="O91" s="66" t="str">
        <f aca="false">IF(OR($D91="",$E91=""),"",IF(AND(O$5&gt;=$D91,O$5&lt;=$E91),IF(O$5-$D91+1&lt;=ROUND(($E91-$D91+1)*$F91,0),2,IF(O$5&lt;CFG_CurWeek,3,1)),""))</f>
        <v/>
      </c>
      <c r="P91" s="66" t="str">
        <f aca="false">IF(OR($D91="",$E91=""),"",IF(AND(P$5&gt;=$D91,P$5&lt;=$E91),IF(P$5-$D91+1&lt;=ROUND(($E91-$D91+1)*$F91,0),2,IF(P$5&lt;CFG_CurWeek,3,1)),""))</f>
        <v/>
      </c>
      <c r="Q91" s="66" t="str">
        <f aca="false">IF(OR($D91="",$E91=""),"",IF(AND(Q$5&gt;=$D91,Q$5&lt;=$E91),IF(Q$5-$D91+1&lt;=ROUND(($E91-$D91+1)*$F91,0),2,IF(Q$5&lt;CFG_CurWeek,3,1)),""))</f>
        <v/>
      </c>
      <c r="R91" s="66" t="str">
        <f aca="false">IF(OR($D91="",$E91=""),"",IF(AND(R$5&gt;=$D91,R$5&lt;=$E91),IF(R$5-$D91+1&lt;=ROUND(($E91-$D91+1)*$F91,0),2,IF(R$5&lt;CFG_CurWeek,3,1)),""))</f>
        <v/>
      </c>
      <c r="S91" s="66" t="str">
        <f aca="false">IF(OR($D91="",$E91=""),"",IF(AND(S$5&gt;=$D91,S$5&lt;=$E91),IF(S$5-$D91+1&lt;=ROUND(($E91-$D91+1)*$F91,0),2,IF(S$5&lt;CFG_CurWeek,3,1)),""))</f>
        <v/>
      </c>
      <c r="T91" s="66" t="str">
        <f aca="false">IF(OR($D91="",$E91=""),"",IF(AND(T$5&gt;=$D91,T$5&lt;=$E91),IF(T$5-$D91+1&lt;=ROUND(($E91-$D91+1)*$F91,0),2,IF(T$5&lt;CFG_CurWeek,3,1)),""))</f>
        <v/>
      </c>
      <c r="U91" s="66" t="str">
        <f aca="false">IF(OR($D91="",$E91=""),"",IF(AND(U$5&gt;=$D91,U$5&lt;=$E91),IF(U$5-$D91+1&lt;=ROUND(($E91-$D91+1)*$F91,0),2,IF(U$5&lt;CFG_CurWeek,3,1)),""))</f>
        <v/>
      </c>
      <c r="V91" s="66" t="str">
        <f aca="false">IF(OR($D91="",$E91=""),"",IF(AND(V$5&gt;=$D91,V$5&lt;=$E91),IF(V$5-$D91+1&lt;=ROUND(($E91-$D91+1)*$F91,0),2,IF(V$5&lt;CFG_CurWeek,3,1)),""))</f>
        <v/>
      </c>
      <c r="W91" s="66" t="str">
        <f aca="false">IF(OR($D91="",$E91=""),"",IF(AND(W$5&gt;=$D91,W$5&lt;=$E91),IF(W$5-$D91+1&lt;=ROUND(($E91-$D91+1)*$F91,0),2,IF(W$5&lt;CFG_CurWeek,3,1)),""))</f>
        <v/>
      </c>
      <c r="X91" s="66" t="str">
        <f aca="false">IF(OR($D91="",$E91=""),"",IF(AND(X$5&gt;=$D91,X$5&lt;=$E91),IF(X$5-$D91+1&lt;=ROUND(($E91-$D91+1)*$F91,0),2,IF(X$5&lt;CFG_CurWeek,3,1)),""))</f>
        <v/>
      </c>
      <c r="Y91" s="66" t="str">
        <f aca="false">IF(OR($D91="",$E91=""),"",IF(AND(Y$5&gt;=$D91,Y$5&lt;=$E91),IF(Y$5-$D91+1&lt;=ROUND(($E91-$D91+1)*$F91,0),2,IF(Y$5&lt;CFG_CurWeek,3,1)),""))</f>
        <v/>
      </c>
      <c r="Z91" s="66" t="str">
        <f aca="false">IF(OR($D91="",$E91=""),"",IF(AND(Z$5&gt;=$D91,Z$5&lt;=$E91),IF(Z$5-$D91+1&lt;=ROUND(($E91-$D91+1)*$F91,0),2,IF(Z$5&lt;CFG_CurWeek,3,1)),""))</f>
        <v/>
      </c>
      <c r="AA91" s="66" t="str">
        <f aca="false">IF(OR($D91="",$E91=""),"",IF(AND(AA$5&gt;=$D91,AA$5&lt;=$E91),IF(AA$5-$D91+1&lt;=ROUND(($E91-$D91+1)*$F91,0),2,IF(AA$5&lt;CFG_CurWeek,3,1)),""))</f>
        <v/>
      </c>
      <c r="AB91" s="66" t="str">
        <f aca="false">IF(OR($D91="",$E91=""),"",IF(AND(AB$5&gt;=$D91,AB$5&lt;=$E91),IF(AB$5-$D91+1&lt;=ROUND(($E91-$D91+1)*$F91,0),2,IF(AB$5&lt;CFG_CurWeek,3,1)),""))</f>
        <v/>
      </c>
      <c r="AC91" s="66" t="str">
        <f aca="false">IF(OR($D91="",$E91=""),"",IF(AND(AC$5&gt;=$D91,AC$5&lt;=$E91),IF(AC$5-$D91+1&lt;=ROUND(($E91-$D91+1)*$F91,0),2,IF(AC$5&lt;CFG_CurWeek,3,1)),""))</f>
        <v/>
      </c>
      <c r="AD91" s="66" t="str">
        <f aca="false">IF(OR($D91="",$E91=""),"",IF(AND(AD$5&gt;=$D91,AD$5&lt;=$E91),IF(AD$5-$D91+1&lt;=ROUND(($E91-$D91+1)*$F91,0),2,IF(AD$5&lt;CFG_CurWeek,3,1)),""))</f>
        <v/>
      </c>
      <c r="AE91" s="66" t="str">
        <f aca="false">IF(OR($D91="",$E91=""),"",IF(AND(AE$5&gt;=$D91,AE$5&lt;=$E91),IF(AE$5-$D91+1&lt;=ROUND(($E91-$D91+1)*$F91,0),2,IF(AE$5&lt;CFG_CurWeek,3,1)),""))</f>
        <v/>
      </c>
      <c r="AF91" s="66" t="str">
        <f aca="false">IF(OR($D91="",$E91=""),"",IF(AND(AF$5&gt;=$D91,AF$5&lt;=$E91),IF(AF$5-$D91+1&lt;=ROUND(($E91-$D91+1)*$F91,0),2,IF(AF$5&lt;CFG_CurWeek,3,1)),""))</f>
        <v/>
      </c>
      <c r="AG91" s="66" t="str">
        <f aca="false">IF(OR($D91="",$E91=""),"",IF(AND(AG$5&gt;=$D91,AG$5&lt;=$E91),IF(AG$5-$D91+1&lt;=ROUND(($E91-$D91+1)*$F91,0),2,IF(AG$5&lt;CFG_CurWeek,3,1)),""))</f>
        <v/>
      </c>
      <c r="AH91" s="66" t="str">
        <f aca="false">IF(OR($D91="",$E91=""),"",IF(AND(AH$5&gt;=$D91,AH$5&lt;=$E91),IF(AH$5-$D91+1&lt;=ROUND(($E91-$D91+1)*$F91,0),2,IF(AH$5&lt;CFG_CurWeek,3,1)),""))</f>
        <v/>
      </c>
      <c r="AI91" s="66" t="str">
        <f aca="false">IF(OR($D91="",$E91=""),"",IF(AND(AI$5&gt;=$D91,AI$5&lt;=$E91),IF(AI$5-$D91+1&lt;=ROUND(($E91-$D91+1)*$F91,0),2,IF(AI$5&lt;CFG_CurWeek,3,1)),""))</f>
        <v/>
      </c>
      <c r="AJ91" s="66" t="str">
        <f aca="false">IF(OR($D91="",$E91=""),"",IF(AND(AJ$5&gt;=$D91,AJ$5&lt;=$E91),IF(AJ$5-$D91+1&lt;=ROUND(($E91-$D91+1)*$F91,0),2,IF(AJ$5&lt;CFG_CurWeek,3,1)),""))</f>
        <v/>
      </c>
      <c r="AK91" s="66" t="str">
        <f aca="false">IF(OR($D91="",$E91=""),"",IF(AND(AK$5&gt;=$D91,AK$5&lt;=$E91),IF(AK$5-$D91+1&lt;=ROUND(($E91-$D91+1)*$F91,0),2,IF(AK$5&lt;CFG_CurWeek,3,1)),""))</f>
        <v/>
      </c>
      <c r="AL91" s="66" t="str">
        <f aca="false">IF(OR($D91="",$E91=""),"",IF(AND(AL$5&gt;=$D91,AL$5&lt;=$E91),IF(AL$5-$D91+1&lt;=ROUND(($E91-$D91+1)*$F91,0),2,IF(AL$5&lt;CFG_CurWeek,3,1)),""))</f>
        <v/>
      </c>
      <c r="AM91" s="66" t="str">
        <f aca="false">IF(OR($D91="",$E91=""),"",IF(AND(AM$5&gt;=$D91,AM$5&lt;=$E91),IF(AM$5-$D91+1&lt;=ROUND(($E91-$D91+1)*$F91,0),2,IF(AM$5&lt;CFG_CurWeek,3,1)),""))</f>
        <v/>
      </c>
      <c r="AN91" s="66" t="str">
        <f aca="false">IF(OR($D91="",$E91=""),"",IF(AND(AN$5&gt;=$D91,AN$5&lt;=$E91),IF(AN$5-$D91+1&lt;=ROUND(($E91-$D91+1)*$F91,0),2,IF(AN$5&lt;CFG_CurWeek,3,1)),""))</f>
        <v/>
      </c>
      <c r="AO91" s="66" t="str">
        <f aca="false">IF(OR($D91="",$E91=""),"",IF(AND(AO$5&gt;=$D91,AO$5&lt;=$E91),IF(AO$5-$D91+1&lt;=ROUND(($E91-$D91+1)*$F91,0),2,IF(AO$5&lt;CFG_CurWeek,3,1)),""))</f>
        <v/>
      </c>
    </row>
    <row r="92" customFormat="false" ht="15" hidden="false" customHeight="false" outlineLevel="0" collapsed="false">
      <c r="A92" s="63" t="str">
        <f aca="false">IF('01_WBS &amp; Master Plan'!A89="","",'01_WBS &amp; Master Plan'!A89)</f>
        <v/>
      </c>
      <c r="B92" s="64" t="str">
        <f aca="false">IF('01_WBS &amp; Master Plan'!D89="","",'01_WBS &amp; Master Plan'!D89)</f>
        <v/>
      </c>
      <c r="C92" s="63" t="str">
        <f aca="false">IF('01_WBS &amp; Master Plan'!E89="","",'01_WBS &amp; Master Plan'!E89)</f>
        <v/>
      </c>
      <c r="D92" s="63" t="str">
        <f aca="false">IF('01_WBS &amp; Master Plan'!H89="","",'01_WBS &amp; Master Plan'!H89)</f>
        <v/>
      </c>
      <c r="E92" s="63" t="str">
        <f aca="false">IF('01_WBS &amp; Master Plan'!I89="","",'01_WBS &amp; Master Plan'!I89)</f>
        <v/>
      </c>
      <c r="F92" s="65" t="str">
        <f aca="false">IF(B92="","",IF('01_WBS &amp; Master Plan'!K89="Done",1,IF('01_WBS &amp; Master Plan'!L89="",0,'01_WBS &amp; Master Plan'!L89)))</f>
        <v/>
      </c>
      <c r="G92" s="63" t="str">
        <f aca="false">IF('01_WBS &amp; Master Plan'!K89="","",'01_WBS &amp; Master Plan'!K89)</f>
        <v/>
      </c>
      <c r="H92" s="66" t="str">
        <f aca="false">IF(OR($D92="",$E92=""),"",IF(AND(H$5&gt;=$D92,H$5&lt;=$E92),IF(H$5-$D92+1&lt;=ROUND(($E92-$D92+1)*$F92,0),2,IF(H$5&lt;CFG_CurWeek,3,1)),""))</f>
        <v/>
      </c>
      <c r="I92" s="66" t="str">
        <f aca="false">IF(OR($D92="",$E92=""),"",IF(AND(I$5&gt;=$D92,I$5&lt;=$E92),IF(I$5-$D92+1&lt;=ROUND(($E92-$D92+1)*$F92,0),2,IF(I$5&lt;CFG_CurWeek,3,1)),""))</f>
        <v/>
      </c>
      <c r="J92" s="66" t="str">
        <f aca="false">IF(OR($D92="",$E92=""),"",IF(AND(J$5&gt;=$D92,J$5&lt;=$E92),IF(J$5-$D92+1&lt;=ROUND(($E92-$D92+1)*$F92,0),2,IF(J$5&lt;CFG_CurWeek,3,1)),""))</f>
        <v/>
      </c>
      <c r="K92" s="66" t="str">
        <f aca="false">IF(OR($D92="",$E92=""),"",IF(AND(K$5&gt;=$D92,K$5&lt;=$E92),IF(K$5-$D92+1&lt;=ROUND(($E92-$D92+1)*$F92,0),2,IF(K$5&lt;CFG_CurWeek,3,1)),""))</f>
        <v/>
      </c>
      <c r="L92" s="66" t="str">
        <f aca="false">IF(OR($D92="",$E92=""),"",IF(AND(L$5&gt;=$D92,L$5&lt;=$E92),IF(L$5-$D92+1&lt;=ROUND(($E92-$D92+1)*$F92,0),2,IF(L$5&lt;CFG_CurWeek,3,1)),""))</f>
        <v/>
      </c>
      <c r="M92" s="66" t="str">
        <f aca="false">IF(OR($D92="",$E92=""),"",IF(AND(M$5&gt;=$D92,M$5&lt;=$E92),IF(M$5-$D92+1&lt;=ROUND(($E92-$D92+1)*$F92,0),2,IF(M$5&lt;CFG_CurWeek,3,1)),""))</f>
        <v/>
      </c>
      <c r="N92" s="66" t="str">
        <f aca="false">IF(OR($D92="",$E92=""),"",IF(AND(N$5&gt;=$D92,N$5&lt;=$E92),IF(N$5-$D92+1&lt;=ROUND(($E92-$D92+1)*$F92,0),2,IF(N$5&lt;CFG_CurWeek,3,1)),""))</f>
        <v/>
      </c>
      <c r="O92" s="66" t="str">
        <f aca="false">IF(OR($D92="",$E92=""),"",IF(AND(O$5&gt;=$D92,O$5&lt;=$E92),IF(O$5-$D92+1&lt;=ROUND(($E92-$D92+1)*$F92,0),2,IF(O$5&lt;CFG_CurWeek,3,1)),""))</f>
        <v/>
      </c>
      <c r="P92" s="66" t="str">
        <f aca="false">IF(OR($D92="",$E92=""),"",IF(AND(P$5&gt;=$D92,P$5&lt;=$E92),IF(P$5-$D92+1&lt;=ROUND(($E92-$D92+1)*$F92,0),2,IF(P$5&lt;CFG_CurWeek,3,1)),""))</f>
        <v/>
      </c>
      <c r="Q92" s="66" t="str">
        <f aca="false">IF(OR($D92="",$E92=""),"",IF(AND(Q$5&gt;=$D92,Q$5&lt;=$E92),IF(Q$5-$D92+1&lt;=ROUND(($E92-$D92+1)*$F92,0),2,IF(Q$5&lt;CFG_CurWeek,3,1)),""))</f>
        <v/>
      </c>
      <c r="R92" s="66" t="str">
        <f aca="false">IF(OR($D92="",$E92=""),"",IF(AND(R$5&gt;=$D92,R$5&lt;=$E92),IF(R$5-$D92+1&lt;=ROUND(($E92-$D92+1)*$F92,0),2,IF(R$5&lt;CFG_CurWeek,3,1)),""))</f>
        <v/>
      </c>
      <c r="S92" s="66" t="str">
        <f aca="false">IF(OR($D92="",$E92=""),"",IF(AND(S$5&gt;=$D92,S$5&lt;=$E92),IF(S$5-$D92+1&lt;=ROUND(($E92-$D92+1)*$F92,0),2,IF(S$5&lt;CFG_CurWeek,3,1)),""))</f>
        <v/>
      </c>
      <c r="T92" s="66" t="str">
        <f aca="false">IF(OR($D92="",$E92=""),"",IF(AND(T$5&gt;=$D92,T$5&lt;=$E92),IF(T$5-$D92+1&lt;=ROUND(($E92-$D92+1)*$F92,0),2,IF(T$5&lt;CFG_CurWeek,3,1)),""))</f>
        <v/>
      </c>
      <c r="U92" s="66" t="str">
        <f aca="false">IF(OR($D92="",$E92=""),"",IF(AND(U$5&gt;=$D92,U$5&lt;=$E92),IF(U$5-$D92+1&lt;=ROUND(($E92-$D92+1)*$F92,0),2,IF(U$5&lt;CFG_CurWeek,3,1)),""))</f>
        <v/>
      </c>
      <c r="V92" s="66" t="str">
        <f aca="false">IF(OR($D92="",$E92=""),"",IF(AND(V$5&gt;=$D92,V$5&lt;=$E92),IF(V$5-$D92+1&lt;=ROUND(($E92-$D92+1)*$F92,0),2,IF(V$5&lt;CFG_CurWeek,3,1)),""))</f>
        <v/>
      </c>
      <c r="W92" s="66" t="str">
        <f aca="false">IF(OR($D92="",$E92=""),"",IF(AND(W$5&gt;=$D92,W$5&lt;=$E92),IF(W$5-$D92+1&lt;=ROUND(($E92-$D92+1)*$F92,0),2,IF(W$5&lt;CFG_CurWeek,3,1)),""))</f>
        <v/>
      </c>
      <c r="X92" s="66" t="str">
        <f aca="false">IF(OR($D92="",$E92=""),"",IF(AND(X$5&gt;=$D92,X$5&lt;=$E92),IF(X$5-$D92+1&lt;=ROUND(($E92-$D92+1)*$F92,0),2,IF(X$5&lt;CFG_CurWeek,3,1)),""))</f>
        <v/>
      </c>
      <c r="Y92" s="66" t="str">
        <f aca="false">IF(OR($D92="",$E92=""),"",IF(AND(Y$5&gt;=$D92,Y$5&lt;=$E92),IF(Y$5-$D92+1&lt;=ROUND(($E92-$D92+1)*$F92,0),2,IF(Y$5&lt;CFG_CurWeek,3,1)),""))</f>
        <v/>
      </c>
      <c r="Z92" s="66" t="str">
        <f aca="false">IF(OR($D92="",$E92=""),"",IF(AND(Z$5&gt;=$D92,Z$5&lt;=$E92),IF(Z$5-$D92+1&lt;=ROUND(($E92-$D92+1)*$F92,0),2,IF(Z$5&lt;CFG_CurWeek,3,1)),""))</f>
        <v/>
      </c>
      <c r="AA92" s="66" t="str">
        <f aca="false">IF(OR($D92="",$E92=""),"",IF(AND(AA$5&gt;=$D92,AA$5&lt;=$E92),IF(AA$5-$D92+1&lt;=ROUND(($E92-$D92+1)*$F92,0),2,IF(AA$5&lt;CFG_CurWeek,3,1)),""))</f>
        <v/>
      </c>
      <c r="AB92" s="66" t="str">
        <f aca="false">IF(OR($D92="",$E92=""),"",IF(AND(AB$5&gt;=$D92,AB$5&lt;=$E92),IF(AB$5-$D92+1&lt;=ROUND(($E92-$D92+1)*$F92,0),2,IF(AB$5&lt;CFG_CurWeek,3,1)),""))</f>
        <v/>
      </c>
      <c r="AC92" s="66" t="str">
        <f aca="false">IF(OR($D92="",$E92=""),"",IF(AND(AC$5&gt;=$D92,AC$5&lt;=$E92),IF(AC$5-$D92+1&lt;=ROUND(($E92-$D92+1)*$F92,0),2,IF(AC$5&lt;CFG_CurWeek,3,1)),""))</f>
        <v/>
      </c>
      <c r="AD92" s="66" t="str">
        <f aca="false">IF(OR($D92="",$E92=""),"",IF(AND(AD$5&gt;=$D92,AD$5&lt;=$E92),IF(AD$5-$D92+1&lt;=ROUND(($E92-$D92+1)*$F92,0),2,IF(AD$5&lt;CFG_CurWeek,3,1)),""))</f>
        <v/>
      </c>
      <c r="AE92" s="66" t="str">
        <f aca="false">IF(OR($D92="",$E92=""),"",IF(AND(AE$5&gt;=$D92,AE$5&lt;=$E92),IF(AE$5-$D92+1&lt;=ROUND(($E92-$D92+1)*$F92,0),2,IF(AE$5&lt;CFG_CurWeek,3,1)),""))</f>
        <v/>
      </c>
      <c r="AF92" s="66" t="str">
        <f aca="false">IF(OR($D92="",$E92=""),"",IF(AND(AF$5&gt;=$D92,AF$5&lt;=$E92),IF(AF$5-$D92+1&lt;=ROUND(($E92-$D92+1)*$F92,0),2,IF(AF$5&lt;CFG_CurWeek,3,1)),""))</f>
        <v/>
      </c>
      <c r="AG92" s="66" t="str">
        <f aca="false">IF(OR($D92="",$E92=""),"",IF(AND(AG$5&gt;=$D92,AG$5&lt;=$E92),IF(AG$5-$D92+1&lt;=ROUND(($E92-$D92+1)*$F92,0),2,IF(AG$5&lt;CFG_CurWeek,3,1)),""))</f>
        <v/>
      </c>
      <c r="AH92" s="66" t="str">
        <f aca="false">IF(OR($D92="",$E92=""),"",IF(AND(AH$5&gt;=$D92,AH$5&lt;=$E92),IF(AH$5-$D92+1&lt;=ROUND(($E92-$D92+1)*$F92,0),2,IF(AH$5&lt;CFG_CurWeek,3,1)),""))</f>
        <v/>
      </c>
      <c r="AI92" s="66" t="str">
        <f aca="false">IF(OR($D92="",$E92=""),"",IF(AND(AI$5&gt;=$D92,AI$5&lt;=$E92),IF(AI$5-$D92+1&lt;=ROUND(($E92-$D92+1)*$F92,0),2,IF(AI$5&lt;CFG_CurWeek,3,1)),""))</f>
        <v/>
      </c>
      <c r="AJ92" s="66" t="str">
        <f aca="false">IF(OR($D92="",$E92=""),"",IF(AND(AJ$5&gt;=$D92,AJ$5&lt;=$E92),IF(AJ$5-$D92+1&lt;=ROUND(($E92-$D92+1)*$F92,0),2,IF(AJ$5&lt;CFG_CurWeek,3,1)),""))</f>
        <v/>
      </c>
      <c r="AK92" s="66" t="str">
        <f aca="false">IF(OR($D92="",$E92=""),"",IF(AND(AK$5&gt;=$D92,AK$5&lt;=$E92),IF(AK$5-$D92+1&lt;=ROUND(($E92-$D92+1)*$F92,0),2,IF(AK$5&lt;CFG_CurWeek,3,1)),""))</f>
        <v/>
      </c>
      <c r="AL92" s="66" t="str">
        <f aca="false">IF(OR($D92="",$E92=""),"",IF(AND(AL$5&gt;=$D92,AL$5&lt;=$E92),IF(AL$5-$D92+1&lt;=ROUND(($E92-$D92+1)*$F92,0),2,IF(AL$5&lt;CFG_CurWeek,3,1)),""))</f>
        <v/>
      </c>
      <c r="AM92" s="66" t="str">
        <f aca="false">IF(OR($D92="",$E92=""),"",IF(AND(AM$5&gt;=$D92,AM$5&lt;=$E92),IF(AM$5-$D92+1&lt;=ROUND(($E92-$D92+1)*$F92,0),2,IF(AM$5&lt;CFG_CurWeek,3,1)),""))</f>
        <v/>
      </c>
      <c r="AN92" s="66" t="str">
        <f aca="false">IF(OR($D92="",$E92=""),"",IF(AND(AN$5&gt;=$D92,AN$5&lt;=$E92),IF(AN$5-$D92+1&lt;=ROUND(($E92-$D92+1)*$F92,0),2,IF(AN$5&lt;CFG_CurWeek,3,1)),""))</f>
        <v/>
      </c>
      <c r="AO92" s="66" t="str">
        <f aca="false">IF(OR($D92="",$E92=""),"",IF(AND(AO$5&gt;=$D92,AO$5&lt;=$E92),IF(AO$5-$D92+1&lt;=ROUND(($E92-$D92+1)*$F92,0),2,IF(AO$5&lt;CFG_CurWeek,3,1)),""))</f>
        <v/>
      </c>
    </row>
    <row r="93" customFormat="false" ht="15" hidden="false" customHeight="false" outlineLevel="0" collapsed="false">
      <c r="A93" s="63" t="str">
        <f aca="false">IF('01_WBS &amp; Master Plan'!A90="","",'01_WBS &amp; Master Plan'!A90)</f>
        <v/>
      </c>
      <c r="B93" s="64" t="str">
        <f aca="false">IF('01_WBS &amp; Master Plan'!D90="","",'01_WBS &amp; Master Plan'!D90)</f>
        <v/>
      </c>
      <c r="C93" s="63" t="str">
        <f aca="false">IF('01_WBS &amp; Master Plan'!E90="","",'01_WBS &amp; Master Plan'!E90)</f>
        <v/>
      </c>
      <c r="D93" s="63" t="str">
        <f aca="false">IF('01_WBS &amp; Master Plan'!H90="","",'01_WBS &amp; Master Plan'!H90)</f>
        <v/>
      </c>
      <c r="E93" s="63" t="str">
        <f aca="false">IF('01_WBS &amp; Master Plan'!I90="","",'01_WBS &amp; Master Plan'!I90)</f>
        <v/>
      </c>
      <c r="F93" s="65" t="str">
        <f aca="false">IF(B93="","",IF('01_WBS &amp; Master Plan'!K90="Done",1,IF('01_WBS &amp; Master Plan'!L90="",0,'01_WBS &amp; Master Plan'!L90)))</f>
        <v/>
      </c>
      <c r="G93" s="63" t="str">
        <f aca="false">IF('01_WBS &amp; Master Plan'!K90="","",'01_WBS &amp; Master Plan'!K90)</f>
        <v/>
      </c>
      <c r="H93" s="66" t="str">
        <f aca="false">IF(OR($D93="",$E93=""),"",IF(AND(H$5&gt;=$D93,H$5&lt;=$E93),IF(H$5-$D93+1&lt;=ROUND(($E93-$D93+1)*$F93,0),2,IF(H$5&lt;CFG_CurWeek,3,1)),""))</f>
        <v/>
      </c>
      <c r="I93" s="66" t="str">
        <f aca="false">IF(OR($D93="",$E93=""),"",IF(AND(I$5&gt;=$D93,I$5&lt;=$E93),IF(I$5-$D93+1&lt;=ROUND(($E93-$D93+1)*$F93,0),2,IF(I$5&lt;CFG_CurWeek,3,1)),""))</f>
        <v/>
      </c>
      <c r="J93" s="66" t="str">
        <f aca="false">IF(OR($D93="",$E93=""),"",IF(AND(J$5&gt;=$D93,J$5&lt;=$E93),IF(J$5-$D93+1&lt;=ROUND(($E93-$D93+1)*$F93,0),2,IF(J$5&lt;CFG_CurWeek,3,1)),""))</f>
        <v/>
      </c>
      <c r="K93" s="66" t="str">
        <f aca="false">IF(OR($D93="",$E93=""),"",IF(AND(K$5&gt;=$D93,K$5&lt;=$E93),IF(K$5-$D93+1&lt;=ROUND(($E93-$D93+1)*$F93,0),2,IF(K$5&lt;CFG_CurWeek,3,1)),""))</f>
        <v/>
      </c>
      <c r="L93" s="66" t="str">
        <f aca="false">IF(OR($D93="",$E93=""),"",IF(AND(L$5&gt;=$D93,L$5&lt;=$E93),IF(L$5-$D93+1&lt;=ROUND(($E93-$D93+1)*$F93,0),2,IF(L$5&lt;CFG_CurWeek,3,1)),""))</f>
        <v/>
      </c>
      <c r="M93" s="66" t="str">
        <f aca="false">IF(OR($D93="",$E93=""),"",IF(AND(M$5&gt;=$D93,M$5&lt;=$E93),IF(M$5-$D93+1&lt;=ROUND(($E93-$D93+1)*$F93,0),2,IF(M$5&lt;CFG_CurWeek,3,1)),""))</f>
        <v/>
      </c>
      <c r="N93" s="66" t="str">
        <f aca="false">IF(OR($D93="",$E93=""),"",IF(AND(N$5&gt;=$D93,N$5&lt;=$E93),IF(N$5-$D93+1&lt;=ROUND(($E93-$D93+1)*$F93,0),2,IF(N$5&lt;CFG_CurWeek,3,1)),""))</f>
        <v/>
      </c>
      <c r="O93" s="66" t="str">
        <f aca="false">IF(OR($D93="",$E93=""),"",IF(AND(O$5&gt;=$D93,O$5&lt;=$E93),IF(O$5-$D93+1&lt;=ROUND(($E93-$D93+1)*$F93,0),2,IF(O$5&lt;CFG_CurWeek,3,1)),""))</f>
        <v/>
      </c>
      <c r="P93" s="66" t="str">
        <f aca="false">IF(OR($D93="",$E93=""),"",IF(AND(P$5&gt;=$D93,P$5&lt;=$E93),IF(P$5-$D93+1&lt;=ROUND(($E93-$D93+1)*$F93,0),2,IF(P$5&lt;CFG_CurWeek,3,1)),""))</f>
        <v/>
      </c>
      <c r="Q93" s="66" t="str">
        <f aca="false">IF(OR($D93="",$E93=""),"",IF(AND(Q$5&gt;=$D93,Q$5&lt;=$E93),IF(Q$5-$D93+1&lt;=ROUND(($E93-$D93+1)*$F93,0),2,IF(Q$5&lt;CFG_CurWeek,3,1)),""))</f>
        <v/>
      </c>
      <c r="R93" s="66" t="str">
        <f aca="false">IF(OR($D93="",$E93=""),"",IF(AND(R$5&gt;=$D93,R$5&lt;=$E93),IF(R$5-$D93+1&lt;=ROUND(($E93-$D93+1)*$F93,0),2,IF(R$5&lt;CFG_CurWeek,3,1)),""))</f>
        <v/>
      </c>
      <c r="S93" s="66" t="str">
        <f aca="false">IF(OR($D93="",$E93=""),"",IF(AND(S$5&gt;=$D93,S$5&lt;=$E93),IF(S$5-$D93+1&lt;=ROUND(($E93-$D93+1)*$F93,0),2,IF(S$5&lt;CFG_CurWeek,3,1)),""))</f>
        <v/>
      </c>
      <c r="T93" s="66" t="str">
        <f aca="false">IF(OR($D93="",$E93=""),"",IF(AND(T$5&gt;=$D93,T$5&lt;=$E93),IF(T$5-$D93+1&lt;=ROUND(($E93-$D93+1)*$F93,0),2,IF(T$5&lt;CFG_CurWeek,3,1)),""))</f>
        <v/>
      </c>
      <c r="U93" s="66" t="str">
        <f aca="false">IF(OR($D93="",$E93=""),"",IF(AND(U$5&gt;=$D93,U$5&lt;=$E93),IF(U$5-$D93+1&lt;=ROUND(($E93-$D93+1)*$F93,0),2,IF(U$5&lt;CFG_CurWeek,3,1)),""))</f>
        <v/>
      </c>
      <c r="V93" s="66" t="str">
        <f aca="false">IF(OR($D93="",$E93=""),"",IF(AND(V$5&gt;=$D93,V$5&lt;=$E93),IF(V$5-$D93+1&lt;=ROUND(($E93-$D93+1)*$F93,0),2,IF(V$5&lt;CFG_CurWeek,3,1)),""))</f>
        <v/>
      </c>
      <c r="W93" s="66" t="str">
        <f aca="false">IF(OR($D93="",$E93=""),"",IF(AND(W$5&gt;=$D93,W$5&lt;=$E93),IF(W$5-$D93+1&lt;=ROUND(($E93-$D93+1)*$F93,0),2,IF(W$5&lt;CFG_CurWeek,3,1)),""))</f>
        <v/>
      </c>
      <c r="X93" s="66" t="str">
        <f aca="false">IF(OR($D93="",$E93=""),"",IF(AND(X$5&gt;=$D93,X$5&lt;=$E93),IF(X$5-$D93+1&lt;=ROUND(($E93-$D93+1)*$F93,0),2,IF(X$5&lt;CFG_CurWeek,3,1)),""))</f>
        <v/>
      </c>
      <c r="Y93" s="66" t="str">
        <f aca="false">IF(OR($D93="",$E93=""),"",IF(AND(Y$5&gt;=$D93,Y$5&lt;=$E93),IF(Y$5-$D93+1&lt;=ROUND(($E93-$D93+1)*$F93,0),2,IF(Y$5&lt;CFG_CurWeek,3,1)),""))</f>
        <v/>
      </c>
      <c r="Z93" s="66" t="str">
        <f aca="false">IF(OR($D93="",$E93=""),"",IF(AND(Z$5&gt;=$D93,Z$5&lt;=$E93),IF(Z$5-$D93+1&lt;=ROUND(($E93-$D93+1)*$F93,0),2,IF(Z$5&lt;CFG_CurWeek,3,1)),""))</f>
        <v/>
      </c>
      <c r="AA93" s="66" t="str">
        <f aca="false">IF(OR($D93="",$E93=""),"",IF(AND(AA$5&gt;=$D93,AA$5&lt;=$E93),IF(AA$5-$D93+1&lt;=ROUND(($E93-$D93+1)*$F93,0),2,IF(AA$5&lt;CFG_CurWeek,3,1)),""))</f>
        <v/>
      </c>
      <c r="AB93" s="66" t="str">
        <f aca="false">IF(OR($D93="",$E93=""),"",IF(AND(AB$5&gt;=$D93,AB$5&lt;=$E93),IF(AB$5-$D93+1&lt;=ROUND(($E93-$D93+1)*$F93,0),2,IF(AB$5&lt;CFG_CurWeek,3,1)),""))</f>
        <v/>
      </c>
      <c r="AC93" s="66" t="str">
        <f aca="false">IF(OR($D93="",$E93=""),"",IF(AND(AC$5&gt;=$D93,AC$5&lt;=$E93),IF(AC$5-$D93+1&lt;=ROUND(($E93-$D93+1)*$F93,0),2,IF(AC$5&lt;CFG_CurWeek,3,1)),""))</f>
        <v/>
      </c>
      <c r="AD93" s="66" t="str">
        <f aca="false">IF(OR($D93="",$E93=""),"",IF(AND(AD$5&gt;=$D93,AD$5&lt;=$E93),IF(AD$5-$D93+1&lt;=ROUND(($E93-$D93+1)*$F93,0),2,IF(AD$5&lt;CFG_CurWeek,3,1)),""))</f>
        <v/>
      </c>
      <c r="AE93" s="66" t="str">
        <f aca="false">IF(OR($D93="",$E93=""),"",IF(AND(AE$5&gt;=$D93,AE$5&lt;=$E93),IF(AE$5-$D93+1&lt;=ROUND(($E93-$D93+1)*$F93,0),2,IF(AE$5&lt;CFG_CurWeek,3,1)),""))</f>
        <v/>
      </c>
      <c r="AF93" s="66" t="str">
        <f aca="false">IF(OR($D93="",$E93=""),"",IF(AND(AF$5&gt;=$D93,AF$5&lt;=$E93),IF(AF$5-$D93+1&lt;=ROUND(($E93-$D93+1)*$F93,0),2,IF(AF$5&lt;CFG_CurWeek,3,1)),""))</f>
        <v/>
      </c>
      <c r="AG93" s="66" t="str">
        <f aca="false">IF(OR($D93="",$E93=""),"",IF(AND(AG$5&gt;=$D93,AG$5&lt;=$E93),IF(AG$5-$D93+1&lt;=ROUND(($E93-$D93+1)*$F93,0),2,IF(AG$5&lt;CFG_CurWeek,3,1)),""))</f>
        <v/>
      </c>
      <c r="AH93" s="66" t="str">
        <f aca="false">IF(OR($D93="",$E93=""),"",IF(AND(AH$5&gt;=$D93,AH$5&lt;=$E93),IF(AH$5-$D93+1&lt;=ROUND(($E93-$D93+1)*$F93,0),2,IF(AH$5&lt;CFG_CurWeek,3,1)),""))</f>
        <v/>
      </c>
      <c r="AI93" s="66" t="str">
        <f aca="false">IF(OR($D93="",$E93=""),"",IF(AND(AI$5&gt;=$D93,AI$5&lt;=$E93),IF(AI$5-$D93+1&lt;=ROUND(($E93-$D93+1)*$F93,0),2,IF(AI$5&lt;CFG_CurWeek,3,1)),""))</f>
        <v/>
      </c>
      <c r="AJ93" s="66" t="str">
        <f aca="false">IF(OR($D93="",$E93=""),"",IF(AND(AJ$5&gt;=$D93,AJ$5&lt;=$E93),IF(AJ$5-$D93+1&lt;=ROUND(($E93-$D93+1)*$F93,0),2,IF(AJ$5&lt;CFG_CurWeek,3,1)),""))</f>
        <v/>
      </c>
      <c r="AK93" s="66" t="str">
        <f aca="false">IF(OR($D93="",$E93=""),"",IF(AND(AK$5&gt;=$D93,AK$5&lt;=$E93),IF(AK$5-$D93+1&lt;=ROUND(($E93-$D93+1)*$F93,0),2,IF(AK$5&lt;CFG_CurWeek,3,1)),""))</f>
        <v/>
      </c>
      <c r="AL93" s="66" t="str">
        <f aca="false">IF(OR($D93="",$E93=""),"",IF(AND(AL$5&gt;=$D93,AL$5&lt;=$E93),IF(AL$5-$D93+1&lt;=ROUND(($E93-$D93+1)*$F93,0),2,IF(AL$5&lt;CFG_CurWeek,3,1)),""))</f>
        <v/>
      </c>
      <c r="AM93" s="66" t="str">
        <f aca="false">IF(OR($D93="",$E93=""),"",IF(AND(AM$5&gt;=$D93,AM$5&lt;=$E93),IF(AM$5-$D93+1&lt;=ROUND(($E93-$D93+1)*$F93,0),2,IF(AM$5&lt;CFG_CurWeek,3,1)),""))</f>
        <v/>
      </c>
      <c r="AN93" s="66" t="str">
        <f aca="false">IF(OR($D93="",$E93=""),"",IF(AND(AN$5&gt;=$D93,AN$5&lt;=$E93),IF(AN$5-$D93+1&lt;=ROUND(($E93-$D93+1)*$F93,0),2,IF(AN$5&lt;CFG_CurWeek,3,1)),""))</f>
        <v/>
      </c>
      <c r="AO93" s="66" t="str">
        <f aca="false">IF(OR($D93="",$E93=""),"",IF(AND(AO$5&gt;=$D93,AO$5&lt;=$E93),IF(AO$5-$D93+1&lt;=ROUND(($E93-$D93+1)*$F93,0),2,IF(AO$5&lt;CFG_CurWeek,3,1)),""))</f>
        <v/>
      </c>
    </row>
    <row r="94" customFormat="false" ht="15" hidden="false" customHeight="false" outlineLevel="0" collapsed="false">
      <c r="A94" s="63" t="str">
        <f aca="false">IF('01_WBS &amp; Master Plan'!A91="","",'01_WBS &amp; Master Plan'!A91)</f>
        <v/>
      </c>
      <c r="B94" s="64" t="str">
        <f aca="false">IF('01_WBS &amp; Master Plan'!D91="","",'01_WBS &amp; Master Plan'!D91)</f>
        <v/>
      </c>
      <c r="C94" s="63" t="str">
        <f aca="false">IF('01_WBS &amp; Master Plan'!E91="","",'01_WBS &amp; Master Plan'!E91)</f>
        <v/>
      </c>
      <c r="D94" s="63" t="str">
        <f aca="false">IF('01_WBS &amp; Master Plan'!H91="","",'01_WBS &amp; Master Plan'!H91)</f>
        <v/>
      </c>
      <c r="E94" s="63" t="str">
        <f aca="false">IF('01_WBS &amp; Master Plan'!I91="","",'01_WBS &amp; Master Plan'!I91)</f>
        <v/>
      </c>
      <c r="F94" s="65" t="str">
        <f aca="false">IF(B94="","",IF('01_WBS &amp; Master Plan'!K91="Done",1,IF('01_WBS &amp; Master Plan'!L91="",0,'01_WBS &amp; Master Plan'!L91)))</f>
        <v/>
      </c>
      <c r="G94" s="63" t="str">
        <f aca="false">IF('01_WBS &amp; Master Plan'!K91="","",'01_WBS &amp; Master Plan'!K91)</f>
        <v/>
      </c>
      <c r="H94" s="66" t="str">
        <f aca="false">IF(OR($D94="",$E94=""),"",IF(AND(H$5&gt;=$D94,H$5&lt;=$E94),IF(H$5-$D94+1&lt;=ROUND(($E94-$D94+1)*$F94,0),2,IF(H$5&lt;CFG_CurWeek,3,1)),""))</f>
        <v/>
      </c>
      <c r="I94" s="66" t="str">
        <f aca="false">IF(OR($D94="",$E94=""),"",IF(AND(I$5&gt;=$D94,I$5&lt;=$E94),IF(I$5-$D94+1&lt;=ROUND(($E94-$D94+1)*$F94,0),2,IF(I$5&lt;CFG_CurWeek,3,1)),""))</f>
        <v/>
      </c>
      <c r="J94" s="66" t="str">
        <f aca="false">IF(OR($D94="",$E94=""),"",IF(AND(J$5&gt;=$D94,J$5&lt;=$E94),IF(J$5-$D94+1&lt;=ROUND(($E94-$D94+1)*$F94,0),2,IF(J$5&lt;CFG_CurWeek,3,1)),""))</f>
        <v/>
      </c>
      <c r="K94" s="66" t="str">
        <f aca="false">IF(OR($D94="",$E94=""),"",IF(AND(K$5&gt;=$D94,K$5&lt;=$E94),IF(K$5-$D94+1&lt;=ROUND(($E94-$D94+1)*$F94,0),2,IF(K$5&lt;CFG_CurWeek,3,1)),""))</f>
        <v/>
      </c>
      <c r="L94" s="66" t="str">
        <f aca="false">IF(OR($D94="",$E94=""),"",IF(AND(L$5&gt;=$D94,L$5&lt;=$E94),IF(L$5-$D94+1&lt;=ROUND(($E94-$D94+1)*$F94,0),2,IF(L$5&lt;CFG_CurWeek,3,1)),""))</f>
        <v/>
      </c>
      <c r="M94" s="66" t="str">
        <f aca="false">IF(OR($D94="",$E94=""),"",IF(AND(M$5&gt;=$D94,M$5&lt;=$E94),IF(M$5-$D94+1&lt;=ROUND(($E94-$D94+1)*$F94,0),2,IF(M$5&lt;CFG_CurWeek,3,1)),""))</f>
        <v/>
      </c>
      <c r="N94" s="66" t="str">
        <f aca="false">IF(OR($D94="",$E94=""),"",IF(AND(N$5&gt;=$D94,N$5&lt;=$E94),IF(N$5-$D94+1&lt;=ROUND(($E94-$D94+1)*$F94,0),2,IF(N$5&lt;CFG_CurWeek,3,1)),""))</f>
        <v/>
      </c>
      <c r="O94" s="66" t="str">
        <f aca="false">IF(OR($D94="",$E94=""),"",IF(AND(O$5&gt;=$D94,O$5&lt;=$E94),IF(O$5-$D94+1&lt;=ROUND(($E94-$D94+1)*$F94,0),2,IF(O$5&lt;CFG_CurWeek,3,1)),""))</f>
        <v/>
      </c>
      <c r="P94" s="66" t="str">
        <f aca="false">IF(OR($D94="",$E94=""),"",IF(AND(P$5&gt;=$D94,P$5&lt;=$E94),IF(P$5-$D94+1&lt;=ROUND(($E94-$D94+1)*$F94,0),2,IF(P$5&lt;CFG_CurWeek,3,1)),""))</f>
        <v/>
      </c>
      <c r="Q94" s="66" t="str">
        <f aca="false">IF(OR($D94="",$E94=""),"",IF(AND(Q$5&gt;=$D94,Q$5&lt;=$E94),IF(Q$5-$D94+1&lt;=ROUND(($E94-$D94+1)*$F94,0),2,IF(Q$5&lt;CFG_CurWeek,3,1)),""))</f>
        <v/>
      </c>
      <c r="R94" s="66" t="str">
        <f aca="false">IF(OR($D94="",$E94=""),"",IF(AND(R$5&gt;=$D94,R$5&lt;=$E94),IF(R$5-$D94+1&lt;=ROUND(($E94-$D94+1)*$F94,0),2,IF(R$5&lt;CFG_CurWeek,3,1)),""))</f>
        <v/>
      </c>
      <c r="S94" s="66" t="str">
        <f aca="false">IF(OR($D94="",$E94=""),"",IF(AND(S$5&gt;=$D94,S$5&lt;=$E94),IF(S$5-$D94+1&lt;=ROUND(($E94-$D94+1)*$F94,0),2,IF(S$5&lt;CFG_CurWeek,3,1)),""))</f>
        <v/>
      </c>
      <c r="T94" s="66" t="str">
        <f aca="false">IF(OR($D94="",$E94=""),"",IF(AND(T$5&gt;=$D94,T$5&lt;=$E94),IF(T$5-$D94+1&lt;=ROUND(($E94-$D94+1)*$F94,0),2,IF(T$5&lt;CFG_CurWeek,3,1)),""))</f>
        <v/>
      </c>
      <c r="U94" s="66" t="str">
        <f aca="false">IF(OR($D94="",$E94=""),"",IF(AND(U$5&gt;=$D94,U$5&lt;=$E94),IF(U$5-$D94+1&lt;=ROUND(($E94-$D94+1)*$F94,0),2,IF(U$5&lt;CFG_CurWeek,3,1)),""))</f>
        <v/>
      </c>
      <c r="V94" s="66" t="str">
        <f aca="false">IF(OR($D94="",$E94=""),"",IF(AND(V$5&gt;=$D94,V$5&lt;=$E94),IF(V$5-$D94+1&lt;=ROUND(($E94-$D94+1)*$F94,0),2,IF(V$5&lt;CFG_CurWeek,3,1)),""))</f>
        <v/>
      </c>
      <c r="W94" s="66" t="str">
        <f aca="false">IF(OR($D94="",$E94=""),"",IF(AND(W$5&gt;=$D94,W$5&lt;=$E94),IF(W$5-$D94+1&lt;=ROUND(($E94-$D94+1)*$F94,0),2,IF(W$5&lt;CFG_CurWeek,3,1)),""))</f>
        <v/>
      </c>
      <c r="X94" s="66" t="str">
        <f aca="false">IF(OR($D94="",$E94=""),"",IF(AND(X$5&gt;=$D94,X$5&lt;=$E94),IF(X$5-$D94+1&lt;=ROUND(($E94-$D94+1)*$F94,0),2,IF(X$5&lt;CFG_CurWeek,3,1)),""))</f>
        <v/>
      </c>
      <c r="Y94" s="66" t="str">
        <f aca="false">IF(OR($D94="",$E94=""),"",IF(AND(Y$5&gt;=$D94,Y$5&lt;=$E94),IF(Y$5-$D94+1&lt;=ROUND(($E94-$D94+1)*$F94,0),2,IF(Y$5&lt;CFG_CurWeek,3,1)),""))</f>
        <v/>
      </c>
      <c r="Z94" s="66" t="str">
        <f aca="false">IF(OR($D94="",$E94=""),"",IF(AND(Z$5&gt;=$D94,Z$5&lt;=$E94),IF(Z$5-$D94+1&lt;=ROUND(($E94-$D94+1)*$F94,0),2,IF(Z$5&lt;CFG_CurWeek,3,1)),""))</f>
        <v/>
      </c>
      <c r="AA94" s="66" t="str">
        <f aca="false">IF(OR($D94="",$E94=""),"",IF(AND(AA$5&gt;=$D94,AA$5&lt;=$E94),IF(AA$5-$D94+1&lt;=ROUND(($E94-$D94+1)*$F94,0),2,IF(AA$5&lt;CFG_CurWeek,3,1)),""))</f>
        <v/>
      </c>
      <c r="AB94" s="66" t="str">
        <f aca="false">IF(OR($D94="",$E94=""),"",IF(AND(AB$5&gt;=$D94,AB$5&lt;=$E94),IF(AB$5-$D94+1&lt;=ROUND(($E94-$D94+1)*$F94,0),2,IF(AB$5&lt;CFG_CurWeek,3,1)),""))</f>
        <v/>
      </c>
      <c r="AC94" s="66" t="str">
        <f aca="false">IF(OR($D94="",$E94=""),"",IF(AND(AC$5&gt;=$D94,AC$5&lt;=$E94),IF(AC$5-$D94+1&lt;=ROUND(($E94-$D94+1)*$F94,0),2,IF(AC$5&lt;CFG_CurWeek,3,1)),""))</f>
        <v/>
      </c>
      <c r="AD94" s="66" t="str">
        <f aca="false">IF(OR($D94="",$E94=""),"",IF(AND(AD$5&gt;=$D94,AD$5&lt;=$E94),IF(AD$5-$D94+1&lt;=ROUND(($E94-$D94+1)*$F94,0),2,IF(AD$5&lt;CFG_CurWeek,3,1)),""))</f>
        <v/>
      </c>
      <c r="AE94" s="66" t="str">
        <f aca="false">IF(OR($D94="",$E94=""),"",IF(AND(AE$5&gt;=$D94,AE$5&lt;=$E94),IF(AE$5-$D94+1&lt;=ROUND(($E94-$D94+1)*$F94,0),2,IF(AE$5&lt;CFG_CurWeek,3,1)),""))</f>
        <v/>
      </c>
      <c r="AF94" s="66" t="str">
        <f aca="false">IF(OR($D94="",$E94=""),"",IF(AND(AF$5&gt;=$D94,AF$5&lt;=$E94),IF(AF$5-$D94+1&lt;=ROUND(($E94-$D94+1)*$F94,0),2,IF(AF$5&lt;CFG_CurWeek,3,1)),""))</f>
        <v/>
      </c>
      <c r="AG94" s="66" t="str">
        <f aca="false">IF(OR($D94="",$E94=""),"",IF(AND(AG$5&gt;=$D94,AG$5&lt;=$E94),IF(AG$5-$D94+1&lt;=ROUND(($E94-$D94+1)*$F94,0),2,IF(AG$5&lt;CFG_CurWeek,3,1)),""))</f>
        <v/>
      </c>
      <c r="AH94" s="66" t="str">
        <f aca="false">IF(OR($D94="",$E94=""),"",IF(AND(AH$5&gt;=$D94,AH$5&lt;=$E94),IF(AH$5-$D94+1&lt;=ROUND(($E94-$D94+1)*$F94,0),2,IF(AH$5&lt;CFG_CurWeek,3,1)),""))</f>
        <v/>
      </c>
      <c r="AI94" s="66" t="str">
        <f aca="false">IF(OR($D94="",$E94=""),"",IF(AND(AI$5&gt;=$D94,AI$5&lt;=$E94),IF(AI$5-$D94+1&lt;=ROUND(($E94-$D94+1)*$F94,0),2,IF(AI$5&lt;CFG_CurWeek,3,1)),""))</f>
        <v/>
      </c>
      <c r="AJ94" s="66" t="str">
        <f aca="false">IF(OR($D94="",$E94=""),"",IF(AND(AJ$5&gt;=$D94,AJ$5&lt;=$E94),IF(AJ$5-$D94+1&lt;=ROUND(($E94-$D94+1)*$F94,0),2,IF(AJ$5&lt;CFG_CurWeek,3,1)),""))</f>
        <v/>
      </c>
      <c r="AK94" s="66" t="str">
        <f aca="false">IF(OR($D94="",$E94=""),"",IF(AND(AK$5&gt;=$D94,AK$5&lt;=$E94),IF(AK$5-$D94+1&lt;=ROUND(($E94-$D94+1)*$F94,0),2,IF(AK$5&lt;CFG_CurWeek,3,1)),""))</f>
        <v/>
      </c>
      <c r="AL94" s="66" t="str">
        <f aca="false">IF(OR($D94="",$E94=""),"",IF(AND(AL$5&gt;=$D94,AL$5&lt;=$E94),IF(AL$5-$D94+1&lt;=ROUND(($E94-$D94+1)*$F94,0),2,IF(AL$5&lt;CFG_CurWeek,3,1)),""))</f>
        <v/>
      </c>
      <c r="AM94" s="66" t="str">
        <f aca="false">IF(OR($D94="",$E94=""),"",IF(AND(AM$5&gt;=$D94,AM$5&lt;=$E94),IF(AM$5-$D94+1&lt;=ROUND(($E94-$D94+1)*$F94,0),2,IF(AM$5&lt;CFG_CurWeek,3,1)),""))</f>
        <v/>
      </c>
      <c r="AN94" s="66" t="str">
        <f aca="false">IF(OR($D94="",$E94=""),"",IF(AND(AN$5&gt;=$D94,AN$5&lt;=$E94),IF(AN$5-$D94+1&lt;=ROUND(($E94-$D94+1)*$F94,0),2,IF(AN$5&lt;CFG_CurWeek,3,1)),""))</f>
        <v/>
      </c>
      <c r="AO94" s="66" t="str">
        <f aca="false">IF(OR($D94="",$E94=""),"",IF(AND(AO$5&gt;=$D94,AO$5&lt;=$E94),IF(AO$5-$D94+1&lt;=ROUND(($E94-$D94+1)*$F94,0),2,IF(AO$5&lt;CFG_CurWeek,3,1)),""))</f>
        <v/>
      </c>
    </row>
    <row r="95" customFormat="false" ht="15" hidden="false" customHeight="false" outlineLevel="0" collapsed="false">
      <c r="A95" s="63" t="str">
        <f aca="false">IF('01_WBS &amp; Master Plan'!A92="","",'01_WBS &amp; Master Plan'!A92)</f>
        <v/>
      </c>
      <c r="B95" s="64" t="str">
        <f aca="false">IF('01_WBS &amp; Master Plan'!D92="","",'01_WBS &amp; Master Plan'!D92)</f>
        <v/>
      </c>
      <c r="C95" s="63" t="str">
        <f aca="false">IF('01_WBS &amp; Master Plan'!E92="","",'01_WBS &amp; Master Plan'!E92)</f>
        <v/>
      </c>
      <c r="D95" s="63" t="str">
        <f aca="false">IF('01_WBS &amp; Master Plan'!H92="","",'01_WBS &amp; Master Plan'!H92)</f>
        <v/>
      </c>
      <c r="E95" s="63" t="str">
        <f aca="false">IF('01_WBS &amp; Master Plan'!I92="","",'01_WBS &amp; Master Plan'!I92)</f>
        <v/>
      </c>
      <c r="F95" s="65" t="str">
        <f aca="false">IF(B95="","",IF('01_WBS &amp; Master Plan'!K92="Done",1,IF('01_WBS &amp; Master Plan'!L92="",0,'01_WBS &amp; Master Plan'!L92)))</f>
        <v/>
      </c>
      <c r="G95" s="63" t="str">
        <f aca="false">IF('01_WBS &amp; Master Plan'!K92="","",'01_WBS &amp; Master Plan'!K92)</f>
        <v/>
      </c>
      <c r="H95" s="66" t="str">
        <f aca="false">IF(OR($D95="",$E95=""),"",IF(AND(H$5&gt;=$D95,H$5&lt;=$E95),IF(H$5-$D95+1&lt;=ROUND(($E95-$D95+1)*$F95,0),2,IF(H$5&lt;CFG_CurWeek,3,1)),""))</f>
        <v/>
      </c>
      <c r="I95" s="66" t="str">
        <f aca="false">IF(OR($D95="",$E95=""),"",IF(AND(I$5&gt;=$D95,I$5&lt;=$E95),IF(I$5-$D95+1&lt;=ROUND(($E95-$D95+1)*$F95,0),2,IF(I$5&lt;CFG_CurWeek,3,1)),""))</f>
        <v/>
      </c>
      <c r="J95" s="66" t="str">
        <f aca="false">IF(OR($D95="",$E95=""),"",IF(AND(J$5&gt;=$D95,J$5&lt;=$E95),IF(J$5-$D95+1&lt;=ROUND(($E95-$D95+1)*$F95,0),2,IF(J$5&lt;CFG_CurWeek,3,1)),""))</f>
        <v/>
      </c>
      <c r="K95" s="66" t="str">
        <f aca="false">IF(OR($D95="",$E95=""),"",IF(AND(K$5&gt;=$D95,K$5&lt;=$E95),IF(K$5-$D95+1&lt;=ROUND(($E95-$D95+1)*$F95,0),2,IF(K$5&lt;CFG_CurWeek,3,1)),""))</f>
        <v/>
      </c>
      <c r="L95" s="66" t="str">
        <f aca="false">IF(OR($D95="",$E95=""),"",IF(AND(L$5&gt;=$D95,L$5&lt;=$E95),IF(L$5-$D95+1&lt;=ROUND(($E95-$D95+1)*$F95,0),2,IF(L$5&lt;CFG_CurWeek,3,1)),""))</f>
        <v/>
      </c>
      <c r="M95" s="66" t="str">
        <f aca="false">IF(OR($D95="",$E95=""),"",IF(AND(M$5&gt;=$D95,M$5&lt;=$E95),IF(M$5-$D95+1&lt;=ROUND(($E95-$D95+1)*$F95,0),2,IF(M$5&lt;CFG_CurWeek,3,1)),""))</f>
        <v/>
      </c>
      <c r="N95" s="66" t="str">
        <f aca="false">IF(OR($D95="",$E95=""),"",IF(AND(N$5&gt;=$D95,N$5&lt;=$E95),IF(N$5-$D95+1&lt;=ROUND(($E95-$D95+1)*$F95,0),2,IF(N$5&lt;CFG_CurWeek,3,1)),""))</f>
        <v/>
      </c>
      <c r="O95" s="66" t="str">
        <f aca="false">IF(OR($D95="",$E95=""),"",IF(AND(O$5&gt;=$D95,O$5&lt;=$E95),IF(O$5-$D95+1&lt;=ROUND(($E95-$D95+1)*$F95,0),2,IF(O$5&lt;CFG_CurWeek,3,1)),""))</f>
        <v/>
      </c>
      <c r="P95" s="66" t="str">
        <f aca="false">IF(OR($D95="",$E95=""),"",IF(AND(P$5&gt;=$D95,P$5&lt;=$E95),IF(P$5-$D95+1&lt;=ROUND(($E95-$D95+1)*$F95,0),2,IF(P$5&lt;CFG_CurWeek,3,1)),""))</f>
        <v/>
      </c>
      <c r="Q95" s="66" t="str">
        <f aca="false">IF(OR($D95="",$E95=""),"",IF(AND(Q$5&gt;=$D95,Q$5&lt;=$E95),IF(Q$5-$D95+1&lt;=ROUND(($E95-$D95+1)*$F95,0),2,IF(Q$5&lt;CFG_CurWeek,3,1)),""))</f>
        <v/>
      </c>
      <c r="R95" s="66" t="str">
        <f aca="false">IF(OR($D95="",$E95=""),"",IF(AND(R$5&gt;=$D95,R$5&lt;=$E95),IF(R$5-$D95+1&lt;=ROUND(($E95-$D95+1)*$F95,0),2,IF(R$5&lt;CFG_CurWeek,3,1)),""))</f>
        <v/>
      </c>
      <c r="S95" s="66" t="str">
        <f aca="false">IF(OR($D95="",$E95=""),"",IF(AND(S$5&gt;=$D95,S$5&lt;=$E95),IF(S$5-$D95+1&lt;=ROUND(($E95-$D95+1)*$F95,0),2,IF(S$5&lt;CFG_CurWeek,3,1)),""))</f>
        <v/>
      </c>
      <c r="T95" s="66" t="str">
        <f aca="false">IF(OR($D95="",$E95=""),"",IF(AND(T$5&gt;=$D95,T$5&lt;=$E95),IF(T$5-$D95+1&lt;=ROUND(($E95-$D95+1)*$F95,0),2,IF(T$5&lt;CFG_CurWeek,3,1)),""))</f>
        <v/>
      </c>
      <c r="U95" s="66" t="str">
        <f aca="false">IF(OR($D95="",$E95=""),"",IF(AND(U$5&gt;=$D95,U$5&lt;=$E95),IF(U$5-$D95+1&lt;=ROUND(($E95-$D95+1)*$F95,0),2,IF(U$5&lt;CFG_CurWeek,3,1)),""))</f>
        <v/>
      </c>
      <c r="V95" s="66" t="str">
        <f aca="false">IF(OR($D95="",$E95=""),"",IF(AND(V$5&gt;=$D95,V$5&lt;=$E95),IF(V$5-$D95+1&lt;=ROUND(($E95-$D95+1)*$F95,0),2,IF(V$5&lt;CFG_CurWeek,3,1)),""))</f>
        <v/>
      </c>
      <c r="W95" s="66" t="str">
        <f aca="false">IF(OR($D95="",$E95=""),"",IF(AND(W$5&gt;=$D95,W$5&lt;=$E95),IF(W$5-$D95+1&lt;=ROUND(($E95-$D95+1)*$F95,0),2,IF(W$5&lt;CFG_CurWeek,3,1)),""))</f>
        <v/>
      </c>
      <c r="X95" s="66" t="str">
        <f aca="false">IF(OR($D95="",$E95=""),"",IF(AND(X$5&gt;=$D95,X$5&lt;=$E95),IF(X$5-$D95+1&lt;=ROUND(($E95-$D95+1)*$F95,0),2,IF(X$5&lt;CFG_CurWeek,3,1)),""))</f>
        <v/>
      </c>
      <c r="Y95" s="66" t="str">
        <f aca="false">IF(OR($D95="",$E95=""),"",IF(AND(Y$5&gt;=$D95,Y$5&lt;=$E95),IF(Y$5-$D95+1&lt;=ROUND(($E95-$D95+1)*$F95,0),2,IF(Y$5&lt;CFG_CurWeek,3,1)),""))</f>
        <v/>
      </c>
      <c r="Z95" s="66" t="str">
        <f aca="false">IF(OR($D95="",$E95=""),"",IF(AND(Z$5&gt;=$D95,Z$5&lt;=$E95),IF(Z$5-$D95+1&lt;=ROUND(($E95-$D95+1)*$F95,0),2,IF(Z$5&lt;CFG_CurWeek,3,1)),""))</f>
        <v/>
      </c>
      <c r="AA95" s="66" t="str">
        <f aca="false">IF(OR($D95="",$E95=""),"",IF(AND(AA$5&gt;=$D95,AA$5&lt;=$E95),IF(AA$5-$D95+1&lt;=ROUND(($E95-$D95+1)*$F95,0),2,IF(AA$5&lt;CFG_CurWeek,3,1)),""))</f>
        <v/>
      </c>
      <c r="AB95" s="66" t="str">
        <f aca="false">IF(OR($D95="",$E95=""),"",IF(AND(AB$5&gt;=$D95,AB$5&lt;=$E95),IF(AB$5-$D95+1&lt;=ROUND(($E95-$D95+1)*$F95,0),2,IF(AB$5&lt;CFG_CurWeek,3,1)),""))</f>
        <v/>
      </c>
      <c r="AC95" s="66" t="str">
        <f aca="false">IF(OR($D95="",$E95=""),"",IF(AND(AC$5&gt;=$D95,AC$5&lt;=$E95),IF(AC$5-$D95+1&lt;=ROUND(($E95-$D95+1)*$F95,0),2,IF(AC$5&lt;CFG_CurWeek,3,1)),""))</f>
        <v/>
      </c>
      <c r="AD95" s="66" t="str">
        <f aca="false">IF(OR($D95="",$E95=""),"",IF(AND(AD$5&gt;=$D95,AD$5&lt;=$E95),IF(AD$5-$D95+1&lt;=ROUND(($E95-$D95+1)*$F95,0),2,IF(AD$5&lt;CFG_CurWeek,3,1)),""))</f>
        <v/>
      </c>
      <c r="AE95" s="66" t="str">
        <f aca="false">IF(OR($D95="",$E95=""),"",IF(AND(AE$5&gt;=$D95,AE$5&lt;=$E95),IF(AE$5-$D95+1&lt;=ROUND(($E95-$D95+1)*$F95,0),2,IF(AE$5&lt;CFG_CurWeek,3,1)),""))</f>
        <v/>
      </c>
      <c r="AF95" s="66" t="str">
        <f aca="false">IF(OR($D95="",$E95=""),"",IF(AND(AF$5&gt;=$D95,AF$5&lt;=$E95),IF(AF$5-$D95+1&lt;=ROUND(($E95-$D95+1)*$F95,0),2,IF(AF$5&lt;CFG_CurWeek,3,1)),""))</f>
        <v/>
      </c>
      <c r="AG95" s="66" t="str">
        <f aca="false">IF(OR($D95="",$E95=""),"",IF(AND(AG$5&gt;=$D95,AG$5&lt;=$E95),IF(AG$5-$D95+1&lt;=ROUND(($E95-$D95+1)*$F95,0),2,IF(AG$5&lt;CFG_CurWeek,3,1)),""))</f>
        <v/>
      </c>
      <c r="AH95" s="66" t="str">
        <f aca="false">IF(OR($D95="",$E95=""),"",IF(AND(AH$5&gt;=$D95,AH$5&lt;=$E95),IF(AH$5-$D95+1&lt;=ROUND(($E95-$D95+1)*$F95,0),2,IF(AH$5&lt;CFG_CurWeek,3,1)),""))</f>
        <v/>
      </c>
      <c r="AI95" s="66" t="str">
        <f aca="false">IF(OR($D95="",$E95=""),"",IF(AND(AI$5&gt;=$D95,AI$5&lt;=$E95),IF(AI$5-$D95+1&lt;=ROUND(($E95-$D95+1)*$F95,0),2,IF(AI$5&lt;CFG_CurWeek,3,1)),""))</f>
        <v/>
      </c>
      <c r="AJ95" s="66" t="str">
        <f aca="false">IF(OR($D95="",$E95=""),"",IF(AND(AJ$5&gt;=$D95,AJ$5&lt;=$E95),IF(AJ$5-$D95+1&lt;=ROUND(($E95-$D95+1)*$F95,0),2,IF(AJ$5&lt;CFG_CurWeek,3,1)),""))</f>
        <v/>
      </c>
      <c r="AK95" s="66" t="str">
        <f aca="false">IF(OR($D95="",$E95=""),"",IF(AND(AK$5&gt;=$D95,AK$5&lt;=$E95),IF(AK$5-$D95+1&lt;=ROUND(($E95-$D95+1)*$F95,0),2,IF(AK$5&lt;CFG_CurWeek,3,1)),""))</f>
        <v/>
      </c>
      <c r="AL95" s="66" t="str">
        <f aca="false">IF(OR($D95="",$E95=""),"",IF(AND(AL$5&gt;=$D95,AL$5&lt;=$E95),IF(AL$5-$D95+1&lt;=ROUND(($E95-$D95+1)*$F95,0),2,IF(AL$5&lt;CFG_CurWeek,3,1)),""))</f>
        <v/>
      </c>
      <c r="AM95" s="66" t="str">
        <f aca="false">IF(OR($D95="",$E95=""),"",IF(AND(AM$5&gt;=$D95,AM$5&lt;=$E95),IF(AM$5-$D95+1&lt;=ROUND(($E95-$D95+1)*$F95,0),2,IF(AM$5&lt;CFG_CurWeek,3,1)),""))</f>
        <v/>
      </c>
      <c r="AN95" s="66" t="str">
        <f aca="false">IF(OR($D95="",$E95=""),"",IF(AND(AN$5&gt;=$D95,AN$5&lt;=$E95),IF(AN$5-$D95+1&lt;=ROUND(($E95-$D95+1)*$F95,0),2,IF(AN$5&lt;CFG_CurWeek,3,1)),""))</f>
        <v/>
      </c>
      <c r="AO95" s="66" t="str">
        <f aca="false">IF(OR($D95="",$E95=""),"",IF(AND(AO$5&gt;=$D95,AO$5&lt;=$E95),IF(AO$5-$D95+1&lt;=ROUND(($E95-$D95+1)*$F95,0),2,IF(AO$5&lt;CFG_CurWeek,3,1)),""))</f>
        <v/>
      </c>
    </row>
    <row r="96" customFormat="false" ht="15" hidden="false" customHeight="false" outlineLevel="0" collapsed="false">
      <c r="A96" s="63" t="str">
        <f aca="false">IF('01_WBS &amp; Master Plan'!A93="","",'01_WBS &amp; Master Plan'!A93)</f>
        <v/>
      </c>
      <c r="B96" s="64" t="str">
        <f aca="false">IF('01_WBS &amp; Master Plan'!D93="","",'01_WBS &amp; Master Plan'!D93)</f>
        <v/>
      </c>
      <c r="C96" s="63" t="str">
        <f aca="false">IF('01_WBS &amp; Master Plan'!E93="","",'01_WBS &amp; Master Plan'!E93)</f>
        <v/>
      </c>
      <c r="D96" s="63" t="str">
        <f aca="false">IF('01_WBS &amp; Master Plan'!H93="","",'01_WBS &amp; Master Plan'!H93)</f>
        <v/>
      </c>
      <c r="E96" s="63" t="str">
        <f aca="false">IF('01_WBS &amp; Master Plan'!I93="","",'01_WBS &amp; Master Plan'!I93)</f>
        <v/>
      </c>
      <c r="F96" s="65" t="str">
        <f aca="false">IF(B96="","",IF('01_WBS &amp; Master Plan'!K93="Done",1,IF('01_WBS &amp; Master Plan'!L93="",0,'01_WBS &amp; Master Plan'!L93)))</f>
        <v/>
      </c>
      <c r="G96" s="63" t="str">
        <f aca="false">IF('01_WBS &amp; Master Plan'!K93="","",'01_WBS &amp; Master Plan'!K93)</f>
        <v/>
      </c>
      <c r="H96" s="66" t="str">
        <f aca="false">IF(OR($D96="",$E96=""),"",IF(AND(H$5&gt;=$D96,H$5&lt;=$E96),IF(H$5-$D96+1&lt;=ROUND(($E96-$D96+1)*$F96,0),2,IF(H$5&lt;CFG_CurWeek,3,1)),""))</f>
        <v/>
      </c>
      <c r="I96" s="66" t="str">
        <f aca="false">IF(OR($D96="",$E96=""),"",IF(AND(I$5&gt;=$D96,I$5&lt;=$E96),IF(I$5-$D96+1&lt;=ROUND(($E96-$D96+1)*$F96,0),2,IF(I$5&lt;CFG_CurWeek,3,1)),""))</f>
        <v/>
      </c>
      <c r="J96" s="66" t="str">
        <f aca="false">IF(OR($D96="",$E96=""),"",IF(AND(J$5&gt;=$D96,J$5&lt;=$E96),IF(J$5-$D96+1&lt;=ROUND(($E96-$D96+1)*$F96,0),2,IF(J$5&lt;CFG_CurWeek,3,1)),""))</f>
        <v/>
      </c>
      <c r="K96" s="66" t="str">
        <f aca="false">IF(OR($D96="",$E96=""),"",IF(AND(K$5&gt;=$D96,K$5&lt;=$E96),IF(K$5-$D96+1&lt;=ROUND(($E96-$D96+1)*$F96,0),2,IF(K$5&lt;CFG_CurWeek,3,1)),""))</f>
        <v/>
      </c>
      <c r="L96" s="66" t="str">
        <f aca="false">IF(OR($D96="",$E96=""),"",IF(AND(L$5&gt;=$D96,L$5&lt;=$E96),IF(L$5-$D96+1&lt;=ROUND(($E96-$D96+1)*$F96,0),2,IF(L$5&lt;CFG_CurWeek,3,1)),""))</f>
        <v/>
      </c>
      <c r="M96" s="66" t="str">
        <f aca="false">IF(OR($D96="",$E96=""),"",IF(AND(M$5&gt;=$D96,M$5&lt;=$E96),IF(M$5-$D96+1&lt;=ROUND(($E96-$D96+1)*$F96,0),2,IF(M$5&lt;CFG_CurWeek,3,1)),""))</f>
        <v/>
      </c>
      <c r="N96" s="66" t="str">
        <f aca="false">IF(OR($D96="",$E96=""),"",IF(AND(N$5&gt;=$D96,N$5&lt;=$E96),IF(N$5-$D96+1&lt;=ROUND(($E96-$D96+1)*$F96,0),2,IF(N$5&lt;CFG_CurWeek,3,1)),""))</f>
        <v/>
      </c>
      <c r="O96" s="66" t="str">
        <f aca="false">IF(OR($D96="",$E96=""),"",IF(AND(O$5&gt;=$D96,O$5&lt;=$E96),IF(O$5-$D96+1&lt;=ROUND(($E96-$D96+1)*$F96,0),2,IF(O$5&lt;CFG_CurWeek,3,1)),""))</f>
        <v/>
      </c>
      <c r="P96" s="66" t="str">
        <f aca="false">IF(OR($D96="",$E96=""),"",IF(AND(P$5&gt;=$D96,P$5&lt;=$E96),IF(P$5-$D96+1&lt;=ROUND(($E96-$D96+1)*$F96,0),2,IF(P$5&lt;CFG_CurWeek,3,1)),""))</f>
        <v/>
      </c>
      <c r="Q96" s="66" t="str">
        <f aca="false">IF(OR($D96="",$E96=""),"",IF(AND(Q$5&gt;=$D96,Q$5&lt;=$E96),IF(Q$5-$D96+1&lt;=ROUND(($E96-$D96+1)*$F96,0),2,IF(Q$5&lt;CFG_CurWeek,3,1)),""))</f>
        <v/>
      </c>
      <c r="R96" s="66" t="str">
        <f aca="false">IF(OR($D96="",$E96=""),"",IF(AND(R$5&gt;=$D96,R$5&lt;=$E96),IF(R$5-$D96+1&lt;=ROUND(($E96-$D96+1)*$F96,0),2,IF(R$5&lt;CFG_CurWeek,3,1)),""))</f>
        <v/>
      </c>
      <c r="S96" s="66" t="str">
        <f aca="false">IF(OR($D96="",$E96=""),"",IF(AND(S$5&gt;=$D96,S$5&lt;=$E96),IF(S$5-$D96+1&lt;=ROUND(($E96-$D96+1)*$F96,0),2,IF(S$5&lt;CFG_CurWeek,3,1)),""))</f>
        <v/>
      </c>
      <c r="T96" s="66" t="str">
        <f aca="false">IF(OR($D96="",$E96=""),"",IF(AND(T$5&gt;=$D96,T$5&lt;=$E96),IF(T$5-$D96+1&lt;=ROUND(($E96-$D96+1)*$F96,0),2,IF(T$5&lt;CFG_CurWeek,3,1)),""))</f>
        <v/>
      </c>
      <c r="U96" s="66" t="str">
        <f aca="false">IF(OR($D96="",$E96=""),"",IF(AND(U$5&gt;=$D96,U$5&lt;=$E96),IF(U$5-$D96+1&lt;=ROUND(($E96-$D96+1)*$F96,0),2,IF(U$5&lt;CFG_CurWeek,3,1)),""))</f>
        <v/>
      </c>
      <c r="V96" s="66" t="str">
        <f aca="false">IF(OR($D96="",$E96=""),"",IF(AND(V$5&gt;=$D96,V$5&lt;=$E96),IF(V$5-$D96+1&lt;=ROUND(($E96-$D96+1)*$F96,0),2,IF(V$5&lt;CFG_CurWeek,3,1)),""))</f>
        <v/>
      </c>
      <c r="W96" s="66" t="str">
        <f aca="false">IF(OR($D96="",$E96=""),"",IF(AND(W$5&gt;=$D96,W$5&lt;=$E96),IF(W$5-$D96+1&lt;=ROUND(($E96-$D96+1)*$F96,0),2,IF(W$5&lt;CFG_CurWeek,3,1)),""))</f>
        <v/>
      </c>
      <c r="X96" s="66" t="str">
        <f aca="false">IF(OR($D96="",$E96=""),"",IF(AND(X$5&gt;=$D96,X$5&lt;=$E96),IF(X$5-$D96+1&lt;=ROUND(($E96-$D96+1)*$F96,0),2,IF(X$5&lt;CFG_CurWeek,3,1)),""))</f>
        <v/>
      </c>
      <c r="Y96" s="66" t="str">
        <f aca="false">IF(OR($D96="",$E96=""),"",IF(AND(Y$5&gt;=$D96,Y$5&lt;=$E96),IF(Y$5-$D96+1&lt;=ROUND(($E96-$D96+1)*$F96,0),2,IF(Y$5&lt;CFG_CurWeek,3,1)),""))</f>
        <v/>
      </c>
      <c r="Z96" s="66" t="str">
        <f aca="false">IF(OR($D96="",$E96=""),"",IF(AND(Z$5&gt;=$D96,Z$5&lt;=$E96),IF(Z$5-$D96+1&lt;=ROUND(($E96-$D96+1)*$F96,0),2,IF(Z$5&lt;CFG_CurWeek,3,1)),""))</f>
        <v/>
      </c>
      <c r="AA96" s="66" t="str">
        <f aca="false">IF(OR($D96="",$E96=""),"",IF(AND(AA$5&gt;=$D96,AA$5&lt;=$E96),IF(AA$5-$D96+1&lt;=ROUND(($E96-$D96+1)*$F96,0),2,IF(AA$5&lt;CFG_CurWeek,3,1)),""))</f>
        <v/>
      </c>
      <c r="AB96" s="66" t="str">
        <f aca="false">IF(OR($D96="",$E96=""),"",IF(AND(AB$5&gt;=$D96,AB$5&lt;=$E96),IF(AB$5-$D96+1&lt;=ROUND(($E96-$D96+1)*$F96,0),2,IF(AB$5&lt;CFG_CurWeek,3,1)),""))</f>
        <v/>
      </c>
      <c r="AC96" s="66" t="str">
        <f aca="false">IF(OR($D96="",$E96=""),"",IF(AND(AC$5&gt;=$D96,AC$5&lt;=$E96),IF(AC$5-$D96+1&lt;=ROUND(($E96-$D96+1)*$F96,0),2,IF(AC$5&lt;CFG_CurWeek,3,1)),""))</f>
        <v/>
      </c>
      <c r="AD96" s="66" t="str">
        <f aca="false">IF(OR($D96="",$E96=""),"",IF(AND(AD$5&gt;=$D96,AD$5&lt;=$E96),IF(AD$5-$D96+1&lt;=ROUND(($E96-$D96+1)*$F96,0),2,IF(AD$5&lt;CFG_CurWeek,3,1)),""))</f>
        <v/>
      </c>
      <c r="AE96" s="66" t="str">
        <f aca="false">IF(OR($D96="",$E96=""),"",IF(AND(AE$5&gt;=$D96,AE$5&lt;=$E96),IF(AE$5-$D96+1&lt;=ROUND(($E96-$D96+1)*$F96,0),2,IF(AE$5&lt;CFG_CurWeek,3,1)),""))</f>
        <v/>
      </c>
      <c r="AF96" s="66" t="str">
        <f aca="false">IF(OR($D96="",$E96=""),"",IF(AND(AF$5&gt;=$D96,AF$5&lt;=$E96),IF(AF$5-$D96+1&lt;=ROUND(($E96-$D96+1)*$F96,0),2,IF(AF$5&lt;CFG_CurWeek,3,1)),""))</f>
        <v/>
      </c>
      <c r="AG96" s="66" t="str">
        <f aca="false">IF(OR($D96="",$E96=""),"",IF(AND(AG$5&gt;=$D96,AG$5&lt;=$E96),IF(AG$5-$D96+1&lt;=ROUND(($E96-$D96+1)*$F96,0),2,IF(AG$5&lt;CFG_CurWeek,3,1)),""))</f>
        <v/>
      </c>
      <c r="AH96" s="66" t="str">
        <f aca="false">IF(OR($D96="",$E96=""),"",IF(AND(AH$5&gt;=$D96,AH$5&lt;=$E96),IF(AH$5-$D96+1&lt;=ROUND(($E96-$D96+1)*$F96,0),2,IF(AH$5&lt;CFG_CurWeek,3,1)),""))</f>
        <v/>
      </c>
      <c r="AI96" s="66" t="str">
        <f aca="false">IF(OR($D96="",$E96=""),"",IF(AND(AI$5&gt;=$D96,AI$5&lt;=$E96),IF(AI$5-$D96+1&lt;=ROUND(($E96-$D96+1)*$F96,0),2,IF(AI$5&lt;CFG_CurWeek,3,1)),""))</f>
        <v/>
      </c>
      <c r="AJ96" s="66" t="str">
        <f aca="false">IF(OR($D96="",$E96=""),"",IF(AND(AJ$5&gt;=$D96,AJ$5&lt;=$E96),IF(AJ$5-$D96+1&lt;=ROUND(($E96-$D96+1)*$F96,0),2,IF(AJ$5&lt;CFG_CurWeek,3,1)),""))</f>
        <v/>
      </c>
      <c r="AK96" s="66" t="str">
        <f aca="false">IF(OR($D96="",$E96=""),"",IF(AND(AK$5&gt;=$D96,AK$5&lt;=$E96),IF(AK$5-$D96+1&lt;=ROUND(($E96-$D96+1)*$F96,0),2,IF(AK$5&lt;CFG_CurWeek,3,1)),""))</f>
        <v/>
      </c>
      <c r="AL96" s="66" t="str">
        <f aca="false">IF(OR($D96="",$E96=""),"",IF(AND(AL$5&gt;=$D96,AL$5&lt;=$E96),IF(AL$5-$D96+1&lt;=ROUND(($E96-$D96+1)*$F96,0),2,IF(AL$5&lt;CFG_CurWeek,3,1)),""))</f>
        <v/>
      </c>
      <c r="AM96" s="66" t="str">
        <f aca="false">IF(OR($D96="",$E96=""),"",IF(AND(AM$5&gt;=$D96,AM$5&lt;=$E96),IF(AM$5-$D96+1&lt;=ROUND(($E96-$D96+1)*$F96,0),2,IF(AM$5&lt;CFG_CurWeek,3,1)),""))</f>
        <v/>
      </c>
      <c r="AN96" s="66" t="str">
        <f aca="false">IF(OR($D96="",$E96=""),"",IF(AND(AN$5&gt;=$D96,AN$5&lt;=$E96),IF(AN$5-$D96+1&lt;=ROUND(($E96-$D96+1)*$F96,0),2,IF(AN$5&lt;CFG_CurWeek,3,1)),""))</f>
        <v/>
      </c>
      <c r="AO96" s="66" t="str">
        <f aca="false">IF(OR($D96="",$E96=""),"",IF(AND(AO$5&gt;=$D96,AO$5&lt;=$E96),IF(AO$5-$D96+1&lt;=ROUND(($E96-$D96+1)*$F96,0),2,IF(AO$5&lt;CFG_CurWeek,3,1)),""))</f>
        <v/>
      </c>
    </row>
    <row r="97" customFormat="false" ht="15" hidden="false" customHeight="false" outlineLevel="0" collapsed="false">
      <c r="A97" s="63" t="str">
        <f aca="false">IF('01_WBS &amp; Master Plan'!A94="","",'01_WBS &amp; Master Plan'!A94)</f>
        <v/>
      </c>
      <c r="B97" s="64" t="str">
        <f aca="false">IF('01_WBS &amp; Master Plan'!D94="","",'01_WBS &amp; Master Plan'!D94)</f>
        <v/>
      </c>
      <c r="C97" s="63" t="str">
        <f aca="false">IF('01_WBS &amp; Master Plan'!E94="","",'01_WBS &amp; Master Plan'!E94)</f>
        <v/>
      </c>
      <c r="D97" s="63" t="str">
        <f aca="false">IF('01_WBS &amp; Master Plan'!H94="","",'01_WBS &amp; Master Plan'!H94)</f>
        <v/>
      </c>
      <c r="E97" s="63" t="str">
        <f aca="false">IF('01_WBS &amp; Master Plan'!I94="","",'01_WBS &amp; Master Plan'!I94)</f>
        <v/>
      </c>
      <c r="F97" s="65" t="str">
        <f aca="false">IF(B97="","",IF('01_WBS &amp; Master Plan'!K94="Done",1,IF('01_WBS &amp; Master Plan'!L94="",0,'01_WBS &amp; Master Plan'!L94)))</f>
        <v/>
      </c>
      <c r="G97" s="63" t="str">
        <f aca="false">IF('01_WBS &amp; Master Plan'!K94="","",'01_WBS &amp; Master Plan'!K94)</f>
        <v/>
      </c>
      <c r="H97" s="66" t="str">
        <f aca="false">IF(OR($D97="",$E97=""),"",IF(AND(H$5&gt;=$D97,H$5&lt;=$E97),IF(H$5-$D97+1&lt;=ROUND(($E97-$D97+1)*$F97,0),2,IF(H$5&lt;CFG_CurWeek,3,1)),""))</f>
        <v/>
      </c>
      <c r="I97" s="66" t="str">
        <f aca="false">IF(OR($D97="",$E97=""),"",IF(AND(I$5&gt;=$D97,I$5&lt;=$E97),IF(I$5-$D97+1&lt;=ROUND(($E97-$D97+1)*$F97,0),2,IF(I$5&lt;CFG_CurWeek,3,1)),""))</f>
        <v/>
      </c>
      <c r="J97" s="66" t="str">
        <f aca="false">IF(OR($D97="",$E97=""),"",IF(AND(J$5&gt;=$D97,J$5&lt;=$E97),IF(J$5-$D97+1&lt;=ROUND(($E97-$D97+1)*$F97,0),2,IF(J$5&lt;CFG_CurWeek,3,1)),""))</f>
        <v/>
      </c>
      <c r="K97" s="66" t="str">
        <f aca="false">IF(OR($D97="",$E97=""),"",IF(AND(K$5&gt;=$D97,K$5&lt;=$E97),IF(K$5-$D97+1&lt;=ROUND(($E97-$D97+1)*$F97,0),2,IF(K$5&lt;CFG_CurWeek,3,1)),""))</f>
        <v/>
      </c>
      <c r="L97" s="66" t="str">
        <f aca="false">IF(OR($D97="",$E97=""),"",IF(AND(L$5&gt;=$D97,L$5&lt;=$E97),IF(L$5-$D97+1&lt;=ROUND(($E97-$D97+1)*$F97,0),2,IF(L$5&lt;CFG_CurWeek,3,1)),""))</f>
        <v/>
      </c>
      <c r="M97" s="66" t="str">
        <f aca="false">IF(OR($D97="",$E97=""),"",IF(AND(M$5&gt;=$D97,M$5&lt;=$E97),IF(M$5-$D97+1&lt;=ROUND(($E97-$D97+1)*$F97,0),2,IF(M$5&lt;CFG_CurWeek,3,1)),""))</f>
        <v/>
      </c>
      <c r="N97" s="66" t="str">
        <f aca="false">IF(OR($D97="",$E97=""),"",IF(AND(N$5&gt;=$D97,N$5&lt;=$E97),IF(N$5-$D97+1&lt;=ROUND(($E97-$D97+1)*$F97,0),2,IF(N$5&lt;CFG_CurWeek,3,1)),""))</f>
        <v/>
      </c>
      <c r="O97" s="66" t="str">
        <f aca="false">IF(OR($D97="",$E97=""),"",IF(AND(O$5&gt;=$D97,O$5&lt;=$E97),IF(O$5-$D97+1&lt;=ROUND(($E97-$D97+1)*$F97,0),2,IF(O$5&lt;CFG_CurWeek,3,1)),""))</f>
        <v/>
      </c>
      <c r="P97" s="66" t="str">
        <f aca="false">IF(OR($D97="",$E97=""),"",IF(AND(P$5&gt;=$D97,P$5&lt;=$E97),IF(P$5-$D97+1&lt;=ROUND(($E97-$D97+1)*$F97,0),2,IF(P$5&lt;CFG_CurWeek,3,1)),""))</f>
        <v/>
      </c>
      <c r="Q97" s="66" t="str">
        <f aca="false">IF(OR($D97="",$E97=""),"",IF(AND(Q$5&gt;=$D97,Q$5&lt;=$E97),IF(Q$5-$D97+1&lt;=ROUND(($E97-$D97+1)*$F97,0),2,IF(Q$5&lt;CFG_CurWeek,3,1)),""))</f>
        <v/>
      </c>
      <c r="R97" s="66" t="str">
        <f aca="false">IF(OR($D97="",$E97=""),"",IF(AND(R$5&gt;=$D97,R$5&lt;=$E97),IF(R$5-$D97+1&lt;=ROUND(($E97-$D97+1)*$F97,0),2,IF(R$5&lt;CFG_CurWeek,3,1)),""))</f>
        <v/>
      </c>
      <c r="S97" s="66" t="str">
        <f aca="false">IF(OR($D97="",$E97=""),"",IF(AND(S$5&gt;=$D97,S$5&lt;=$E97),IF(S$5-$D97+1&lt;=ROUND(($E97-$D97+1)*$F97,0),2,IF(S$5&lt;CFG_CurWeek,3,1)),""))</f>
        <v/>
      </c>
      <c r="T97" s="66" t="str">
        <f aca="false">IF(OR($D97="",$E97=""),"",IF(AND(T$5&gt;=$D97,T$5&lt;=$E97),IF(T$5-$D97+1&lt;=ROUND(($E97-$D97+1)*$F97,0),2,IF(T$5&lt;CFG_CurWeek,3,1)),""))</f>
        <v/>
      </c>
      <c r="U97" s="66" t="str">
        <f aca="false">IF(OR($D97="",$E97=""),"",IF(AND(U$5&gt;=$D97,U$5&lt;=$E97),IF(U$5-$D97+1&lt;=ROUND(($E97-$D97+1)*$F97,0),2,IF(U$5&lt;CFG_CurWeek,3,1)),""))</f>
        <v/>
      </c>
      <c r="V97" s="66" t="str">
        <f aca="false">IF(OR($D97="",$E97=""),"",IF(AND(V$5&gt;=$D97,V$5&lt;=$E97),IF(V$5-$D97+1&lt;=ROUND(($E97-$D97+1)*$F97,0),2,IF(V$5&lt;CFG_CurWeek,3,1)),""))</f>
        <v/>
      </c>
      <c r="W97" s="66" t="str">
        <f aca="false">IF(OR($D97="",$E97=""),"",IF(AND(W$5&gt;=$D97,W$5&lt;=$E97),IF(W$5-$D97+1&lt;=ROUND(($E97-$D97+1)*$F97,0),2,IF(W$5&lt;CFG_CurWeek,3,1)),""))</f>
        <v/>
      </c>
      <c r="X97" s="66" t="str">
        <f aca="false">IF(OR($D97="",$E97=""),"",IF(AND(X$5&gt;=$D97,X$5&lt;=$E97),IF(X$5-$D97+1&lt;=ROUND(($E97-$D97+1)*$F97,0),2,IF(X$5&lt;CFG_CurWeek,3,1)),""))</f>
        <v/>
      </c>
      <c r="Y97" s="66" t="str">
        <f aca="false">IF(OR($D97="",$E97=""),"",IF(AND(Y$5&gt;=$D97,Y$5&lt;=$E97),IF(Y$5-$D97+1&lt;=ROUND(($E97-$D97+1)*$F97,0),2,IF(Y$5&lt;CFG_CurWeek,3,1)),""))</f>
        <v/>
      </c>
      <c r="Z97" s="66" t="str">
        <f aca="false">IF(OR($D97="",$E97=""),"",IF(AND(Z$5&gt;=$D97,Z$5&lt;=$E97),IF(Z$5-$D97+1&lt;=ROUND(($E97-$D97+1)*$F97,0),2,IF(Z$5&lt;CFG_CurWeek,3,1)),""))</f>
        <v/>
      </c>
      <c r="AA97" s="66" t="str">
        <f aca="false">IF(OR($D97="",$E97=""),"",IF(AND(AA$5&gt;=$D97,AA$5&lt;=$E97),IF(AA$5-$D97+1&lt;=ROUND(($E97-$D97+1)*$F97,0),2,IF(AA$5&lt;CFG_CurWeek,3,1)),""))</f>
        <v/>
      </c>
      <c r="AB97" s="66" t="str">
        <f aca="false">IF(OR($D97="",$E97=""),"",IF(AND(AB$5&gt;=$D97,AB$5&lt;=$E97),IF(AB$5-$D97+1&lt;=ROUND(($E97-$D97+1)*$F97,0),2,IF(AB$5&lt;CFG_CurWeek,3,1)),""))</f>
        <v/>
      </c>
      <c r="AC97" s="66" t="str">
        <f aca="false">IF(OR($D97="",$E97=""),"",IF(AND(AC$5&gt;=$D97,AC$5&lt;=$E97),IF(AC$5-$D97+1&lt;=ROUND(($E97-$D97+1)*$F97,0),2,IF(AC$5&lt;CFG_CurWeek,3,1)),""))</f>
        <v/>
      </c>
      <c r="AD97" s="66" t="str">
        <f aca="false">IF(OR($D97="",$E97=""),"",IF(AND(AD$5&gt;=$D97,AD$5&lt;=$E97),IF(AD$5-$D97+1&lt;=ROUND(($E97-$D97+1)*$F97,0),2,IF(AD$5&lt;CFG_CurWeek,3,1)),""))</f>
        <v/>
      </c>
      <c r="AE97" s="66" t="str">
        <f aca="false">IF(OR($D97="",$E97=""),"",IF(AND(AE$5&gt;=$D97,AE$5&lt;=$E97),IF(AE$5-$D97+1&lt;=ROUND(($E97-$D97+1)*$F97,0),2,IF(AE$5&lt;CFG_CurWeek,3,1)),""))</f>
        <v/>
      </c>
      <c r="AF97" s="66" t="str">
        <f aca="false">IF(OR($D97="",$E97=""),"",IF(AND(AF$5&gt;=$D97,AF$5&lt;=$E97),IF(AF$5-$D97+1&lt;=ROUND(($E97-$D97+1)*$F97,0),2,IF(AF$5&lt;CFG_CurWeek,3,1)),""))</f>
        <v/>
      </c>
      <c r="AG97" s="66" t="str">
        <f aca="false">IF(OR($D97="",$E97=""),"",IF(AND(AG$5&gt;=$D97,AG$5&lt;=$E97),IF(AG$5-$D97+1&lt;=ROUND(($E97-$D97+1)*$F97,0),2,IF(AG$5&lt;CFG_CurWeek,3,1)),""))</f>
        <v/>
      </c>
      <c r="AH97" s="66" t="str">
        <f aca="false">IF(OR($D97="",$E97=""),"",IF(AND(AH$5&gt;=$D97,AH$5&lt;=$E97),IF(AH$5-$D97+1&lt;=ROUND(($E97-$D97+1)*$F97,0),2,IF(AH$5&lt;CFG_CurWeek,3,1)),""))</f>
        <v/>
      </c>
      <c r="AI97" s="66" t="str">
        <f aca="false">IF(OR($D97="",$E97=""),"",IF(AND(AI$5&gt;=$D97,AI$5&lt;=$E97),IF(AI$5-$D97+1&lt;=ROUND(($E97-$D97+1)*$F97,0),2,IF(AI$5&lt;CFG_CurWeek,3,1)),""))</f>
        <v/>
      </c>
      <c r="AJ97" s="66" t="str">
        <f aca="false">IF(OR($D97="",$E97=""),"",IF(AND(AJ$5&gt;=$D97,AJ$5&lt;=$E97),IF(AJ$5-$D97+1&lt;=ROUND(($E97-$D97+1)*$F97,0),2,IF(AJ$5&lt;CFG_CurWeek,3,1)),""))</f>
        <v/>
      </c>
      <c r="AK97" s="66" t="str">
        <f aca="false">IF(OR($D97="",$E97=""),"",IF(AND(AK$5&gt;=$D97,AK$5&lt;=$E97),IF(AK$5-$D97+1&lt;=ROUND(($E97-$D97+1)*$F97,0),2,IF(AK$5&lt;CFG_CurWeek,3,1)),""))</f>
        <v/>
      </c>
      <c r="AL97" s="66" t="str">
        <f aca="false">IF(OR($D97="",$E97=""),"",IF(AND(AL$5&gt;=$D97,AL$5&lt;=$E97),IF(AL$5-$D97+1&lt;=ROUND(($E97-$D97+1)*$F97,0),2,IF(AL$5&lt;CFG_CurWeek,3,1)),""))</f>
        <v/>
      </c>
      <c r="AM97" s="66" t="str">
        <f aca="false">IF(OR($D97="",$E97=""),"",IF(AND(AM$5&gt;=$D97,AM$5&lt;=$E97),IF(AM$5-$D97+1&lt;=ROUND(($E97-$D97+1)*$F97,0),2,IF(AM$5&lt;CFG_CurWeek,3,1)),""))</f>
        <v/>
      </c>
      <c r="AN97" s="66" t="str">
        <f aca="false">IF(OR($D97="",$E97=""),"",IF(AND(AN$5&gt;=$D97,AN$5&lt;=$E97),IF(AN$5-$D97+1&lt;=ROUND(($E97-$D97+1)*$F97,0),2,IF(AN$5&lt;CFG_CurWeek,3,1)),""))</f>
        <v/>
      </c>
      <c r="AO97" s="66" t="str">
        <f aca="false">IF(OR($D97="",$E97=""),"",IF(AND(AO$5&gt;=$D97,AO$5&lt;=$E97),IF(AO$5-$D97+1&lt;=ROUND(($E97-$D97+1)*$F97,0),2,IF(AO$5&lt;CFG_CurWeek,3,1)),""))</f>
        <v/>
      </c>
    </row>
    <row r="98" customFormat="false" ht="15" hidden="false" customHeight="false" outlineLevel="0" collapsed="false">
      <c r="A98" s="63" t="str">
        <f aca="false">IF('01_WBS &amp; Master Plan'!A95="","",'01_WBS &amp; Master Plan'!A95)</f>
        <v/>
      </c>
      <c r="B98" s="64" t="str">
        <f aca="false">IF('01_WBS &amp; Master Plan'!D95="","",'01_WBS &amp; Master Plan'!D95)</f>
        <v/>
      </c>
      <c r="C98" s="63" t="str">
        <f aca="false">IF('01_WBS &amp; Master Plan'!E95="","",'01_WBS &amp; Master Plan'!E95)</f>
        <v/>
      </c>
      <c r="D98" s="63" t="str">
        <f aca="false">IF('01_WBS &amp; Master Plan'!H95="","",'01_WBS &amp; Master Plan'!H95)</f>
        <v/>
      </c>
      <c r="E98" s="63" t="str">
        <f aca="false">IF('01_WBS &amp; Master Plan'!I95="","",'01_WBS &amp; Master Plan'!I95)</f>
        <v/>
      </c>
      <c r="F98" s="65" t="str">
        <f aca="false">IF(B98="","",IF('01_WBS &amp; Master Plan'!K95="Done",1,IF('01_WBS &amp; Master Plan'!L95="",0,'01_WBS &amp; Master Plan'!L95)))</f>
        <v/>
      </c>
      <c r="G98" s="63" t="str">
        <f aca="false">IF('01_WBS &amp; Master Plan'!K95="","",'01_WBS &amp; Master Plan'!K95)</f>
        <v/>
      </c>
      <c r="H98" s="66" t="str">
        <f aca="false">IF(OR($D98="",$E98=""),"",IF(AND(H$5&gt;=$D98,H$5&lt;=$E98),IF(H$5-$D98+1&lt;=ROUND(($E98-$D98+1)*$F98,0),2,IF(H$5&lt;CFG_CurWeek,3,1)),""))</f>
        <v/>
      </c>
      <c r="I98" s="66" t="str">
        <f aca="false">IF(OR($D98="",$E98=""),"",IF(AND(I$5&gt;=$D98,I$5&lt;=$E98),IF(I$5-$D98+1&lt;=ROUND(($E98-$D98+1)*$F98,0),2,IF(I$5&lt;CFG_CurWeek,3,1)),""))</f>
        <v/>
      </c>
      <c r="J98" s="66" t="str">
        <f aca="false">IF(OR($D98="",$E98=""),"",IF(AND(J$5&gt;=$D98,J$5&lt;=$E98),IF(J$5-$D98+1&lt;=ROUND(($E98-$D98+1)*$F98,0),2,IF(J$5&lt;CFG_CurWeek,3,1)),""))</f>
        <v/>
      </c>
      <c r="K98" s="66" t="str">
        <f aca="false">IF(OR($D98="",$E98=""),"",IF(AND(K$5&gt;=$D98,K$5&lt;=$E98),IF(K$5-$D98+1&lt;=ROUND(($E98-$D98+1)*$F98,0),2,IF(K$5&lt;CFG_CurWeek,3,1)),""))</f>
        <v/>
      </c>
      <c r="L98" s="66" t="str">
        <f aca="false">IF(OR($D98="",$E98=""),"",IF(AND(L$5&gt;=$D98,L$5&lt;=$E98),IF(L$5-$D98+1&lt;=ROUND(($E98-$D98+1)*$F98,0),2,IF(L$5&lt;CFG_CurWeek,3,1)),""))</f>
        <v/>
      </c>
      <c r="M98" s="66" t="str">
        <f aca="false">IF(OR($D98="",$E98=""),"",IF(AND(M$5&gt;=$D98,M$5&lt;=$E98),IF(M$5-$D98+1&lt;=ROUND(($E98-$D98+1)*$F98,0),2,IF(M$5&lt;CFG_CurWeek,3,1)),""))</f>
        <v/>
      </c>
      <c r="N98" s="66" t="str">
        <f aca="false">IF(OR($D98="",$E98=""),"",IF(AND(N$5&gt;=$D98,N$5&lt;=$E98),IF(N$5-$D98+1&lt;=ROUND(($E98-$D98+1)*$F98,0),2,IF(N$5&lt;CFG_CurWeek,3,1)),""))</f>
        <v/>
      </c>
      <c r="O98" s="66" t="str">
        <f aca="false">IF(OR($D98="",$E98=""),"",IF(AND(O$5&gt;=$D98,O$5&lt;=$E98),IF(O$5-$D98+1&lt;=ROUND(($E98-$D98+1)*$F98,0),2,IF(O$5&lt;CFG_CurWeek,3,1)),""))</f>
        <v/>
      </c>
      <c r="P98" s="66" t="str">
        <f aca="false">IF(OR($D98="",$E98=""),"",IF(AND(P$5&gt;=$D98,P$5&lt;=$E98),IF(P$5-$D98+1&lt;=ROUND(($E98-$D98+1)*$F98,0),2,IF(P$5&lt;CFG_CurWeek,3,1)),""))</f>
        <v/>
      </c>
      <c r="Q98" s="66" t="str">
        <f aca="false">IF(OR($D98="",$E98=""),"",IF(AND(Q$5&gt;=$D98,Q$5&lt;=$E98),IF(Q$5-$D98+1&lt;=ROUND(($E98-$D98+1)*$F98,0),2,IF(Q$5&lt;CFG_CurWeek,3,1)),""))</f>
        <v/>
      </c>
      <c r="R98" s="66" t="str">
        <f aca="false">IF(OR($D98="",$E98=""),"",IF(AND(R$5&gt;=$D98,R$5&lt;=$E98),IF(R$5-$D98+1&lt;=ROUND(($E98-$D98+1)*$F98,0),2,IF(R$5&lt;CFG_CurWeek,3,1)),""))</f>
        <v/>
      </c>
      <c r="S98" s="66" t="str">
        <f aca="false">IF(OR($D98="",$E98=""),"",IF(AND(S$5&gt;=$D98,S$5&lt;=$E98),IF(S$5-$D98+1&lt;=ROUND(($E98-$D98+1)*$F98,0),2,IF(S$5&lt;CFG_CurWeek,3,1)),""))</f>
        <v/>
      </c>
      <c r="T98" s="66" t="str">
        <f aca="false">IF(OR($D98="",$E98=""),"",IF(AND(T$5&gt;=$D98,T$5&lt;=$E98),IF(T$5-$D98+1&lt;=ROUND(($E98-$D98+1)*$F98,0),2,IF(T$5&lt;CFG_CurWeek,3,1)),""))</f>
        <v/>
      </c>
      <c r="U98" s="66" t="str">
        <f aca="false">IF(OR($D98="",$E98=""),"",IF(AND(U$5&gt;=$D98,U$5&lt;=$E98),IF(U$5-$D98+1&lt;=ROUND(($E98-$D98+1)*$F98,0),2,IF(U$5&lt;CFG_CurWeek,3,1)),""))</f>
        <v/>
      </c>
      <c r="V98" s="66" t="str">
        <f aca="false">IF(OR($D98="",$E98=""),"",IF(AND(V$5&gt;=$D98,V$5&lt;=$E98),IF(V$5-$D98+1&lt;=ROUND(($E98-$D98+1)*$F98,0),2,IF(V$5&lt;CFG_CurWeek,3,1)),""))</f>
        <v/>
      </c>
      <c r="W98" s="66" t="str">
        <f aca="false">IF(OR($D98="",$E98=""),"",IF(AND(W$5&gt;=$D98,W$5&lt;=$E98),IF(W$5-$D98+1&lt;=ROUND(($E98-$D98+1)*$F98,0),2,IF(W$5&lt;CFG_CurWeek,3,1)),""))</f>
        <v/>
      </c>
      <c r="X98" s="66" t="str">
        <f aca="false">IF(OR($D98="",$E98=""),"",IF(AND(X$5&gt;=$D98,X$5&lt;=$E98),IF(X$5-$D98+1&lt;=ROUND(($E98-$D98+1)*$F98,0),2,IF(X$5&lt;CFG_CurWeek,3,1)),""))</f>
        <v/>
      </c>
      <c r="Y98" s="66" t="str">
        <f aca="false">IF(OR($D98="",$E98=""),"",IF(AND(Y$5&gt;=$D98,Y$5&lt;=$E98),IF(Y$5-$D98+1&lt;=ROUND(($E98-$D98+1)*$F98,0),2,IF(Y$5&lt;CFG_CurWeek,3,1)),""))</f>
        <v/>
      </c>
      <c r="Z98" s="66" t="str">
        <f aca="false">IF(OR($D98="",$E98=""),"",IF(AND(Z$5&gt;=$D98,Z$5&lt;=$E98),IF(Z$5-$D98+1&lt;=ROUND(($E98-$D98+1)*$F98,0),2,IF(Z$5&lt;CFG_CurWeek,3,1)),""))</f>
        <v/>
      </c>
      <c r="AA98" s="66" t="str">
        <f aca="false">IF(OR($D98="",$E98=""),"",IF(AND(AA$5&gt;=$D98,AA$5&lt;=$E98),IF(AA$5-$D98+1&lt;=ROUND(($E98-$D98+1)*$F98,0),2,IF(AA$5&lt;CFG_CurWeek,3,1)),""))</f>
        <v/>
      </c>
      <c r="AB98" s="66" t="str">
        <f aca="false">IF(OR($D98="",$E98=""),"",IF(AND(AB$5&gt;=$D98,AB$5&lt;=$E98),IF(AB$5-$D98+1&lt;=ROUND(($E98-$D98+1)*$F98,0),2,IF(AB$5&lt;CFG_CurWeek,3,1)),""))</f>
        <v/>
      </c>
      <c r="AC98" s="66" t="str">
        <f aca="false">IF(OR($D98="",$E98=""),"",IF(AND(AC$5&gt;=$D98,AC$5&lt;=$E98),IF(AC$5-$D98+1&lt;=ROUND(($E98-$D98+1)*$F98,0),2,IF(AC$5&lt;CFG_CurWeek,3,1)),""))</f>
        <v/>
      </c>
      <c r="AD98" s="66" t="str">
        <f aca="false">IF(OR($D98="",$E98=""),"",IF(AND(AD$5&gt;=$D98,AD$5&lt;=$E98),IF(AD$5-$D98+1&lt;=ROUND(($E98-$D98+1)*$F98,0),2,IF(AD$5&lt;CFG_CurWeek,3,1)),""))</f>
        <v/>
      </c>
      <c r="AE98" s="66" t="str">
        <f aca="false">IF(OR($D98="",$E98=""),"",IF(AND(AE$5&gt;=$D98,AE$5&lt;=$E98),IF(AE$5-$D98+1&lt;=ROUND(($E98-$D98+1)*$F98,0),2,IF(AE$5&lt;CFG_CurWeek,3,1)),""))</f>
        <v/>
      </c>
      <c r="AF98" s="66" t="str">
        <f aca="false">IF(OR($D98="",$E98=""),"",IF(AND(AF$5&gt;=$D98,AF$5&lt;=$E98),IF(AF$5-$D98+1&lt;=ROUND(($E98-$D98+1)*$F98,0),2,IF(AF$5&lt;CFG_CurWeek,3,1)),""))</f>
        <v/>
      </c>
      <c r="AG98" s="66" t="str">
        <f aca="false">IF(OR($D98="",$E98=""),"",IF(AND(AG$5&gt;=$D98,AG$5&lt;=$E98),IF(AG$5-$D98+1&lt;=ROUND(($E98-$D98+1)*$F98,0),2,IF(AG$5&lt;CFG_CurWeek,3,1)),""))</f>
        <v/>
      </c>
      <c r="AH98" s="66" t="str">
        <f aca="false">IF(OR($D98="",$E98=""),"",IF(AND(AH$5&gt;=$D98,AH$5&lt;=$E98),IF(AH$5-$D98+1&lt;=ROUND(($E98-$D98+1)*$F98,0),2,IF(AH$5&lt;CFG_CurWeek,3,1)),""))</f>
        <v/>
      </c>
      <c r="AI98" s="66" t="str">
        <f aca="false">IF(OR($D98="",$E98=""),"",IF(AND(AI$5&gt;=$D98,AI$5&lt;=$E98),IF(AI$5-$D98+1&lt;=ROUND(($E98-$D98+1)*$F98,0),2,IF(AI$5&lt;CFG_CurWeek,3,1)),""))</f>
        <v/>
      </c>
      <c r="AJ98" s="66" t="str">
        <f aca="false">IF(OR($D98="",$E98=""),"",IF(AND(AJ$5&gt;=$D98,AJ$5&lt;=$E98),IF(AJ$5-$D98+1&lt;=ROUND(($E98-$D98+1)*$F98,0),2,IF(AJ$5&lt;CFG_CurWeek,3,1)),""))</f>
        <v/>
      </c>
      <c r="AK98" s="66" t="str">
        <f aca="false">IF(OR($D98="",$E98=""),"",IF(AND(AK$5&gt;=$D98,AK$5&lt;=$E98),IF(AK$5-$D98+1&lt;=ROUND(($E98-$D98+1)*$F98,0),2,IF(AK$5&lt;CFG_CurWeek,3,1)),""))</f>
        <v/>
      </c>
      <c r="AL98" s="66" t="str">
        <f aca="false">IF(OR($D98="",$E98=""),"",IF(AND(AL$5&gt;=$D98,AL$5&lt;=$E98),IF(AL$5-$D98+1&lt;=ROUND(($E98-$D98+1)*$F98,0),2,IF(AL$5&lt;CFG_CurWeek,3,1)),""))</f>
        <v/>
      </c>
      <c r="AM98" s="66" t="str">
        <f aca="false">IF(OR($D98="",$E98=""),"",IF(AND(AM$5&gt;=$D98,AM$5&lt;=$E98),IF(AM$5-$D98+1&lt;=ROUND(($E98-$D98+1)*$F98,0),2,IF(AM$5&lt;CFG_CurWeek,3,1)),""))</f>
        <v/>
      </c>
      <c r="AN98" s="66" t="str">
        <f aca="false">IF(OR($D98="",$E98=""),"",IF(AND(AN$5&gt;=$D98,AN$5&lt;=$E98),IF(AN$5-$D98+1&lt;=ROUND(($E98-$D98+1)*$F98,0),2,IF(AN$5&lt;CFG_CurWeek,3,1)),""))</f>
        <v/>
      </c>
      <c r="AO98" s="66" t="str">
        <f aca="false">IF(OR($D98="",$E98=""),"",IF(AND(AO$5&gt;=$D98,AO$5&lt;=$E98),IF(AO$5-$D98+1&lt;=ROUND(($E98-$D98+1)*$F98,0),2,IF(AO$5&lt;CFG_CurWeek,3,1)),""))</f>
        <v/>
      </c>
    </row>
    <row r="99" customFormat="false" ht="15" hidden="false" customHeight="false" outlineLevel="0" collapsed="false">
      <c r="A99" s="63" t="str">
        <f aca="false">IF('01_WBS &amp; Master Plan'!A96="","",'01_WBS &amp; Master Plan'!A96)</f>
        <v/>
      </c>
      <c r="B99" s="64" t="str">
        <f aca="false">IF('01_WBS &amp; Master Plan'!D96="","",'01_WBS &amp; Master Plan'!D96)</f>
        <v/>
      </c>
      <c r="C99" s="63" t="str">
        <f aca="false">IF('01_WBS &amp; Master Plan'!E96="","",'01_WBS &amp; Master Plan'!E96)</f>
        <v/>
      </c>
      <c r="D99" s="63" t="str">
        <f aca="false">IF('01_WBS &amp; Master Plan'!H96="","",'01_WBS &amp; Master Plan'!H96)</f>
        <v/>
      </c>
      <c r="E99" s="63" t="str">
        <f aca="false">IF('01_WBS &amp; Master Plan'!I96="","",'01_WBS &amp; Master Plan'!I96)</f>
        <v/>
      </c>
      <c r="F99" s="65" t="str">
        <f aca="false">IF(B99="","",IF('01_WBS &amp; Master Plan'!K96="Done",1,IF('01_WBS &amp; Master Plan'!L96="",0,'01_WBS &amp; Master Plan'!L96)))</f>
        <v/>
      </c>
      <c r="G99" s="63" t="str">
        <f aca="false">IF('01_WBS &amp; Master Plan'!K96="","",'01_WBS &amp; Master Plan'!K96)</f>
        <v/>
      </c>
      <c r="H99" s="66" t="str">
        <f aca="false">IF(OR($D99="",$E99=""),"",IF(AND(H$5&gt;=$D99,H$5&lt;=$E99),IF(H$5-$D99+1&lt;=ROUND(($E99-$D99+1)*$F99,0),2,IF(H$5&lt;CFG_CurWeek,3,1)),""))</f>
        <v/>
      </c>
      <c r="I99" s="66" t="str">
        <f aca="false">IF(OR($D99="",$E99=""),"",IF(AND(I$5&gt;=$D99,I$5&lt;=$E99),IF(I$5-$D99+1&lt;=ROUND(($E99-$D99+1)*$F99,0),2,IF(I$5&lt;CFG_CurWeek,3,1)),""))</f>
        <v/>
      </c>
      <c r="J99" s="66" t="str">
        <f aca="false">IF(OR($D99="",$E99=""),"",IF(AND(J$5&gt;=$D99,J$5&lt;=$E99),IF(J$5-$D99+1&lt;=ROUND(($E99-$D99+1)*$F99,0),2,IF(J$5&lt;CFG_CurWeek,3,1)),""))</f>
        <v/>
      </c>
      <c r="K99" s="66" t="str">
        <f aca="false">IF(OR($D99="",$E99=""),"",IF(AND(K$5&gt;=$D99,K$5&lt;=$E99),IF(K$5-$D99+1&lt;=ROUND(($E99-$D99+1)*$F99,0),2,IF(K$5&lt;CFG_CurWeek,3,1)),""))</f>
        <v/>
      </c>
      <c r="L99" s="66" t="str">
        <f aca="false">IF(OR($D99="",$E99=""),"",IF(AND(L$5&gt;=$D99,L$5&lt;=$E99),IF(L$5-$D99+1&lt;=ROUND(($E99-$D99+1)*$F99,0),2,IF(L$5&lt;CFG_CurWeek,3,1)),""))</f>
        <v/>
      </c>
      <c r="M99" s="66" t="str">
        <f aca="false">IF(OR($D99="",$E99=""),"",IF(AND(M$5&gt;=$D99,M$5&lt;=$E99),IF(M$5-$D99+1&lt;=ROUND(($E99-$D99+1)*$F99,0),2,IF(M$5&lt;CFG_CurWeek,3,1)),""))</f>
        <v/>
      </c>
      <c r="N99" s="66" t="str">
        <f aca="false">IF(OR($D99="",$E99=""),"",IF(AND(N$5&gt;=$D99,N$5&lt;=$E99),IF(N$5-$D99+1&lt;=ROUND(($E99-$D99+1)*$F99,0),2,IF(N$5&lt;CFG_CurWeek,3,1)),""))</f>
        <v/>
      </c>
      <c r="O99" s="66" t="str">
        <f aca="false">IF(OR($D99="",$E99=""),"",IF(AND(O$5&gt;=$D99,O$5&lt;=$E99),IF(O$5-$D99+1&lt;=ROUND(($E99-$D99+1)*$F99,0),2,IF(O$5&lt;CFG_CurWeek,3,1)),""))</f>
        <v/>
      </c>
      <c r="P99" s="66" t="str">
        <f aca="false">IF(OR($D99="",$E99=""),"",IF(AND(P$5&gt;=$D99,P$5&lt;=$E99),IF(P$5-$D99+1&lt;=ROUND(($E99-$D99+1)*$F99,0),2,IF(P$5&lt;CFG_CurWeek,3,1)),""))</f>
        <v/>
      </c>
      <c r="Q99" s="66" t="str">
        <f aca="false">IF(OR($D99="",$E99=""),"",IF(AND(Q$5&gt;=$D99,Q$5&lt;=$E99),IF(Q$5-$D99+1&lt;=ROUND(($E99-$D99+1)*$F99,0),2,IF(Q$5&lt;CFG_CurWeek,3,1)),""))</f>
        <v/>
      </c>
      <c r="R99" s="66" t="str">
        <f aca="false">IF(OR($D99="",$E99=""),"",IF(AND(R$5&gt;=$D99,R$5&lt;=$E99),IF(R$5-$D99+1&lt;=ROUND(($E99-$D99+1)*$F99,0),2,IF(R$5&lt;CFG_CurWeek,3,1)),""))</f>
        <v/>
      </c>
      <c r="S99" s="66" t="str">
        <f aca="false">IF(OR($D99="",$E99=""),"",IF(AND(S$5&gt;=$D99,S$5&lt;=$E99),IF(S$5-$D99+1&lt;=ROUND(($E99-$D99+1)*$F99,0),2,IF(S$5&lt;CFG_CurWeek,3,1)),""))</f>
        <v/>
      </c>
      <c r="T99" s="66" t="str">
        <f aca="false">IF(OR($D99="",$E99=""),"",IF(AND(T$5&gt;=$D99,T$5&lt;=$E99),IF(T$5-$D99+1&lt;=ROUND(($E99-$D99+1)*$F99,0),2,IF(T$5&lt;CFG_CurWeek,3,1)),""))</f>
        <v/>
      </c>
      <c r="U99" s="66" t="str">
        <f aca="false">IF(OR($D99="",$E99=""),"",IF(AND(U$5&gt;=$D99,U$5&lt;=$E99),IF(U$5-$D99+1&lt;=ROUND(($E99-$D99+1)*$F99,0),2,IF(U$5&lt;CFG_CurWeek,3,1)),""))</f>
        <v/>
      </c>
      <c r="V99" s="66" t="str">
        <f aca="false">IF(OR($D99="",$E99=""),"",IF(AND(V$5&gt;=$D99,V$5&lt;=$E99),IF(V$5-$D99+1&lt;=ROUND(($E99-$D99+1)*$F99,0),2,IF(V$5&lt;CFG_CurWeek,3,1)),""))</f>
        <v/>
      </c>
      <c r="W99" s="66" t="str">
        <f aca="false">IF(OR($D99="",$E99=""),"",IF(AND(W$5&gt;=$D99,W$5&lt;=$E99),IF(W$5-$D99+1&lt;=ROUND(($E99-$D99+1)*$F99,0),2,IF(W$5&lt;CFG_CurWeek,3,1)),""))</f>
        <v/>
      </c>
      <c r="X99" s="66" t="str">
        <f aca="false">IF(OR($D99="",$E99=""),"",IF(AND(X$5&gt;=$D99,X$5&lt;=$E99),IF(X$5-$D99+1&lt;=ROUND(($E99-$D99+1)*$F99,0),2,IF(X$5&lt;CFG_CurWeek,3,1)),""))</f>
        <v/>
      </c>
      <c r="Y99" s="66" t="str">
        <f aca="false">IF(OR($D99="",$E99=""),"",IF(AND(Y$5&gt;=$D99,Y$5&lt;=$E99),IF(Y$5-$D99+1&lt;=ROUND(($E99-$D99+1)*$F99,0),2,IF(Y$5&lt;CFG_CurWeek,3,1)),""))</f>
        <v/>
      </c>
      <c r="Z99" s="66" t="str">
        <f aca="false">IF(OR($D99="",$E99=""),"",IF(AND(Z$5&gt;=$D99,Z$5&lt;=$E99),IF(Z$5-$D99+1&lt;=ROUND(($E99-$D99+1)*$F99,0),2,IF(Z$5&lt;CFG_CurWeek,3,1)),""))</f>
        <v/>
      </c>
      <c r="AA99" s="66" t="str">
        <f aca="false">IF(OR($D99="",$E99=""),"",IF(AND(AA$5&gt;=$D99,AA$5&lt;=$E99),IF(AA$5-$D99+1&lt;=ROUND(($E99-$D99+1)*$F99,0),2,IF(AA$5&lt;CFG_CurWeek,3,1)),""))</f>
        <v/>
      </c>
      <c r="AB99" s="66" t="str">
        <f aca="false">IF(OR($D99="",$E99=""),"",IF(AND(AB$5&gt;=$D99,AB$5&lt;=$E99),IF(AB$5-$D99+1&lt;=ROUND(($E99-$D99+1)*$F99,0),2,IF(AB$5&lt;CFG_CurWeek,3,1)),""))</f>
        <v/>
      </c>
      <c r="AC99" s="66" t="str">
        <f aca="false">IF(OR($D99="",$E99=""),"",IF(AND(AC$5&gt;=$D99,AC$5&lt;=$E99),IF(AC$5-$D99+1&lt;=ROUND(($E99-$D99+1)*$F99,0),2,IF(AC$5&lt;CFG_CurWeek,3,1)),""))</f>
        <v/>
      </c>
      <c r="AD99" s="66" t="str">
        <f aca="false">IF(OR($D99="",$E99=""),"",IF(AND(AD$5&gt;=$D99,AD$5&lt;=$E99),IF(AD$5-$D99+1&lt;=ROUND(($E99-$D99+1)*$F99,0),2,IF(AD$5&lt;CFG_CurWeek,3,1)),""))</f>
        <v/>
      </c>
      <c r="AE99" s="66" t="str">
        <f aca="false">IF(OR($D99="",$E99=""),"",IF(AND(AE$5&gt;=$D99,AE$5&lt;=$E99),IF(AE$5-$D99+1&lt;=ROUND(($E99-$D99+1)*$F99,0),2,IF(AE$5&lt;CFG_CurWeek,3,1)),""))</f>
        <v/>
      </c>
      <c r="AF99" s="66" t="str">
        <f aca="false">IF(OR($D99="",$E99=""),"",IF(AND(AF$5&gt;=$D99,AF$5&lt;=$E99),IF(AF$5-$D99+1&lt;=ROUND(($E99-$D99+1)*$F99,0),2,IF(AF$5&lt;CFG_CurWeek,3,1)),""))</f>
        <v/>
      </c>
      <c r="AG99" s="66" t="str">
        <f aca="false">IF(OR($D99="",$E99=""),"",IF(AND(AG$5&gt;=$D99,AG$5&lt;=$E99),IF(AG$5-$D99+1&lt;=ROUND(($E99-$D99+1)*$F99,0),2,IF(AG$5&lt;CFG_CurWeek,3,1)),""))</f>
        <v/>
      </c>
      <c r="AH99" s="66" t="str">
        <f aca="false">IF(OR($D99="",$E99=""),"",IF(AND(AH$5&gt;=$D99,AH$5&lt;=$E99),IF(AH$5-$D99+1&lt;=ROUND(($E99-$D99+1)*$F99,0),2,IF(AH$5&lt;CFG_CurWeek,3,1)),""))</f>
        <v/>
      </c>
      <c r="AI99" s="66" t="str">
        <f aca="false">IF(OR($D99="",$E99=""),"",IF(AND(AI$5&gt;=$D99,AI$5&lt;=$E99),IF(AI$5-$D99+1&lt;=ROUND(($E99-$D99+1)*$F99,0),2,IF(AI$5&lt;CFG_CurWeek,3,1)),""))</f>
        <v/>
      </c>
      <c r="AJ99" s="66" t="str">
        <f aca="false">IF(OR($D99="",$E99=""),"",IF(AND(AJ$5&gt;=$D99,AJ$5&lt;=$E99),IF(AJ$5-$D99+1&lt;=ROUND(($E99-$D99+1)*$F99,0),2,IF(AJ$5&lt;CFG_CurWeek,3,1)),""))</f>
        <v/>
      </c>
      <c r="AK99" s="66" t="str">
        <f aca="false">IF(OR($D99="",$E99=""),"",IF(AND(AK$5&gt;=$D99,AK$5&lt;=$E99),IF(AK$5-$D99+1&lt;=ROUND(($E99-$D99+1)*$F99,0),2,IF(AK$5&lt;CFG_CurWeek,3,1)),""))</f>
        <v/>
      </c>
      <c r="AL99" s="66" t="str">
        <f aca="false">IF(OR($D99="",$E99=""),"",IF(AND(AL$5&gt;=$D99,AL$5&lt;=$E99),IF(AL$5-$D99+1&lt;=ROUND(($E99-$D99+1)*$F99,0),2,IF(AL$5&lt;CFG_CurWeek,3,1)),""))</f>
        <v/>
      </c>
      <c r="AM99" s="66" t="str">
        <f aca="false">IF(OR($D99="",$E99=""),"",IF(AND(AM$5&gt;=$D99,AM$5&lt;=$E99),IF(AM$5-$D99+1&lt;=ROUND(($E99-$D99+1)*$F99,0),2,IF(AM$5&lt;CFG_CurWeek,3,1)),""))</f>
        <v/>
      </c>
      <c r="AN99" s="66" t="str">
        <f aca="false">IF(OR($D99="",$E99=""),"",IF(AND(AN$5&gt;=$D99,AN$5&lt;=$E99),IF(AN$5-$D99+1&lt;=ROUND(($E99-$D99+1)*$F99,0),2,IF(AN$5&lt;CFG_CurWeek,3,1)),""))</f>
        <v/>
      </c>
      <c r="AO99" s="66" t="str">
        <f aca="false">IF(OR($D99="",$E99=""),"",IF(AND(AO$5&gt;=$D99,AO$5&lt;=$E99),IF(AO$5-$D99+1&lt;=ROUND(($E99-$D99+1)*$F99,0),2,IF(AO$5&lt;CFG_CurWeek,3,1)),""))</f>
        <v/>
      </c>
    </row>
    <row r="100" customFormat="false" ht="15" hidden="false" customHeight="false" outlineLevel="0" collapsed="false">
      <c r="A100" s="63" t="str">
        <f aca="false">IF('01_WBS &amp; Master Plan'!A97="","",'01_WBS &amp; Master Plan'!A97)</f>
        <v/>
      </c>
      <c r="B100" s="64" t="str">
        <f aca="false">IF('01_WBS &amp; Master Plan'!D97="","",'01_WBS &amp; Master Plan'!D97)</f>
        <v/>
      </c>
      <c r="C100" s="63" t="str">
        <f aca="false">IF('01_WBS &amp; Master Plan'!E97="","",'01_WBS &amp; Master Plan'!E97)</f>
        <v/>
      </c>
      <c r="D100" s="63" t="str">
        <f aca="false">IF('01_WBS &amp; Master Plan'!H97="","",'01_WBS &amp; Master Plan'!H97)</f>
        <v/>
      </c>
      <c r="E100" s="63" t="str">
        <f aca="false">IF('01_WBS &amp; Master Plan'!I97="","",'01_WBS &amp; Master Plan'!I97)</f>
        <v/>
      </c>
      <c r="F100" s="65" t="str">
        <f aca="false">IF(B100="","",IF('01_WBS &amp; Master Plan'!K97="Done",1,IF('01_WBS &amp; Master Plan'!L97="",0,'01_WBS &amp; Master Plan'!L97)))</f>
        <v/>
      </c>
      <c r="G100" s="63" t="str">
        <f aca="false">IF('01_WBS &amp; Master Plan'!K97="","",'01_WBS &amp; Master Plan'!K97)</f>
        <v/>
      </c>
      <c r="H100" s="66" t="str">
        <f aca="false">IF(OR($D100="",$E100=""),"",IF(AND(H$5&gt;=$D100,H$5&lt;=$E100),IF(H$5-$D100+1&lt;=ROUND(($E100-$D100+1)*$F100,0),2,IF(H$5&lt;CFG_CurWeek,3,1)),""))</f>
        <v/>
      </c>
      <c r="I100" s="66" t="str">
        <f aca="false">IF(OR($D100="",$E100=""),"",IF(AND(I$5&gt;=$D100,I$5&lt;=$E100),IF(I$5-$D100+1&lt;=ROUND(($E100-$D100+1)*$F100,0),2,IF(I$5&lt;CFG_CurWeek,3,1)),""))</f>
        <v/>
      </c>
      <c r="J100" s="66" t="str">
        <f aca="false">IF(OR($D100="",$E100=""),"",IF(AND(J$5&gt;=$D100,J$5&lt;=$E100),IF(J$5-$D100+1&lt;=ROUND(($E100-$D100+1)*$F100,0),2,IF(J$5&lt;CFG_CurWeek,3,1)),""))</f>
        <v/>
      </c>
      <c r="K100" s="66" t="str">
        <f aca="false">IF(OR($D100="",$E100=""),"",IF(AND(K$5&gt;=$D100,K$5&lt;=$E100),IF(K$5-$D100+1&lt;=ROUND(($E100-$D100+1)*$F100,0),2,IF(K$5&lt;CFG_CurWeek,3,1)),""))</f>
        <v/>
      </c>
      <c r="L100" s="66" t="str">
        <f aca="false">IF(OR($D100="",$E100=""),"",IF(AND(L$5&gt;=$D100,L$5&lt;=$E100),IF(L$5-$D100+1&lt;=ROUND(($E100-$D100+1)*$F100,0),2,IF(L$5&lt;CFG_CurWeek,3,1)),""))</f>
        <v/>
      </c>
      <c r="M100" s="66" t="str">
        <f aca="false">IF(OR($D100="",$E100=""),"",IF(AND(M$5&gt;=$D100,M$5&lt;=$E100),IF(M$5-$D100+1&lt;=ROUND(($E100-$D100+1)*$F100,0),2,IF(M$5&lt;CFG_CurWeek,3,1)),""))</f>
        <v/>
      </c>
      <c r="N100" s="66" t="str">
        <f aca="false">IF(OR($D100="",$E100=""),"",IF(AND(N$5&gt;=$D100,N$5&lt;=$E100),IF(N$5-$D100+1&lt;=ROUND(($E100-$D100+1)*$F100,0),2,IF(N$5&lt;CFG_CurWeek,3,1)),""))</f>
        <v/>
      </c>
      <c r="O100" s="66" t="str">
        <f aca="false">IF(OR($D100="",$E100=""),"",IF(AND(O$5&gt;=$D100,O$5&lt;=$E100),IF(O$5-$D100+1&lt;=ROUND(($E100-$D100+1)*$F100,0),2,IF(O$5&lt;CFG_CurWeek,3,1)),""))</f>
        <v/>
      </c>
      <c r="P100" s="66" t="str">
        <f aca="false">IF(OR($D100="",$E100=""),"",IF(AND(P$5&gt;=$D100,P$5&lt;=$E100),IF(P$5-$D100+1&lt;=ROUND(($E100-$D100+1)*$F100,0),2,IF(P$5&lt;CFG_CurWeek,3,1)),""))</f>
        <v/>
      </c>
      <c r="Q100" s="66" t="str">
        <f aca="false">IF(OR($D100="",$E100=""),"",IF(AND(Q$5&gt;=$D100,Q$5&lt;=$E100),IF(Q$5-$D100+1&lt;=ROUND(($E100-$D100+1)*$F100,0),2,IF(Q$5&lt;CFG_CurWeek,3,1)),""))</f>
        <v/>
      </c>
      <c r="R100" s="66" t="str">
        <f aca="false">IF(OR($D100="",$E100=""),"",IF(AND(R$5&gt;=$D100,R$5&lt;=$E100),IF(R$5-$D100+1&lt;=ROUND(($E100-$D100+1)*$F100,0),2,IF(R$5&lt;CFG_CurWeek,3,1)),""))</f>
        <v/>
      </c>
      <c r="S100" s="66" t="str">
        <f aca="false">IF(OR($D100="",$E100=""),"",IF(AND(S$5&gt;=$D100,S$5&lt;=$E100),IF(S$5-$D100+1&lt;=ROUND(($E100-$D100+1)*$F100,0),2,IF(S$5&lt;CFG_CurWeek,3,1)),""))</f>
        <v/>
      </c>
      <c r="T100" s="66" t="str">
        <f aca="false">IF(OR($D100="",$E100=""),"",IF(AND(T$5&gt;=$D100,T$5&lt;=$E100),IF(T$5-$D100+1&lt;=ROUND(($E100-$D100+1)*$F100,0),2,IF(T$5&lt;CFG_CurWeek,3,1)),""))</f>
        <v/>
      </c>
      <c r="U100" s="66" t="str">
        <f aca="false">IF(OR($D100="",$E100=""),"",IF(AND(U$5&gt;=$D100,U$5&lt;=$E100),IF(U$5-$D100+1&lt;=ROUND(($E100-$D100+1)*$F100,0),2,IF(U$5&lt;CFG_CurWeek,3,1)),""))</f>
        <v/>
      </c>
      <c r="V100" s="66" t="str">
        <f aca="false">IF(OR($D100="",$E100=""),"",IF(AND(V$5&gt;=$D100,V$5&lt;=$E100),IF(V$5-$D100+1&lt;=ROUND(($E100-$D100+1)*$F100,0),2,IF(V$5&lt;CFG_CurWeek,3,1)),""))</f>
        <v/>
      </c>
      <c r="W100" s="66" t="str">
        <f aca="false">IF(OR($D100="",$E100=""),"",IF(AND(W$5&gt;=$D100,W$5&lt;=$E100),IF(W$5-$D100+1&lt;=ROUND(($E100-$D100+1)*$F100,0),2,IF(W$5&lt;CFG_CurWeek,3,1)),""))</f>
        <v/>
      </c>
      <c r="X100" s="66" t="str">
        <f aca="false">IF(OR($D100="",$E100=""),"",IF(AND(X$5&gt;=$D100,X$5&lt;=$E100),IF(X$5-$D100+1&lt;=ROUND(($E100-$D100+1)*$F100,0),2,IF(X$5&lt;CFG_CurWeek,3,1)),""))</f>
        <v/>
      </c>
      <c r="Y100" s="66" t="str">
        <f aca="false">IF(OR($D100="",$E100=""),"",IF(AND(Y$5&gt;=$D100,Y$5&lt;=$E100),IF(Y$5-$D100+1&lt;=ROUND(($E100-$D100+1)*$F100,0),2,IF(Y$5&lt;CFG_CurWeek,3,1)),""))</f>
        <v/>
      </c>
      <c r="Z100" s="66" t="str">
        <f aca="false">IF(OR($D100="",$E100=""),"",IF(AND(Z$5&gt;=$D100,Z$5&lt;=$E100),IF(Z$5-$D100+1&lt;=ROUND(($E100-$D100+1)*$F100,0),2,IF(Z$5&lt;CFG_CurWeek,3,1)),""))</f>
        <v/>
      </c>
      <c r="AA100" s="66" t="str">
        <f aca="false">IF(OR($D100="",$E100=""),"",IF(AND(AA$5&gt;=$D100,AA$5&lt;=$E100),IF(AA$5-$D100+1&lt;=ROUND(($E100-$D100+1)*$F100,0),2,IF(AA$5&lt;CFG_CurWeek,3,1)),""))</f>
        <v/>
      </c>
      <c r="AB100" s="66" t="str">
        <f aca="false">IF(OR($D100="",$E100=""),"",IF(AND(AB$5&gt;=$D100,AB$5&lt;=$E100),IF(AB$5-$D100+1&lt;=ROUND(($E100-$D100+1)*$F100,0),2,IF(AB$5&lt;CFG_CurWeek,3,1)),""))</f>
        <v/>
      </c>
      <c r="AC100" s="66" t="str">
        <f aca="false">IF(OR($D100="",$E100=""),"",IF(AND(AC$5&gt;=$D100,AC$5&lt;=$E100),IF(AC$5-$D100+1&lt;=ROUND(($E100-$D100+1)*$F100,0),2,IF(AC$5&lt;CFG_CurWeek,3,1)),""))</f>
        <v/>
      </c>
      <c r="AD100" s="66" t="str">
        <f aca="false">IF(OR($D100="",$E100=""),"",IF(AND(AD$5&gt;=$D100,AD$5&lt;=$E100),IF(AD$5-$D100+1&lt;=ROUND(($E100-$D100+1)*$F100,0),2,IF(AD$5&lt;CFG_CurWeek,3,1)),""))</f>
        <v/>
      </c>
      <c r="AE100" s="66" t="str">
        <f aca="false">IF(OR($D100="",$E100=""),"",IF(AND(AE$5&gt;=$D100,AE$5&lt;=$E100),IF(AE$5-$D100+1&lt;=ROUND(($E100-$D100+1)*$F100,0),2,IF(AE$5&lt;CFG_CurWeek,3,1)),""))</f>
        <v/>
      </c>
      <c r="AF100" s="66" t="str">
        <f aca="false">IF(OR($D100="",$E100=""),"",IF(AND(AF$5&gt;=$D100,AF$5&lt;=$E100),IF(AF$5-$D100+1&lt;=ROUND(($E100-$D100+1)*$F100,0),2,IF(AF$5&lt;CFG_CurWeek,3,1)),""))</f>
        <v/>
      </c>
      <c r="AG100" s="66" t="str">
        <f aca="false">IF(OR($D100="",$E100=""),"",IF(AND(AG$5&gt;=$D100,AG$5&lt;=$E100),IF(AG$5-$D100+1&lt;=ROUND(($E100-$D100+1)*$F100,0),2,IF(AG$5&lt;CFG_CurWeek,3,1)),""))</f>
        <v/>
      </c>
      <c r="AH100" s="66" t="str">
        <f aca="false">IF(OR($D100="",$E100=""),"",IF(AND(AH$5&gt;=$D100,AH$5&lt;=$E100),IF(AH$5-$D100+1&lt;=ROUND(($E100-$D100+1)*$F100,0),2,IF(AH$5&lt;CFG_CurWeek,3,1)),""))</f>
        <v/>
      </c>
      <c r="AI100" s="66" t="str">
        <f aca="false">IF(OR($D100="",$E100=""),"",IF(AND(AI$5&gt;=$D100,AI$5&lt;=$E100),IF(AI$5-$D100+1&lt;=ROUND(($E100-$D100+1)*$F100,0),2,IF(AI$5&lt;CFG_CurWeek,3,1)),""))</f>
        <v/>
      </c>
      <c r="AJ100" s="66" t="str">
        <f aca="false">IF(OR($D100="",$E100=""),"",IF(AND(AJ$5&gt;=$D100,AJ$5&lt;=$E100),IF(AJ$5-$D100+1&lt;=ROUND(($E100-$D100+1)*$F100,0),2,IF(AJ$5&lt;CFG_CurWeek,3,1)),""))</f>
        <v/>
      </c>
      <c r="AK100" s="66" t="str">
        <f aca="false">IF(OR($D100="",$E100=""),"",IF(AND(AK$5&gt;=$D100,AK$5&lt;=$E100),IF(AK$5-$D100+1&lt;=ROUND(($E100-$D100+1)*$F100,0),2,IF(AK$5&lt;CFG_CurWeek,3,1)),""))</f>
        <v/>
      </c>
      <c r="AL100" s="66" t="str">
        <f aca="false">IF(OR($D100="",$E100=""),"",IF(AND(AL$5&gt;=$D100,AL$5&lt;=$E100),IF(AL$5-$D100+1&lt;=ROUND(($E100-$D100+1)*$F100,0),2,IF(AL$5&lt;CFG_CurWeek,3,1)),""))</f>
        <v/>
      </c>
      <c r="AM100" s="66" t="str">
        <f aca="false">IF(OR($D100="",$E100=""),"",IF(AND(AM$5&gt;=$D100,AM$5&lt;=$E100),IF(AM$5-$D100+1&lt;=ROUND(($E100-$D100+1)*$F100,0),2,IF(AM$5&lt;CFG_CurWeek,3,1)),""))</f>
        <v/>
      </c>
      <c r="AN100" s="66" t="str">
        <f aca="false">IF(OR($D100="",$E100=""),"",IF(AND(AN$5&gt;=$D100,AN$5&lt;=$E100),IF(AN$5-$D100+1&lt;=ROUND(($E100-$D100+1)*$F100,0),2,IF(AN$5&lt;CFG_CurWeek,3,1)),""))</f>
        <v/>
      </c>
      <c r="AO100" s="66" t="str">
        <f aca="false">IF(OR($D100="",$E100=""),"",IF(AND(AO$5&gt;=$D100,AO$5&lt;=$E100),IF(AO$5-$D100+1&lt;=ROUND(($E100-$D100+1)*$F100,0),2,IF(AO$5&lt;CFG_CurWeek,3,1)),""))</f>
        <v/>
      </c>
    </row>
    <row r="101" customFormat="false" ht="15" hidden="false" customHeight="false" outlineLevel="0" collapsed="false">
      <c r="A101" s="63" t="str">
        <f aca="false">IF('01_WBS &amp; Master Plan'!A98="","",'01_WBS &amp; Master Plan'!A98)</f>
        <v/>
      </c>
      <c r="B101" s="64" t="str">
        <f aca="false">IF('01_WBS &amp; Master Plan'!D98="","",'01_WBS &amp; Master Plan'!D98)</f>
        <v/>
      </c>
      <c r="C101" s="63" t="str">
        <f aca="false">IF('01_WBS &amp; Master Plan'!E98="","",'01_WBS &amp; Master Plan'!E98)</f>
        <v/>
      </c>
      <c r="D101" s="63" t="str">
        <f aca="false">IF('01_WBS &amp; Master Plan'!H98="","",'01_WBS &amp; Master Plan'!H98)</f>
        <v/>
      </c>
      <c r="E101" s="63" t="str">
        <f aca="false">IF('01_WBS &amp; Master Plan'!I98="","",'01_WBS &amp; Master Plan'!I98)</f>
        <v/>
      </c>
      <c r="F101" s="65" t="str">
        <f aca="false">IF(B101="","",IF('01_WBS &amp; Master Plan'!K98="Done",1,IF('01_WBS &amp; Master Plan'!L98="",0,'01_WBS &amp; Master Plan'!L98)))</f>
        <v/>
      </c>
      <c r="G101" s="63" t="str">
        <f aca="false">IF('01_WBS &amp; Master Plan'!K98="","",'01_WBS &amp; Master Plan'!K98)</f>
        <v/>
      </c>
      <c r="H101" s="66" t="str">
        <f aca="false">IF(OR($D101="",$E101=""),"",IF(AND(H$5&gt;=$D101,H$5&lt;=$E101),IF(H$5-$D101+1&lt;=ROUND(($E101-$D101+1)*$F101,0),2,IF(H$5&lt;CFG_CurWeek,3,1)),""))</f>
        <v/>
      </c>
      <c r="I101" s="66" t="str">
        <f aca="false">IF(OR($D101="",$E101=""),"",IF(AND(I$5&gt;=$D101,I$5&lt;=$E101),IF(I$5-$D101+1&lt;=ROUND(($E101-$D101+1)*$F101,0),2,IF(I$5&lt;CFG_CurWeek,3,1)),""))</f>
        <v/>
      </c>
      <c r="J101" s="66" t="str">
        <f aca="false">IF(OR($D101="",$E101=""),"",IF(AND(J$5&gt;=$D101,J$5&lt;=$E101),IF(J$5-$D101+1&lt;=ROUND(($E101-$D101+1)*$F101,0),2,IF(J$5&lt;CFG_CurWeek,3,1)),""))</f>
        <v/>
      </c>
      <c r="K101" s="66" t="str">
        <f aca="false">IF(OR($D101="",$E101=""),"",IF(AND(K$5&gt;=$D101,K$5&lt;=$E101),IF(K$5-$D101+1&lt;=ROUND(($E101-$D101+1)*$F101,0),2,IF(K$5&lt;CFG_CurWeek,3,1)),""))</f>
        <v/>
      </c>
      <c r="L101" s="66" t="str">
        <f aca="false">IF(OR($D101="",$E101=""),"",IF(AND(L$5&gt;=$D101,L$5&lt;=$E101),IF(L$5-$D101+1&lt;=ROUND(($E101-$D101+1)*$F101,0),2,IF(L$5&lt;CFG_CurWeek,3,1)),""))</f>
        <v/>
      </c>
      <c r="M101" s="66" t="str">
        <f aca="false">IF(OR($D101="",$E101=""),"",IF(AND(M$5&gt;=$D101,M$5&lt;=$E101),IF(M$5-$D101+1&lt;=ROUND(($E101-$D101+1)*$F101,0),2,IF(M$5&lt;CFG_CurWeek,3,1)),""))</f>
        <v/>
      </c>
      <c r="N101" s="66" t="str">
        <f aca="false">IF(OR($D101="",$E101=""),"",IF(AND(N$5&gt;=$D101,N$5&lt;=$E101),IF(N$5-$D101+1&lt;=ROUND(($E101-$D101+1)*$F101,0),2,IF(N$5&lt;CFG_CurWeek,3,1)),""))</f>
        <v/>
      </c>
      <c r="O101" s="66" t="str">
        <f aca="false">IF(OR($D101="",$E101=""),"",IF(AND(O$5&gt;=$D101,O$5&lt;=$E101),IF(O$5-$D101+1&lt;=ROUND(($E101-$D101+1)*$F101,0),2,IF(O$5&lt;CFG_CurWeek,3,1)),""))</f>
        <v/>
      </c>
      <c r="P101" s="66" t="str">
        <f aca="false">IF(OR($D101="",$E101=""),"",IF(AND(P$5&gt;=$D101,P$5&lt;=$E101),IF(P$5-$D101+1&lt;=ROUND(($E101-$D101+1)*$F101,0),2,IF(P$5&lt;CFG_CurWeek,3,1)),""))</f>
        <v/>
      </c>
      <c r="Q101" s="66" t="str">
        <f aca="false">IF(OR($D101="",$E101=""),"",IF(AND(Q$5&gt;=$D101,Q$5&lt;=$E101),IF(Q$5-$D101+1&lt;=ROUND(($E101-$D101+1)*$F101,0),2,IF(Q$5&lt;CFG_CurWeek,3,1)),""))</f>
        <v/>
      </c>
      <c r="R101" s="66" t="str">
        <f aca="false">IF(OR($D101="",$E101=""),"",IF(AND(R$5&gt;=$D101,R$5&lt;=$E101),IF(R$5-$D101+1&lt;=ROUND(($E101-$D101+1)*$F101,0),2,IF(R$5&lt;CFG_CurWeek,3,1)),""))</f>
        <v/>
      </c>
      <c r="S101" s="66" t="str">
        <f aca="false">IF(OR($D101="",$E101=""),"",IF(AND(S$5&gt;=$D101,S$5&lt;=$E101),IF(S$5-$D101+1&lt;=ROUND(($E101-$D101+1)*$F101,0),2,IF(S$5&lt;CFG_CurWeek,3,1)),""))</f>
        <v/>
      </c>
      <c r="T101" s="66" t="str">
        <f aca="false">IF(OR($D101="",$E101=""),"",IF(AND(T$5&gt;=$D101,T$5&lt;=$E101),IF(T$5-$D101+1&lt;=ROUND(($E101-$D101+1)*$F101,0),2,IF(T$5&lt;CFG_CurWeek,3,1)),""))</f>
        <v/>
      </c>
      <c r="U101" s="66" t="str">
        <f aca="false">IF(OR($D101="",$E101=""),"",IF(AND(U$5&gt;=$D101,U$5&lt;=$E101),IF(U$5-$D101+1&lt;=ROUND(($E101-$D101+1)*$F101,0),2,IF(U$5&lt;CFG_CurWeek,3,1)),""))</f>
        <v/>
      </c>
      <c r="V101" s="66" t="str">
        <f aca="false">IF(OR($D101="",$E101=""),"",IF(AND(V$5&gt;=$D101,V$5&lt;=$E101),IF(V$5-$D101+1&lt;=ROUND(($E101-$D101+1)*$F101,0),2,IF(V$5&lt;CFG_CurWeek,3,1)),""))</f>
        <v/>
      </c>
      <c r="W101" s="66" t="str">
        <f aca="false">IF(OR($D101="",$E101=""),"",IF(AND(W$5&gt;=$D101,W$5&lt;=$E101),IF(W$5-$D101+1&lt;=ROUND(($E101-$D101+1)*$F101,0),2,IF(W$5&lt;CFG_CurWeek,3,1)),""))</f>
        <v/>
      </c>
      <c r="X101" s="66" t="str">
        <f aca="false">IF(OR($D101="",$E101=""),"",IF(AND(X$5&gt;=$D101,X$5&lt;=$E101),IF(X$5-$D101+1&lt;=ROUND(($E101-$D101+1)*$F101,0),2,IF(X$5&lt;CFG_CurWeek,3,1)),""))</f>
        <v/>
      </c>
      <c r="Y101" s="66" t="str">
        <f aca="false">IF(OR($D101="",$E101=""),"",IF(AND(Y$5&gt;=$D101,Y$5&lt;=$E101),IF(Y$5-$D101+1&lt;=ROUND(($E101-$D101+1)*$F101,0),2,IF(Y$5&lt;CFG_CurWeek,3,1)),""))</f>
        <v/>
      </c>
      <c r="Z101" s="66" t="str">
        <f aca="false">IF(OR($D101="",$E101=""),"",IF(AND(Z$5&gt;=$D101,Z$5&lt;=$E101),IF(Z$5-$D101+1&lt;=ROUND(($E101-$D101+1)*$F101,0),2,IF(Z$5&lt;CFG_CurWeek,3,1)),""))</f>
        <v/>
      </c>
      <c r="AA101" s="66" t="str">
        <f aca="false">IF(OR($D101="",$E101=""),"",IF(AND(AA$5&gt;=$D101,AA$5&lt;=$E101),IF(AA$5-$D101+1&lt;=ROUND(($E101-$D101+1)*$F101,0),2,IF(AA$5&lt;CFG_CurWeek,3,1)),""))</f>
        <v/>
      </c>
      <c r="AB101" s="66" t="str">
        <f aca="false">IF(OR($D101="",$E101=""),"",IF(AND(AB$5&gt;=$D101,AB$5&lt;=$E101),IF(AB$5-$D101+1&lt;=ROUND(($E101-$D101+1)*$F101,0),2,IF(AB$5&lt;CFG_CurWeek,3,1)),""))</f>
        <v/>
      </c>
      <c r="AC101" s="66" t="str">
        <f aca="false">IF(OR($D101="",$E101=""),"",IF(AND(AC$5&gt;=$D101,AC$5&lt;=$E101),IF(AC$5-$D101+1&lt;=ROUND(($E101-$D101+1)*$F101,0),2,IF(AC$5&lt;CFG_CurWeek,3,1)),""))</f>
        <v/>
      </c>
      <c r="AD101" s="66" t="str">
        <f aca="false">IF(OR($D101="",$E101=""),"",IF(AND(AD$5&gt;=$D101,AD$5&lt;=$E101),IF(AD$5-$D101+1&lt;=ROUND(($E101-$D101+1)*$F101,0),2,IF(AD$5&lt;CFG_CurWeek,3,1)),""))</f>
        <v/>
      </c>
      <c r="AE101" s="66" t="str">
        <f aca="false">IF(OR($D101="",$E101=""),"",IF(AND(AE$5&gt;=$D101,AE$5&lt;=$E101),IF(AE$5-$D101+1&lt;=ROUND(($E101-$D101+1)*$F101,0),2,IF(AE$5&lt;CFG_CurWeek,3,1)),""))</f>
        <v/>
      </c>
      <c r="AF101" s="66" t="str">
        <f aca="false">IF(OR($D101="",$E101=""),"",IF(AND(AF$5&gt;=$D101,AF$5&lt;=$E101),IF(AF$5-$D101+1&lt;=ROUND(($E101-$D101+1)*$F101,0),2,IF(AF$5&lt;CFG_CurWeek,3,1)),""))</f>
        <v/>
      </c>
      <c r="AG101" s="66" t="str">
        <f aca="false">IF(OR($D101="",$E101=""),"",IF(AND(AG$5&gt;=$D101,AG$5&lt;=$E101),IF(AG$5-$D101+1&lt;=ROUND(($E101-$D101+1)*$F101,0),2,IF(AG$5&lt;CFG_CurWeek,3,1)),""))</f>
        <v/>
      </c>
      <c r="AH101" s="66" t="str">
        <f aca="false">IF(OR($D101="",$E101=""),"",IF(AND(AH$5&gt;=$D101,AH$5&lt;=$E101),IF(AH$5-$D101+1&lt;=ROUND(($E101-$D101+1)*$F101,0),2,IF(AH$5&lt;CFG_CurWeek,3,1)),""))</f>
        <v/>
      </c>
      <c r="AI101" s="66" t="str">
        <f aca="false">IF(OR($D101="",$E101=""),"",IF(AND(AI$5&gt;=$D101,AI$5&lt;=$E101),IF(AI$5-$D101+1&lt;=ROUND(($E101-$D101+1)*$F101,0),2,IF(AI$5&lt;CFG_CurWeek,3,1)),""))</f>
        <v/>
      </c>
      <c r="AJ101" s="66" t="str">
        <f aca="false">IF(OR($D101="",$E101=""),"",IF(AND(AJ$5&gt;=$D101,AJ$5&lt;=$E101),IF(AJ$5-$D101+1&lt;=ROUND(($E101-$D101+1)*$F101,0),2,IF(AJ$5&lt;CFG_CurWeek,3,1)),""))</f>
        <v/>
      </c>
      <c r="AK101" s="66" t="str">
        <f aca="false">IF(OR($D101="",$E101=""),"",IF(AND(AK$5&gt;=$D101,AK$5&lt;=$E101),IF(AK$5-$D101+1&lt;=ROUND(($E101-$D101+1)*$F101,0),2,IF(AK$5&lt;CFG_CurWeek,3,1)),""))</f>
        <v/>
      </c>
      <c r="AL101" s="66" t="str">
        <f aca="false">IF(OR($D101="",$E101=""),"",IF(AND(AL$5&gt;=$D101,AL$5&lt;=$E101),IF(AL$5-$D101+1&lt;=ROUND(($E101-$D101+1)*$F101,0),2,IF(AL$5&lt;CFG_CurWeek,3,1)),""))</f>
        <v/>
      </c>
      <c r="AM101" s="66" t="str">
        <f aca="false">IF(OR($D101="",$E101=""),"",IF(AND(AM$5&gt;=$D101,AM$5&lt;=$E101),IF(AM$5-$D101+1&lt;=ROUND(($E101-$D101+1)*$F101,0),2,IF(AM$5&lt;CFG_CurWeek,3,1)),""))</f>
        <v/>
      </c>
      <c r="AN101" s="66" t="str">
        <f aca="false">IF(OR($D101="",$E101=""),"",IF(AND(AN$5&gt;=$D101,AN$5&lt;=$E101),IF(AN$5-$D101+1&lt;=ROUND(($E101-$D101+1)*$F101,0),2,IF(AN$5&lt;CFG_CurWeek,3,1)),""))</f>
        <v/>
      </c>
      <c r="AO101" s="66" t="str">
        <f aca="false">IF(OR($D101="",$E101=""),"",IF(AND(AO$5&gt;=$D101,AO$5&lt;=$E101),IF(AO$5-$D101+1&lt;=ROUND(($E101-$D101+1)*$F101,0),2,IF(AO$5&lt;CFG_CurWeek,3,1)),""))</f>
        <v/>
      </c>
    </row>
    <row r="102" customFormat="false" ht="15" hidden="false" customHeight="false" outlineLevel="0" collapsed="false">
      <c r="A102" s="63" t="str">
        <f aca="false">IF('01_WBS &amp; Master Plan'!A99="","",'01_WBS &amp; Master Plan'!A99)</f>
        <v/>
      </c>
      <c r="B102" s="64" t="str">
        <f aca="false">IF('01_WBS &amp; Master Plan'!D99="","",'01_WBS &amp; Master Plan'!D99)</f>
        <v/>
      </c>
      <c r="C102" s="63" t="str">
        <f aca="false">IF('01_WBS &amp; Master Plan'!E99="","",'01_WBS &amp; Master Plan'!E99)</f>
        <v/>
      </c>
      <c r="D102" s="63" t="str">
        <f aca="false">IF('01_WBS &amp; Master Plan'!H99="","",'01_WBS &amp; Master Plan'!H99)</f>
        <v/>
      </c>
      <c r="E102" s="63" t="str">
        <f aca="false">IF('01_WBS &amp; Master Plan'!I99="","",'01_WBS &amp; Master Plan'!I99)</f>
        <v/>
      </c>
      <c r="F102" s="65" t="str">
        <f aca="false">IF(B102="","",IF('01_WBS &amp; Master Plan'!K99="Done",1,IF('01_WBS &amp; Master Plan'!L99="",0,'01_WBS &amp; Master Plan'!L99)))</f>
        <v/>
      </c>
      <c r="G102" s="63" t="str">
        <f aca="false">IF('01_WBS &amp; Master Plan'!K99="","",'01_WBS &amp; Master Plan'!K99)</f>
        <v/>
      </c>
      <c r="H102" s="66" t="str">
        <f aca="false">IF(OR($D102="",$E102=""),"",IF(AND(H$5&gt;=$D102,H$5&lt;=$E102),IF(H$5-$D102+1&lt;=ROUND(($E102-$D102+1)*$F102,0),2,IF(H$5&lt;CFG_CurWeek,3,1)),""))</f>
        <v/>
      </c>
      <c r="I102" s="66" t="str">
        <f aca="false">IF(OR($D102="",$E102=""),"",IF(AND(I$5&gt;=$D102,I$5&lt;=$E102),IF(I$5-$D102+1&lt;=ROUND(($E102-$D102+1)*$F102,0),2,IF(I$5&lt;CFG_CurWeek,3,1)),""))</f>
        <v/>
      </c>
      <c r="J102" s="66" t="str">
        <f aca="false">IF(OR($D102="",$E102=""),"",IF(AND(J$5&gt;=$D102,J$5&lt;=$E102),IF(J$5-$D102+1&lt;=ROUND(($E102-$D102+1)*$F102,0),2,IF(J$5&lt;CFG_CurWeek,3,1)),""))</f>
        <v/>
      </c>
      <c r="K102" s="66" t="str">
        <f aca="false">IF(OR($D102="",$E102=""),"",IF(AND(K$5&gt;=$D102,K$5&lt;=$E102),IF(K$5-$D102+1&lt;=ROUND(($E102-$D102+1)*$F102,0),2,IF(K$5&lt;CFG_CurWeek,3,1)),""))</f>
        <v/>
      </c>
      <c r="L102" s="66" t="str">
        <f aca="false">IF(OR($D102="",$E102=""),"",IF(AND(L$5&gt;=$D102,L$5&lt;=$E102),IF(L$5-$D102+1&lt;=ROUND(($E102-$D102+1)*$F102,0),2,IF(L$5&lt;CFG_CurWeek,3,1)),""))</f>
        <v/>
      </c>
      <c r="M102" s="66" t="str">
        <f aca="false">IF(OR($D102="",$E102=""),"",IF(AND(M$5&gt;=$D102,M$5&lt;=$E102),IF(M$5-$D102+1&lt;=ROUND(($E102-$D102+1)*$F102,0),2,IF(M$5&lt;CFG_CurWeek,3,1)),""))</f>
        <v/>
      </c>
      <c r="N102" s="66" t="str">
        <f aca="false">IF(OR($D102="",$E102=""),"",IF(AND(N$5&gt;=$D102,N$5&lt;=$E102),IF(N$5-$D102+1&lt;=ROUND(($E102-$D102+1)*$F102,0),2,IF(N$5&lt;CFG_CurWeek,3,1)),""))</f>
        <v/>
      </c>
      <c r="O102" s="66" t="str">
        <f aca="false">IF(OR($D102="",$E102=""),"",IF(AND(O$5&gt;=$D102,O$5&lt;=$E102),IF(O$5-$D102+1&lt;=ROUND(($E102-$D102+1)*$F102,0),2,IF(O$5&lt;CFG_CurWeek,3,1)),""))</f>
        <v/>
      </c>
      <c r="P102" s="66" t="str">
        <f aca="false">IF(OR($D102="",$E102=""),"",IF(AND(P$5&gt;=$D102,P$5&lt;=$E102),IF(P$5-$D102+1&lt;=ROUND(($E102-$D102+1)*$F102,0),2,IF(P$5&lt;CFG_CurWeek,3,1)),""))</f>
        <v/>
      </c>
      <c r="Q102" s="66" t="str">
        <f aca="false">IF(OR($D102="",$E102=""),"",IF(AND(Q$5&gt;=$D102,Q$5&lt;=$E102),IF(Q$5-$D102+1&lt;=ROUND(($E102-$D102+1)*$F102,0),2,IF(Q$5&lt;CFG_CurWeek,3,1)),""))</f>
        <v/>
      </c>
      <c r="R102" s="66" t="str">
        <f aca="false">IF(OR($D102="",$E102=""),"",IF(AND(R$5&gt;=$D102,R$5&lt;=$E102),IF(R$5-$D102+1&lt;=ROUND(($E102-$D102+1)*$F102,0),2,IF(R$5&lt;CFG_CurWeek,3,1)),""))</f>
        <v/>
      </c>
      <c r="S102" s="66" t="str">
        <f aca="false">IF(OR($D102="",$E102=""),"",IF(AND(S$5&gt;=$D102,S$5&lt;=$E102),IF(S$5-$D102+1&lt;=ROUND(($E102-$D102+1)*$F102,0),2,IF(S$5&lt;CFG_CurWeek,3,1)),""))</f>
        <v/>
      </c>
      <c r="T102" s="66" t="str">
        <f aca="false">IF(OR($D102="",$E102=""),"",IF(AND(T$5&gt;=$D102,T$5&lt;=$E102),IF(T$5-$D102+1&lt;=ROUND(($E102-$D102+1)*$F102,0),2,IF(T$5&lt;CFG_CurWeek,3,1)),""))</f>
        <v/>
      </c>
      <c r="U102" s="66" t="str">
        <f aca="false">IF(OR($D102="",$E102=""),"",IF(AND(U$5&gt;=$D102,U$5&lt;=$E102),IF(U$5-$D102+1&lt;=ROUND(($E102-$D102+1)*$F102,0),2,IF(U$5&lt;CFG_CurWeek,3,1)),""))</f>
        <v/>
      </c>
      <c r="V102" s="66" t="str">
        <f aca="false">IF(OR($D102="",$E102=""),"",IF(AND(V$5&gt;=$D102,V$5&lt;=$E102),IF(V$5-$D102+1&lt;=ROUND(($E102-$D102+1)*$F102,0),2,IF(V$5&lt;CFG_CurWeek,3,1)),""))</f>
        <v/>
      </c>
      <c r="W102" s="66" t="str">
        <f aca="false">IF(OR($D102="",$E102=""),"",IF(AND(W$5&gt;=$D102,W$5&lt;=$E102),IF(W$5-$D102+1&lt;=ROUND(($E102-$D102+1)*$F102,0),2,IF(W$5&lt;CFG_CurWeek,3,1)),""))</f>
        <v/>
      </c>
      <c r="X102" s="66" t="str">
        <f aca="false">IF(OR($D102="",$E102=""),"",IF(AND(X$5&gt;=$D102,X$5&lt;=$E102),IF(X$5-$D102+1&lt;=ROUND(($E102-$D102+1)*$F102,0),2,IF(X$5&lt;CFG_CurWeek,3,1)),""))</f>
        <v/>
      </c>
      <c r="Y102" s="66" t="str">
        <f aca="false">IF(OR($D102="",$E102=""),"",IF(AND(Y$5&gt;=$D102,Y$5&lt;=$E102),IF(Y$5-$D102+1&lt;=ROUND(($E102-$D102+1)*$F102,0),2,IF(Y$5&lt;CFG_CurWeek,3,1)),""))</f>
        <v/>
      </c>
      <c r="Z102" s="66" t="str">
        <f aca="false">IF(OR($D102="",$E102=""),"",IF(AND(Z$5&gt;=$D102,Z$5&lt;=$E102),IF(Z$5-$D102+1&lt;=ROUND(($E102-$D102+1)*$F102,0),2,IF(Z$5&lt;CFG_CurWeek,3,1)),""))</f>
        <v/>
      </c>
      <c r="AA102" s="66" t="str">
        <f aca="false">IF(OR($D102="",$E102=""),"",IF(AND(AA$5&gt;=$D102,AA$5&lt;=$E102),IF(AA$5-$D102+1&lt;=ROUND(($E102-$D102+1)*$F102,0),2,IF(AA$5&lt;CFG_CurWeek,3,1)),""))</f>
        <v/>
      </c>
      <c r="AB102" s="66" t="str">
        <f aca="false">IF(OR($D102="",$E102=""),"",IF(AND(AB$5&gt;=$D102,AB$5&lt;=$E102),IF(AB$5-$D102+1&lt;=ROUND(($E102-$D102+1)*$F102,0),2,IF(AB$5&lt;CFG_CurWeek,3,1)),""))</f>
        <v/>
      </c>
      <c r="AC102" s="66" t="str">
        <f aca="false">IF(OR($D102="",$E102=""),"",IF(AND(AC$5&gt;=$D102,AC$5&lt;=$E102),IF(AC$5-$D102+1&lt;=ROUND(($E102-$D102+1)*$F102,0),2,IF(AC$5&lt;CFG_CurWeek,3,1)),""))</f>
        <v/>
      </c>
      <c r="AD102" s="66" t="str">
        <f aca="false">IF(OR($D102="",$E102=""),"",IF(AND(AD$5&gt;=$D102,AD$5&lt;=$E102),IF(AD$5-$D102+1&lt;=ROUND(($E102-$D102+1)*$F102,0),2,IF(AD$5&lt;CFG_CurWeek,3,1)),""))</f>
        <v/>
      </c>
      <c r="AE102" s="66" t="str">
        <f aca="false">IF(OR($D102="",$E102=""),"",IF(AND(AE$5&gt;=$D102,AE$5&lt;=$E102),IF(AE$5-$D102+1&lt;=ROUND(($E102-$D102+1)*$F102,0),2,IF(AE$5&lt;CFG_CurWeek,3,1)),""))</f>
        <v/>
      </c>
      <c r="AF102" s="66" t="str">
        <f aca="false">IF(OR($D102="",$E102=""),"",IF(AND(AF$5&gt;=$D102,AF$5&lt;=$E102),IF(AF$5-$D102+1&lt;=ROUND(($E102-$D102+1)*$F102,0),2,IF(AF$5&lt;CFG_CurWeek,3,1)),""))</f>
        <v/>
      </c>
      <c r="AG102" s="66" t="str">
        <f aca="false">IF(OR($D102="",$E102=""),"",IF(AND(AG$5&gt;=$D102,AG$5&lt;=$E102),IF(AG$5-$D102+1&lt;=ROUND(($E102-$D102+1)*$F102,0),2,IF(AG$5&lt;CFG_CurWeek,3,1)),""))</f>
        <v/>
      </c>
      <c r="AH102" s="66" t="str">
        <f aca="false">IF(OR($D102="",$E102=""),"",IF(AND(AH$5&gt;=$D102,AH$5&lt;=$E102),IF(AH$5-$D102+1&lt;=ROUND(($E102-$D102+1)*$F102,0),2,IF(AH$5&lt;CFG_CurWeek,3,1)),""))</f>
        <v/>
      </c>
      <c r="AI102" s="66" t="str">
        <f aca="false">IF(OR($D102="",$E102=""),"",IF(AND(AI$5&gt;=$D102,AI$5&lt;=$E102),IF(AI$5-$D102+1&lt;=ROUND(($E102-$D102+1)*$F102,0),2,IF(AI$5&lt;CFG_CurWeek,3,1)),""))</f>
        <v/>
      </c>
      <c r="AJ102" s="66" t="str">
        <f aca="false">IF(OR($D102="",$E102=""),"",IF(AND(AJ$5&gt;=$D102,AJ$5&lt;=$E102),IF(AJ$5-$D102+1&lt;=ROUND(($E102-$D102+1)*$F102,0),2,IF(AJ$5&lt;CFG_CurWeek,3,1)),""))</f>
        <v/>
      </c>
      <c r="AK102" s="66" t="str">
        <f aca="false">IF(OR($D102="",$E102=""),"",IF(AND(AK$5&gt;=$D102,AK$5&lt;=$E102),IF(AK$5-$D102+1&lt;=ROUND(($E102-$D102+1)*$F102,0),2,IF(AK$5&lt;CFG_CurWeek,3,1)),""))</f>
        <v/>
      </c>
      <c r="AL102" s="66" t="str">
        <f aca="false">IF(OR($D102="",$E102=""),"",IF(AND(AL$5&gt;=$D102,AL$5&lt;=$E102),IF(AL$5-$D102+1&lt;=ROUND(($E102-$D102+1)*$F102,0),2,IF(AL$5&lt;CFG_CurWeek,3,1)),""))</f>
        <v/>
      </c>
      <c r="AM102" s="66" t="str">
        <f aca="false">IF(OR($D102="",$E102=""),"",IF(AND(AM$5&gt;=$D102,AM$5&lt;=$E102),IF(AM$5-$D102+1&lt;=ROUND(($E102-$D102+1)*$F102,0),2,IF(AM$5&lt;CFG_CurWeek,3,1)),""))</f>
        <v/>
      </c>
      <c r="AN102" s="66" t="str">
        <f aca="false">IF(OR($D102="",$E102=""),"",IF(AND(AN$5&gt;=$D102,AN$5&lt;=$E102),IF(AN$5-$D102+1&lt;=ROUND(($E102-$D102+1)*$F102,0),2,IF(AN$5&lt;CFG_CurWeek,3,1)),""))</f>
        <v/>
      </c>
      <c r="AO102" s="66" t="str">
        <f aca="false">IF(OR($D102="",$E102=""),"",IF(AND(AO$5&gt;=$D102,AO$5&lt;=$E102),IF(AO$5-$D102+1&lt;=ROUND(($E102-$D102+1)*$F102,0),2,IF(AO$5&lt;CFG_CurWeek,3,1)),""))</f>
        <v/>
      </c>
    </row>
    <row r="103" customFormat="false" ht="15" hidden="false" customHeight="false" outlineLevel="0" collapsed="false">
      <c r="A103" s="63" t="str">
        <f aca="false">IF('01_WBS &amp; Master Plan'!A100="","",'01_WBS &amp; Master Plan'!A100)</f>
        <v/>
      </c>
      <c r="B103" s="64" t="str">
        <f aca="false">IF('01_WBS &amp; Master Plan'!D100="","",'01_WBS &amp; Master Plan'!D100)</f>
        <v/>
      </c>
      <c r="C103" s="63" t="str">
        <f aca="false">IF('01_WBS &amp; Master Plan'!E100="","",'01_WBS &amp; Master Plan'!E100)</f>
        <v/>
      </c>
      <c r="D103" s="63" t="str">
        <f aca="false">IF('01_WBS &amp; Master Plan'!H100="","",'01_WBS &amp; Master Plan'!H100)</f>
        <v/>
      </c>
      <c r="E103" s="63" t="str">
        <f aca="false">IF('01_WBS &amp; Master Plan'!I100="","",'01_WBS &amp; Master Plan'!I100)</f>
        <v/>
      </c>
      <c r="F103" s="65" t="str">
        <f aca="false">IF(B103="","",IF('01_WBS &amp; Master Plan'!K100="Done",1,IF('01_WBS &amp; Master Plan'!L100="",0,'01_WBS &amp; Master Plan'!L100)))</f>
        <v/>
      </c>
      <c r="G103" s="63" t="str">
        <f aca="false">IF('01_WBS &amp; Master Plan'!K100="","",'01_WBS &amp; Master Plan'!K100)</f>
        <v/>
      </c>
      <c r="H103" s="66" t="str">
        <f aca="false">IF(OR($D103="",$E103=""),"",IF(AND(H$5&gt;=$D103,H$5&lt;=$E103),IF(H$5-$D103+1&lt;=ROUND(($E103-$D103+1)*$F103,0),2,IF(H$5&lt;CFG_CurWeek,3,1)),""))</f>
        <v/>
      </c>
      <c r="I103" s="66" t="str">
        <f aca="false">IF(OR($D103="",$E103=""),"",IF(AND(I$5&gt;=$D103,I$5&lt;=$E103),IF(I$5-$D103+1&lt;=ROUND(($E103-$D103+1)*$F103,0),2,IF(I$5&lt;CFG_CurWeek,3,1)),""))</f>
        <v/>
      </c>
      <c r="J103" s="66" t="str">
        <f aca="false">IF(OR($D103="",$E103=""),"",IF(AND(J$5&gt;=$D103,J$5&lt;=$E103),IF(J$5-$D103+1&lt;=ROUND(($E103-$D103+1)*$F103,0),2,IF(J$5&lt;CFG_CurWeek,3,1)),""))</f>
        <v/>
      </c>
      <c r="K103" s="66" t="str">
        <f aca="false">IF(OR($D103="",$E103=""),"",IF(AND(K$5&gt;=$D103,K$5&lt;=$E103),IF(K$5-$D103+1&lt;=ROUND(($E103-$D103+1)*$F103,0),2,IF(K$5&lt;CFG_CurWeek,3,1)),""))</f>
        <v/>
      </c>
      <c r="L103" s="66" t="str">
        <f aca="false">IF(OR($D103="",$E103=""),"",IF(AND(L$5&gt;=$D103,L$5&lt;=$E103),IF(L$5-$D103+1&lt;=ROUND(($E103-$D103+1)*$F103,0),2,IF(L$5&lt;CFG_CurWeek,3,1)),""))</f>
        <v/>
      </c>
      <c r="M103" s="66" t="str">
        <f aca="false">IF(OR($D103="",$E103=""),"",IF(AND(M$5&gt;=$D103,M$5&lt;=$E103),IF(M$5-$D103+1&lt;=ROUND(($E103-$D103+1)*$F103,0),2,IF(M$5&lt;CFG_CurWeek,3,1)),""))</f>
        <v/>
      </c>
      <c r="N103" s="66" t="str">
        <f aca="false">IF(OR($D103="",$E103=""),"",IF(AND(N$5&gt;=$D103,N$5&lt;=$E103),IF(N$5-$D103+1&lt;=ROUND(($E103-$D103+1)*$F103,0),2,IF(N$5&lt;CFG_CurWeek,3,1)),""))</f>
        <v/>
      </c>
      <c r="O103" s="66" t="str">
        <f aca="false">IF(OR($D103="",$E103=""),"",IF(AND(O$5&gt;=$D103,O$5&lt;=$E103),IF(O$5-$D103+1&lt;=ROUND(($E103-$D103+1)*$F103,0),2,IF(O$5&lt;CFG_CurWeek,3,1)),""))</f>
        <v/>
      </c>
      <c r="P103" s="66" t="str">
        <f aca="false">IF(OR($D103="",$E103=""),"",IF(AND(P$5&gt;=$D103,P$5&lt;=$E103),IF(P$5-$D103+1&lt;=ROUND(($E103-$D103+1)*$F103,0),2,IF(P$5&lt;CFG_CurWeek,3,1)),""))</f>
        <v/>
      </c>
      <c r="Q103" s="66" t="str">
        <f aca="false">IF(OR($D103="",$E103=""),"",IF(AND(Q$5&gt;=$D103,Q$5&lt;=$E103),IF(Q$5-$D103+1&lt;=ROUND(($E103-$D103+1)*$F103,0),2,IF(Q$5&lt;CFG_CurWeek,3,1)),""))</f>
        <v/>
      </c>
      <c r="R103" s="66" t="str">
        <f aca="false">IF(OR($D103="",$E103=""),"",IF(AND(R$5&gt;=$D103,R$5&lt;=$E103),IF(R$5-$D103+1&lt;=ROUND(($E103-$D103+1)*$F103,0),2,IF(R$5&lt;CFG_CurWeek,3,1)),""))</f>
        <v/>
      </c>
      <c r="S103" s="66" t="str">
        <f aca="false">IF(OR($D103="",$E103=""),"",IF(AND(S$5&gt;=$D103,S$5&lt;=$E103),IF(S$5-$D103+1&lt;=ROUND(($E103-$D103+1)*$F103,0),2,IF(S$5&lt;CFG_CurWeek,3,1)),""))</f>
        <v/>
      </c>
      <c r="T103" s="66" t="str">
        <f aca="false">IF(OR($D103="",$E103=""),"",IF(AND(T$5&gt;=$D103,T$5&lt;=$E103),IF(T$5-$D103+1&lt;=ROUND(($E103-$D103+1)*$F103,0),2,IF(T$5&lt;CFG_CurWeek,3,1)),""))</f>
        <v/>
      </c>
      <c r="U103" s="66" t="str">
        <f aca="false">IF(OR($D103="",$E103=""),"",IF(AND(U$5&gt;=$D103,U$5&lt;=$E103),IF(U$5-$D103+1&lt;=ROUND(($E103-$D103+1)*$F103,0),2,IF(U$5&lt;CFG_CurWeek,3,1)),""))</f>
        <v/>
      </c>
      <c r="V103" s="66" t="str">
        <f aca="false">IF(OR($D103="",$E103=""),"",IF(AND(V$5&gt;=$D103,V$5&lt;=$E103),IF(V$5-$D103+1&lt;=ROUND(($E103-$D103+1)*$F103,0),2,IF(V$5&lt;CFG_CurWeek,3,1)),""))</f>
        <v/>
      </c>
      <c r="W103" s="66" t="str">
        <f aca="false">IF(OR($D103="",$E103=""),"",IF(AND(W$5&gt;=$D103,W$5&lt;=$E103),IF(W$5-$D103+1&lt;=ROUND(($E103-$D103+1)*$F103,0),2,IF(W$5&lt;CFG_CurWeek,3,1)),""))</f>
        <v/>
      </c>
      <c r="X103" s="66" t="str">
        <f aca="false">IF(OR($D103="",$E103=""),"",IF(AND(X$5&gt;=$D103,X$5&lt;=$E103),IF(X$5-$D103+1&lt;=ROUND(($E103-$D103+1)*$F103,0),2,IF(X$5&lt;CFG_CurWeek,3,1)),""))</f>
        <v/>
      </c>
      <c r="Y103" s="66" t="str">
        <f aca="false">IF(OR($D103="",$E103=""),"",IF(AND(Y$5&gt;=$D103,Y$5&lt;=$E103),IF(Y$5-$D103+1&lt;=ROUND(($E103-$D103+1)*$F103,0),2,IF(Y$5&lt;CFG_CurWeek,3,1)),""))</f>
        <v/>
      </c>
      <c r="Z103" s="66" t="str">
        <f aca="false">IF(OR($D103="",$E103=""),"",IF(AND(Z$5&gt;=$D103,Z$5&lt;=$E103),IF(Z$5-$D103+1&lt;=ROUND(($E103-$D103+1)*$F103,0),2,IF(Z$5&lt;CFG_CurWeek,3,1)),""))</f>
        <v/>
      </c>
      <c r="AA103" s="66" t="str">
        <f aca="false">IF(OR($D103="",$E103=""),"",IF(AND(AA$5&gt;=$D103,AA$5&lt;=$E103),IF(AA$5-$D103+1&lt;=ROUND(($E103-$D103+1)*$F103,0),2,IF(AA$5&lt;CFG_CurWeek,3,1)),""))</f>
        <v/>
      </c>
      <c r="AB103" s="66" t="str">
        <f aca="false">IF(OR($D103="",$E103=""),"",IF(AND(AB$5&gt;=$D103,AB$5&lt;=$E103),IF(AB$5-$D103+1&lt;=ROUND(($E103-$D103+1)*$F103,0),2,IF(AB$5&lt;CFG_CurWeek,3,1)),""))</f>
        <v/>
      </c>
      <c r="AC103" s="66" t="str">
        <f aca="false">IF(OR($D103="",$E103=""),"",IF(AND(AC$5&gt;=$D103,AC$5&lt;=$E103),IF(AC$5-$D103+1&lt;=ROUND(($E103-$D103+1)*$F103,0),2,IF(AC$5&lt;CFG_CurWeek,3,1)),""))</f>
        <v/>
      </c>
      <c r="AD103" s="66" t="str">
        <f aca="false">IF(OR($D103="",$E103=""),"",IF(AND(AD$5&gt;=$D103,AD$5&lt;=$E103),IF(AD$5-$D103+1&lt;=ROUND(($E103-$D103+1)*$F103,0),2,IF(AD$5&lt;CFG_CurWeek,3,1)),""))</f>
        <v/>
      </c>
      <c r="AE103" s="66" t="str">
        <f aca="false">IF(OR($D103="",$E103=""),"",IF(AND(AE$5&gt;=$D103,AE$5&lt;=$E103),IF(AE$5-$D103+1&lt;=ROUND(($E103-$D103+1)*$F103,0),2,IF(AE$5&lt;CFG_CurWeek,3,1)),""))</f>
        <v/>
      </c>
      <c r="AF103" s="66" t="str">
        <f aca="false">IF(OR($D103="",$E103=""),"",IF(AND(AF$5&gt;=$D103,AF$5&lt;=$E103),IF(AF$5-$D103+1&lt;=ROUND(($E103-$D103+1)*$F103,0),2,IF(AF$5&lt;CFG_CurWeek,3,1)),""))</f>
        <v/>
      </c>
      <c r="AG103" s="66" t="str">
        <f aca="false">IF(OR($D103="",$E103=""),"",IF(AND(AG$5&gt;=$D103,AG$5&lt;=$E103),IF(AG$5-$D103+1&lt;=ROUND(($E103-$D103+1)*$F103,0),2,IF(AG$5&lt;CFG_CurWeek,3,1)),""))</f>
        <v/>
      </c>
      <c r="AH103" s="66" t="str">
        <f aca="false">IF(OR($D103="",$E103=""),"",IF(AND(AH$5&gt;=$D103,AH$5&lt;=$E103),IF(AH$5-$D103+1&lt;=ROUND(($E103-$D103+1)*$F103,0),2,IF(AH$5&lt;CFG_CurWeek,3,1)),""))</f>
        <v/>
      </c>
      <c r="AI103" s="66" t="str">
        <f aca="false">IF(OR($D103="",$E103=""),"",IF(AND(AI$5&gt;=$D103,AI$5&lt;=$E103),IF(AI$5-$D103+1&lt;=ROUND(($E103-$D103+1)*$F103,0),2,IF(AI$5&lt;CFG_CurWeek,3,1)),""))</f>
        <v/>
      </c>
      <c r="AJ103" s="66" t="str">
        <f aca="false">IF(OR($D103="",$E103=""),"",IF(AND(AJ$5&gt;=$D103,AJ$5&lt;=$E103),IF(AJ$5-$D103+1&lt;=ROUND(($E103-$D103+1)*$F103,0),2,IF(AJ$5&lt;CFG_CurWeek,3,1)),""))</f>
        <v/>
      </c>
      <c r="AK103" s="66" t="str">
        <f aca="false">IF(OR($D103="",$E103=""),"",IF(AND(AK$5&gt;=$D103,AK$5&lt;=$E103),IF(AK$5-$D103+1&lt;=ROUND(($E103-$D103+1)*$F103,0),2,IF(AK$5&lt;CFG_CurWeek,3,1)),""))</f>
        <v/>
      </c>
      <c r="AL103" s="66" t="str">
        <f aca="false">IF(OR($D103="",$E103=""),"",IF(AND(AL$5&gt;=$D103,AL$5&lt;=$E103),IF(AL$5-$D103+1&lt;=ROUND(($E103-$D103+1)*$F103,0),2,IF(AL$5&lt;CFG_CurWeek,3,1)),""))</f>
        <v/>
      </c>
      <c r="AM103" s="66" t="str">
        <f aca="false">IF(OR($D103="",$E103=""),"",IF(AND(AM$5&gt;=$D103,AM$5&lt;=$E103),IF(AM$5-$D103+1&lt;=ROUND(($E103-$D103+1)*$F103,0),2,IF(AM$5&lt;CFG_CurWeek,3,1)),""))</f>
        <v/>
      </c>
      <c r="AN103" s="66" t="str">
        <f aca="false">IF(OR($D103="",$E103=""),"",IF(AND(AN$5&gt;=$D103,AN$5&lt;=$E103),IF(AN$5-$D103+1&lt;=ROUND(($E103-$D103+1)*$F103,0),2,IF(AN$5&lt;CFG_CurWeek,3,1)),""))</f>
        <v/>
      </c>
      <c r="AO103" s="66" t="str">
        <f aca="false">IF(OR($D103="",$E103=""),"",IF(AND(AO$5&gt;=$D103,AO$5&lt;=$E103),IF(AO$5-$D103+1&lt;=ROUND(($E103-$D103+1)*$F103,0),2,IF(AO$5&lt;CFG_CurWeek,3,1)),""))</f>
        <v/>
      </c>
    </row>
    <row r="104" customFormat="false" ht="15" hidden="false" customHeight="false" outlineLevel="0" collapsed="false">
      <c r="A104" s="63" t="str">
        <f aca="false">IF('01_WBS &amp; Master Plan'!A101="","",'01_WBS &amp; Master Plan'!A101)</f>
        <v/>
      </c>
      <c r="B104" s="64" t="str">
        <f aca="false">IF('01_WBS &amp; Master Plan'!D101="","",'01_WBS &amp; Master Plan'!D101)</f>
        <v/>
      </c>
      <c r="C104" s="63" t="str">
        <f aca="false">IF('01_WBS &amp; Master Plan'!E101="","",'01_WBS &amp; Master Plan'!E101)</f>
        <v/>
      </c>
      <c r="D104" s="63" t="str">
        <f aca="false">IF('01_WBS &amp; Master Plan'!H101="","",'01_WBS &amp; Master Plan'!H101)</f>
        <v/>
      </c>
      <c r="E104" s="63" t="str">
        <f aca="false">IF('01_WBS &amp; Master Plan'!I101="","",'01_WBS &amp; Master Plan'!I101)</f>
        <v/>
      </c>
      <c r="F104" s="65" t="str">
        <f aca="false">IF(B104="","",IF('01_WBS &amp; Master Plan'!K101="Done",1,IF('01_WBS &amp; Master Plan'!L101="",0,'01_WBS &amp; Master Plan'!L101)))</f>
        <v/>
      </c>
      <c r="G104" s="63" t="str">
        <f aca="false">IF('01_WBS &amp; Master Plan'!K101="","",'01_WBS &amp; Master Plan'!K101)</f>
        <v/>
      </c>
      <c r="H104" s="66" t="str">
        <f aca="false">IF(OR($D104="",$E104=""),"",IF(AND(H$5&gt;=$D104,H$5&lt;=$E104),IF(H$5-$D104+1&lt;=ROUND(($E104-$D104+1)*$F104,0),2,IF(H$5&lt;CFG_CurWeek,3,1)),""))</f>
        <v/>
      </c>
      <c r="I104" s="66" t="str">
        <f aca="false">IF(OR($D104="",$E104=""),"",IF(AND(I$5&gt;=$D104,I$5&lt;=$E104),IF(I$5-$D104+1&lt;=ROUND(($E104-$D104+1)*$F104,0),2,IF(I$5&lt;CFG_CurWeek,3,1)),""))</f>
        <v/>
      </c>
      <c r="J104" s="66" t="str">
        <f aca="false">IF(OR($D104="",$E104=""),"",IF(AND(J$5&gt;=$D104,J$5&lt;=$E104),IF(J$5-$D104+1&lt;=ROUND(($E104-$D104+1)*$F104,0),2,IF(J$5&lt;CFG_CurWeek,3,1)),""))</f>
        <v/>
      </c>
      <c r="K104" s="66" t="str">
        <f aca="false">IF(OR($D104="",$E104=""),"",IF(AND(K$5&gt;=$D104,K$5&lt;=$E104),IF(K$5-$D104+1&lt;=ROUND(($E104-$D104+1)*$F104,0),2,IF(K$5&lt;CFG_CurWeek,3,1)),""))</f>
        <v/>
      </c>
      <c r="L104" s="66" t="str">
        <f aca="false">IF(OR($D104="",$E104=""),"",IF(AND(L$5&gt;=$D104,L$5&lt;=$E104),IF(L$5-$D104+1&lt;=ROUND(($E104-$D104+1)*$F104,0),2,IF(L$5&lt;CFG_CurWeek,3,1)),""))</f>
        <v/>
      </c>
      <c r="M104" s="66" t="str">
        <f aca="false">IF(OR($D104="",$E104=""),"",IF(AND(M$5&gt;=$D104,M$5&lt;=$E104),IF(M$5-$D104+1&lt;=ROUND(($E104-$D104+1)*$F104,0),2,IF(M$5&lt;CFG_CurWeek,3,1)),""))</f>
        <v/>
      </c>
      <c r="N104" s="66" t="str">
        <f aca="false">IF(OR($D104="",$E104=""),"",IF(AND(N$5&gt;=$D104,N$5&lt;=$E104),IF(N$5-$D104+1&lt;=ROUND(($E104-$D104+1)*$F104,0),2,IF(N$5&lt;CFG_CurWeek,3,1)),""))</f>
        <v/>
      </c>
      <c r="O104" s="66" t="str">
        <f aca="false">IF(OR($D104="",$E104=""),"",IF(AND(O$5&gt;=$D104,O$5&lt;=$E104),IF(O$5-$D104+1&lt;=ROUND(($E104-$D104+1)*$F104,0),2,IF(O$5&lt;CFG_CurWeek,3,1)),""))</f>
        <v/>
      </c>
      <c r="P104" s="66" t="str">
        <f aca="false">IF(OR($D104="",$E104=""),"",IF(AND(P$5&gt;=$D104,P$5&lt;=$E104),IF(P$5-$D104+1&lt;=ROUND(($E104-$D104+1)*$F104,0),2,IF(P$5&lt;CFG_CurWeek,3,1)),""))</f>
        <v/>
      </c>
      <c r="Q104" s="66" t="str">
        <f aca="false">IF(OR($D104="",$E104=""),"",IF(AND(Q$5&gt;=$D104,Q$5&lt;=$E104),IF(Q$5-$D104+1&lt;=ROUND(($E104-$D104+1)*$F104,0),2,IF(Q$5&lt;CFG_CurWeek,3,1)),""))</f>
        <v/>
      </c>
      <c r="R104" s="66" t="str">
        <f aca="false">IF(OR($D104="",$E104=""),"",IF(AND(R$5&gt;=$D104,R$5&lt;=$E104),IF(R$5-$D104+1&lt;=ROUND(($E104-$D104+1)*$F104,0),2,IF(R$5&lt;CFG_CurWeek,3,1)),""))</f>
        <v/>
      </c>
      <c r="S104" s="66" t="str">
        <f aca="false">IF(OR($D104="",$E104=""),"",IF(AND(S$5&gt;=$D104,S$5&lt;=$E104),IF(S$5-$D104+1&lt;=ROUND(($E104-$D104+1)*$F104,0),2,IF(S$5&lt;CFG_CurWeek,3,1)),""))</f>
        <v/>
      </c>
      <c r="T104" s="66" t="str">
        <f aca="false">IF(OR($D104="",$E104=""),"",IF(AND(T$5&gt;=$D104,T$5&lt;=$E104),IF(T$5-$D104+1&lt;=ROUND(($E104-$D104+1)*$F104,0),2,IF(T$5&lt;CFG_CurWeek,3,1)),""))</f>
        <v/>
      </c>
      <c r="U104" s="66" t="str">
        <f aca="false">IF(OR($D104="",$E104=""),"",IF(AND(U$5&gt;=$D104,U$5&lt;=$E104),IF(U$5-$D104+1&lt;=ROUND(($E104-$D104+1)*$F104,0),2,IF(U$5&lt;CFG_CurWeek,3,1)),""))</f>
        <v/>
      </c>
      <c r="V104" s="66" t="str">
        <f aca="false">IF(OR($D104="",$E104=""),"",IF(AND(V$5&gt;=$D104,V$5&lt;=$E104),IF(V$5-$D104+1&lt;=ROUND(($E104-$D104+1)*$F104,0),2,IF(V$5&lt;CFG_CurWeek,3,1)),""))</f>
        <v/>
      </c>
      <c r="W104" s="66" t="str">
        <f aca="false">IF(OR($D104="",$E104=""),"",IF(AND(W$5&gt;=$D104,W$5&lt;=$E104),IF(W$5-$D104+1&lt;=ROUND(($E104-$D104+1)*$F104,0),2,IF(W$5&lt;CFG_CurWeek,3,1)),""))</f>
        <v/>
      </c>
      <c r="X104" s="66" t="str">
        <f aca="false">IF(OR($D104="",$E104=""),"",IF(AND(X$5&gt;=$D104,X$5&lt;=$E104),IF(X$5-$D104+1&lt;=ROUND(($E104-$D104+1)*$F104,0),2,IF(X$5&lt;CFG_CurWeek,3,1)),""))</f>
        <v/>
      </c>
      <c r="Y104" s="66" t="str">
        <f aca="false">IF(OR($D104="",$E104=""),"",IF(AND(Y$5&gt;=$D104,Y$5&lt;=$E104),IF(Y$5-$D104+1&lt;=ROUND(($E104-$D104+1)*$F104,0),2,IF(Y$5&lt;CFG_CurWeek,3,1)),""))</f>
        <v/>
      </c>
      <c r="Z104" s="66" t="str">
        <f aca="false">IF(OR($D104="",$E104=""),"",IF(AND(Z$5&gt;=$D104,Z$5&lt;=$E104),IF(Z$5-$D104+1&lt;=ROUND(($E104-$D104+1)*$F104,0),2,IF(Z$5&lt;CFG_CurWeek,3,1)),""))</f>
        <v/>
      </c>
      <c r="AA104" s="66" t="str">
        <f aca="false">IF(OR($D104="",$E104=""),"",IF(AND(AA$5&gt;=$D104,AA$5&lt;=$E104),IF(AA$5-$D104+1&lt;=ROUND(($E104-$D104+1)*$F104,0),2,IF(AA$5&lt;CFG_CurWeek,3,1)),""))</f>
        <v/>
      </c>
      <c r="AB104" s="66" t="str">
        <f aca="false">IF(OR($D104="",$E104=""),"",IF(AND(AB$5&gt;=$D104,AB$5&lt;=$E104),IF(AB$5-$D104+1&lt;=ROUND(($E104-$D104+1)*$F104,0),2,IF(AB$5&lt;CFG_CurWeek,3,1)),""))</f>
        <v/>
      </c>
      <c r="AC104" s="66" t="str">
        <f aca="false">IF(OR($D104="",$E104=""),"",IF(AND(AC$5&gt;=$D104,AC$5&lt;=$E104),IF(AC$5-$D104+1&lt;=ROUND(($E104-$D104+1)*$F104,0),2,IF(AC$5&lt;CFG_CurWeek,3,1)),""))</f>
        <v/>
      </c>
      <c r="AD104" s="66" t="str">
        <f aca="false">IF(OR($D104="",$E104=""),"",IF(AND(AD$5&gt;=$D104,AD$5&lt;=$E104),IF(AD$5-$D104+1&lt;=ROUND(($E104-$D104+1)*$F104,0),2,IF(AD$5&lt;CFG_CurWeek,3,1)),""))</f>
        <v/>
      </c>
      <c r="AE104" s="66" t="str">
        <f aca="false">IF(OR($D104="",$E104=""),"",IF(AND(AE$5&gt;=$D104,AE$5&lt;=$E104),IF(AE$5-$D104+1&lt;=ROUND(($E104-$D104+1)*$F104,0),2,IF(AE$5&lt;CFG_CurWeek,3,1)),""))</f>
        <v/>
      </c>
      <c r="AF104" s="66" t="str">
        <f aca="false">IF(OR($D104="",$E104=""),"",IF(AND(AF$5&gt;=$D104,AF$5&lt;=$E104),IF(AF$5-$D104+1&lt;=ROUND(($E104-$D104+1)*$F104,0),2,IF(AF$5&lt;CFG_CurWeek,3,1)),""))</f>
        <v/>
      </c>
      <c r="AG104" s="66" t="str">
        <f aca="false">IF(OR($D104="",$E104=""),"",IF(AND(AG$5&gt;=$D104,AG$5&lt;=$E104),IF(AG$5-$D104+1&lt;=ROUND(($E104-$D104+1)*$F104,0),2,IF(AG$5&lt;CFG_CurWeek,3,1)),""))</f>
        <v/>
      </c>
      <c r="AH104" s="66" t="str">
        <f aca="false">IF(OR($D104="",$E104=""),"",IF(AND(AH$5&gt;=$D104,AH$5&lt;=$E104),IF(AH$5-$D104+1&lt;=ROUND(($E104-$D104+1)*$F104,0),2,IF(AH$5&lt;CFG_CurWeek,3,1)),""))</f>
        <v/>
      </c>
      <c r="AI104" s="66" t="str">
        <f aca="false">IF(OR($D104="",$E104=""),"",IF(AND(AI$5&gt;=$D104,AI$5&lt;=$E104),IF(AI$5-$D104+1&lt;=ROUND(($E104-$D104+1)*$F104,0),2,IF(AI$5&lt;CFG_CurWeek,3,1)),""))</f>
        <v/>
      </c>
      <c r="AJ104" s="66" t="str">
        <f aca="false">IF(OR($D104="",$E104=""),"",IF(AND(AJ$5&gt;=$D104,AJ$5&lt;=$E104),IF(AJ$5-$D104+1&lt;=ROUND(($E104-$D104+1)*$F104,0),2,IF(AJ$5&lt;CFG_CurWeek,3,1)),""))</f>
        <v/>
      </c>
      <c r="AK104" s="66" t="str">
        <f aca="false">IF(OR($D104="",$E104=""),"",IF(AND(AK$5&gt;=$D104,AK$5&lt;=$E104),IF(AK$5-$D104+1&lt;=ROUND(($E104-$D104+1)*$F104,0),2,IF(AK$5&lt;CFG_CurWeek,3,1)),""))</f>
        <v/>
      </c>
      <c r="AL104" s="66" t="str">
        <f aca="false">IF(OR($D104="",$E104=""),"",IF(AND(AL$5&gt;=$D104,AL$5&lt;=$E104),IF(AL$5-$D104+1&lt;=ROUND(($E104-$D104+1)*$F104,0),2,IF(AL$5&lt;CFG_CurWeek,3,1)),""))</f>
        <v/>
      </c>
      <c r="AM104" s="66" t="str">
        <f aca="false">IF(OR($D104="",$E104=""),"",IF(AND(AM$5&gt;=$D104,AM$5&lt;=$E104),IF(AM$5-$D104+1&lt;=ROUND(($E104-$D104+1)*$F104,0),2,IF(AM$5&lt;CFG_CurWeek,3,1)),""))</f>
        <v/>
      </c>
      <c r="AN104" s="66" t="str">
        <f aca="false">IF(OR($D104="",$E104=""),"",IF(AND(AN$5&gt;=$D104,AN$5&lt;=$E104),IF(AN$5-$D104+1&lt;=ROUND(($E104-$D104+1)*$F104,0),2,IF(AN$5&lt;CFG_CurWeek,3,1)),""))</f>
        <v/>
      </c>
      <c r="AO104" s="66" t="str">
        <f aca="false">IF(OR($D104="",$E104=""),"",IF(AND(AO$5&gt;=$D104,AO$5&lt;=$E104),IF(AO$5-$D104+1&lt;=ROUND(($E104-$D104+1)*$F104,0),2,IF(AO$5&lt;CFG_CurWeek,3,1)),""))</f>
        <v/>
      </c>
    </row>
    <row r="105" customFormat="false" ht="15" hidden="false" customHeight="false" outlineLevel="0" collapsed="false">
      <c r="A105" s="63" t="str">
        <f aca="false">IF('01_WBS &amp; Master Plan'!A102="","",'01_WBS &amp; Master Plan'!A102)</f>
        <v/>
      </c>
      <c r="B105" s="64" t="str">
        <f aca="false">IF('01_WBS &amp; Master Plan'!D102="","",'01_WBS &amp; Master Plan'!D102)</f>
        <v/>
      </c>
      <c r="C105" s="63" t="str">
        <f aca="false">IF('01_WBS &amp; Master Plan'!E102="","",'01_WBS &amp; Master Plan'!E102)</f>
        <v/>
      </c>
      <c r="D105" s="63" t="str">
        <f aca="false">IF('01_WBS &amp; Master Plan'!H102="","",'01_WBS &amp; Master Plan'!H102)</f>
        <v/>
      </c>
      <c r="E105" s="63" t="str">
        <f aca="false">IF('01_WBS &amp; Master Plan'!I102="","",'01_WBS &amp; Master Plan'!I102)</f>
        <v/>
      </c>
      <c r="F105" s="65" t="str">
        <f aca="false">IF(B105="","",IF('01_WBS &amp; Master Plan'!K102="Done",1,IF('01_WBS &amp; Master Plan'!L102="",0,'01_WBS &amp; Master Plan'!L102)))</f>
        <v/>
      </c>
      <c r="G105" s="63" t="str">
        <f aca="false">IF('01_WBS &amp; Master Plan'!K102="","",'01_WBS &amp; Master Plan'!K102)</f>
        <v/>
      </c>
      <c r="H105" s="66" t="str">
        <f aca="false">IF(OR($D105="",$E105=""),"",IF(AND(H$5&gt;=$D105,H$5&lt;=$E105),IF(H$5-$D105+1&lt;=ROUND(($E105-$D105+1)*$F105,0),2,IF(H$5&lt;CFG_CurWeek,3,1)),""))</f>
        <v/>
      </c>
      <c r="I105" s="66" t="str">
        <f aca="false">IF(OR($D105="",$E105=""),"",IF(AND(I$5&gt;=$D105,I$5&lt;=$E105),IF(I$5-$D105+1&lt;=ROUND(($E105-$D105+1)*$F105,0),2,IF(I$5&lt;CFG_CurWeek,3,1)),""))</f>
        <v/>
      </c>
      <c r="J105" s="66" t="str">
        <f aca="false">IF(OR($D105="",$E105=""),"",IF(AND(J$5&gt;=$D105,J$5&lt;=$E105),IF(J$5-$D105+1&lt;=ROUND(($E105-$D105+1)*$F105,0),2,IF(J$5&lt;CFG_CurWeek,3,1)),""))</f>
        <v/>
      </c>
      <c r="K105" s="66" t="str">
        <f aca="false">IF(OR($D105="",$E105=""),"",IF(AND(K$5&gt;=$D105,K$5&lt;=$E105),IF(K$5-$D105+1&lt;=ROUND(($E105-$D105+1)*$F105,0),2,IF(K$5&lt;CFG_CurWeek,3,1)),""))</f>
        <v/>
      </c>
      <c r="L105" s="66" t="str">
        <f aca="false">IF(OR($D105="",$E105=""),"",IF(AND(L$5&gt;=$D105,L$5&lt;=$E105),IF(L$5-$D105+1&lt;=ROUND(($E105-$D105+1)*$F105,0),2,IF(L$5&lt;CFG_CurWeek,3,1)),""))</f>
        <v/>
      </c>
      <c r="M105" s="66" t="str">
        <f aca="false">IF(OR($D105="",$E105=""),"",IF(AND(M$5&gt;=$D105,M$5&lt;=$E105),IF(M$5-$D105+1&lt;=ROUND(($E105-$D105+1)*$F105,0),2,IF(M$5&lt;CFG_CurWeek,3,1)),""))</f>
        <v/>
      </c>
      <c r="N105" s="66" t="str">
        <f aca="false">IF(OR($D105="",$E105=""),"",IF(AND(N$5&gt;=$D105,N$5&lt;=$E105),IF(N$5-$D105+1&lt;=ROUND(($E105-$D105+1)*$F105,0),2,IF(N$5&lt;CFG_CurWeek,3,1)),""))</f>
        <v/>
      </c>
      <c r="O105" s="66" t="str">
        <f aca="false">IF(OR($D105="",$E105=""),"",IF(AND(O$5&gt;=$D105,O$5&lt;=$E105),IF(O$5-$D105+1&lt;=ROUND(($E105-$D105+1)*$F105,0),2,IF(O$5&lt;CFG_CurWeek,3,1)),""))</f>
        <v/>
      </c>
      <c r="P105" s="66" t="str">
        <f aca="false">IF(OR($D105="",$E105=""),"",IF(AND(P$5&gt;=$D105,P$5&lt;=$E105),IF(P$5-$D105+1&lt;=ROUND(($E105-$D105+1)*$F105,0),2,IF(P$5&lt;CFG_CurWeek,3,1)),""))</f>
        <v/>
      </c>
      <c r="Q105" s="66" t="str">
        <f aca="false">IF(OR($D105="",$E105=""),"",IF(AND(Q$5&gt;=$D105,Q$5&lt;=$E105),IF(Q$5-$D105+1&lt;=ROUND(($E105-$D105+1)*$F105,0),2,IF(Q$5&lt;CFG_CurWeek,3,1)),""))</f>
        <v/>
      </c>
      <c r="R105" s="66" t="str">
        <f aca="false">IF(OR($D105="",$E105=""),"",IF(AND(R$5&gt;=$D105,R$5&lt;=$E105),IF(R$5-$D105+1&lt;=ROUND(($E105-$D105+1)*$F105,0),2,IF(R$5&lt;CFG_CurWeek,3,1)),""))</f>
        <v/>
      </c>
      <c r="S105" s="66" t="str">
        <f aca="false">IF(OR($D105="",$E105=""),"",IF(AND(S$5&gt;=$D105,S$5&lt;=$E105),IF(S$5-$D105+1&lt;=ROUND(($E105-$D105+1)*$F105,0),2,IF(S$5&lt;CFG_CurWeek,3,1)),""))</f>
        <v/>
      </c>
      <c r="T105" s="66" t="str">
        <f aca="false">IF(OR($D105="",$E105=""),"",IF(AND(T$5&gt;=$D105,T$5&lt;=$E105),IF(T$5-$D105+1&lt;=ROUND(($E105-$D105+1)*$F105,0),2,IF(T$5&lt;CFG_CurWeek,3,1)),""))</f>
        <v/>
      </c>
      <c r="U105" s="66" t="str">
        <f aca="false">IF(OR($D105="",$E105=""),"",IF(AND(U$5&gt;=$D105,U$5&lt;=$E105),IF(U$5-$D105+1&lt;=ROUND(($E105-$D105+1)*$F105,0),2,IF(U$5&lt;CFG_CurWeek,3,1)),""))</f>
        <v/>
      </c>
      <c r="V105" s="66" t="str">
        <f aca="false">IF(OR($D105="",$E105=""),"",IF(AND(V$5&gt;=$D105,V$5&lt;=$E105),IF(V$5-$D105+1&lt;=ROUND(($E105-$D105+1)*$F105,0),2,IF(V$5&lt;CFG_CurWeek,3,1)),""))</f>
        <v/>
      </c>
      <c r="W105" s="66" t="str">
        <f aca="false">IF(OR($D105="",$E105=""),"",IF(AND(W$5&gt;=$D105,W$5&lt;=$E105),IF(W$5-$D105+1&lt;=ROUND(($E105-$D105+1)*$F105,0),2,IF(W$5&lt;CFG_CurWeek,3,1)),""))</f>
        <v/>
      </c>
      <c r="X105" s="66" t="str">
        <f aca="false">IF(OR($D105="",$E105=""),"",IF(AND(X$5&gt;=$D105,X$5&lt;=$E105),IF(X$5-$D105+1&lt;=ROUND(($E105-$D105+1)*$F105,0),2,IF(X$5&lt;CFG_CurWeek,3,1)),""))</f>
        <v/>
      </c>
      <c r="Y105" s="66" t="str">
        <f aca="false">IF(OR($D105="",$E105=""),"",IF(AND(Y$5&gt;=$D105,Y$5&lt;=$E105),IF(Y$5-$D105+1&lt;=ROUND(($E105-$D105+1)*$F105,0),2,IF(Y$5&lt;CFG_CurWeek,3,1)),""))</f>
        <v/>
      </c>
      <c r="Z105" s="66" t="str">
        <f aca="false">IF(OR($D105="",$E105=""),"",IF(AND(Z$5&gt;=$D105,Z$5&lt;=$E105),IF(Z$5-$D105+1&lt;=ROUND(($E105-$D105+1)*$F105,0),2,IF(Z$5&lt;CFG_CurWeek,3,1)),""))</f>
        <v/>
      </c>
      <c r="AA105" s="66" t="str">
        <f aca="false">IF(OR($D105="",$E105=""),"",IF(AND(AA$5&gt;=$D105,AA$5&lt;=$E105),IF(AA$5-$D105+1&lt;=ROUND(($E105-$D105+1)*$F105,0),2,IF(AA$5&lt;CFG_CurWeek,3,1)),""))</f>
        <v/>
      </c>
      <c r="AB105" s="66" t="str">
        <f aca="false">IF(OR($D105="",$E105=""),"",IF(AND(AB$5&gt;=$D105,AB$5&lt;=$E105),IF(AB$5-$D105+1&lt;=ROUND(($E105-$D105+1)*$F105,0),2,IF(AB$5&lt;CFG_CurWeek,3,1)),""))</f>
        <v/>
      </c>
      <c r="AC105" s="66" t="str">
        <f aca="false">IF(OR($D105="",$E105=""),"",IF(AND(AC$5&gt;=$D105,AC$5&lt;=$E105),IF(AC$5-$D105+1&lt;=ROUND(($E105-$D105+1)*$F105,0),2,IF(AC$5&lt;CFG_CurWeek,3,1)),""))</f>
        <v/>
      </c>
      <c r="AD105" s="66" t="str">
        <f aca="false">IF(OR($D105="",$E105=""),"",IF(AND(AD$5&gt;=$D105,AD$5&lt;=$E105),IF(AD$5-$D105+1&lt;=ROUND(($E105-$D105+1)*$F105,0),2,IF(AD$5&lt;CFG_CurWeek,3,1)),""))</f>
        <v/>
      </c>
      <c r="AE105" s="66" t="str">
        <f aca="false">IF(OR($D105="",$E105=""),"",IF(AND(AE$5&gt;=$D105,AE$5&lt;=$E105),IF(AE$5-$D105+1&lt;=ROUND(($E105-$D105+1)*$F105,0),2,IF(AE$5&lt;CFG_CurWeek,3,1)),""))</f>
        <v/>
      </c>
      <c r="AF105" s="66" t="str">
        <f aca="false">IF(OR($D105="",$E105=""),"",IF(AND(AF$5&gt;=$D105,AF$5&lt;=$E105),IF(AF$5-$D105+1&lt;=ROUND(($E105-$D105+1)*$F105,0),2,IF(AF$5&lt;CFG_CurWeek,3,1)),""))</f>
        <v/>
      </c>
      <c r="AG105" s="66" t="str">
        <f aca="false">IF(OR($D105="",$E105=""),"",IF(AND(AG$5&gt;=$D105,AG$5&lt;=$E105),IF(AG$5-$D105+1&lt;=ROUND(($E105-$D105+1)*$F105,0),2,IF(AG$5&lt;CFG_CurWeek,3,1)),""))</f>
        <v/>
      </c>
      <c r="AH105" s="66" t="str">
        <f aca="false">IF(OR($D105="",$E105=""),"",IF(AND(AH$5&gt;=$D105,AH$5&lt;=$E105),IF(AH$5-$D105+1&lt;=ROUND(($E105-$D105+1)*$F105,0),2,IF(AH$5&lt;CFG_CurWeek,3,1)),""))</f>
        <v/>
      </c>
      <c r="AI105" s="66" t="str">
        <f aca="false">IF(OR($D105="",$E105=""),"",IF(AND(AI$5&gt;=$D105,AI$5&lt;=$E105),IF(AI$5-$D105+1&lt;=ROUND(($E105-$D105+1)*$F105,0),2,IF(AI$5&lt;CFG_CurWeek,3,1)),""))</f>
        <v/>
      </c>
      <c r="AJ105" s="66" t="str">
        <f aca="false">IF(OR($D105="",$E105=""),"",IF(AND(AJ$5&gt;=$D105,AJ$5&lt;=$E105),IF(AJ$5-$D105+1&lt;=ROUND(($E105-$D105+1)*$F105,0),2,IF(AJ$5&lt;CFG_CurWeek,3,1)),""))</f>
        <v/>
      </c>
      <c r="AK105" s="66" t="str">
        <f aca="false">IF(OR($D105="",$E105=""),"",IF(AND(AK$5&gt;=$D105,AK$5&lt;=$E105),IF(AK$5-$D105+1&lt;=ROUND(($E105-$D105+1)*$F105,0),2,IF(AK$5&lt;CFG_CurWeek,3,1)),""))</f>
        <v/>
      </c>
      <c r="AL105" s="66" t="str">
        <f aca="false">IF(OR($D105="",$E105=""),"",IF(AND(AL$5&gt;=$D105,AL$5&lt;=$E105),IF(AL$5-$D105+1&lt;=ROUND(($E105-$D105+1)*$F105,0),2,IF(AL$5&lt;CFG_CurWeek,3,1)),""))</f>
        <v/>
      </c>
      <c r="AM105" s="66" t="str">
        <f aca="false">IF(OR($D105="",$E105=""),"",IF(AND(AM$5&gt;=$D105,AM$5&lt;=$E105),IF(AM$5-$D105+1&lt;=ROUND(($E105-$D105+1)*$F105,0),2,IF(AM$5&lt;CFG_CurWeek,3,1)),""))</f>
        <v/>
      </c>
      <c r="AN105" s="66" t="str">
        <f aca="false">IF(OR($D105="",$E105=""),"",IF(AND(AN$5&gt;=$D105,AN$5&lt;=$E105),IF(AN$5-$D105+1&lt;=ROUND(($E105-$D105+1)*$F105,0),2,IF(AN$5&lt;CFG_CurWeek,3,1)),""))</f>
        <v/>
      </c>
      <c r="AO105" s="66" t="str">
        <f aca="false">IF(OR($D105="",$E105=""),"",IF(AND(AO$5&gt;=$D105,AO$5&lt;=$E105),IF(AO$5-$D105+1&lt;=ROUND(($E105-$D105+1)*$F105,0),2,IF(AO$5&lt;CFG_CurWeek,3,1)),""))</f>
        <v/>
      </c>
    </row>
    <row r="106" customFormat="false" ht="15" hidden="false" customHeight="false" outlineLevel="0" collapsed="false">
      <c r="A106" s="63" t="str">
        <f aca="false">IF('01_WBS &amp; Master Plan'!A103="","",'01_WBS &amp; Master Plan'!A103)</f>
        <v/>
      </c>
      <c r="B106" s="64" t="str">
        <f aca="false">IF('01_WBS &amp; Master Plan'!D103="","",'01_WBS &amp; Master Plan'!D103)</f>
        <v/>
      </c>
      <c r="C106" s="63" t="str">
        <f aca="false">IF('01_WBS &amp; Master Plan'!E103="","",'01_WBS &amp; Master Plan'!E103)</f>
        <v/>
      </c>
      <c r="D106" s="63" t="str">
        <f aca="false">IF('01_WBS &amp; Master Plan'!H103="","",'01_WBS &amp; Master Plan'!H103)</f>
        <v/>
      </c>
      <c r="E106" s="63" t="str">
        <f aca="false">IF('01_WBS &amp; Master Plan'!I103="","",'01_WBS &amp; Master Plan'!I103)</f>
        <v/>
      </c>
      <c r="F106" s="65" t="str">
        <f aca="false">IF(B106="","",IF('01_WBS &amp; Master Plan'!K103="Done",1,IF('01_WBS &amp; Master Plan'!L103="",0,'01_WBS &amp; Master Plan'!L103)))</f>
        <v/>
      </c>
      <c r="G106" s="63" t="str">
        <f aca="false">IF('01_WBS &amp; Master Plan'!K103="","",'01_WBS &amp; Master Plan'!K103)</f>
        <v/>
      </c>
      <c r="H106" s="66" t="str">
        <f aca="false">IF(OR($D106="",$E106=""),"",IF(AND(H$5&gt;=$D106,H$5&lt;=$E106),IF(H$5-$D106+1&lt;=ROUND(($E106-$D106+1)*$F106,0),2,IF(H$5&lt;CFG_CurWeek,3,1)),""))</f>
        <v/>
      </c>
      <c r="I106" s="66" t="str">
        <f aca="false">IF(OR($D106="",$E106=""),"",IF(AND(I$5&gt;=$D106,I$5&lt;=$E106),IF(I$5-$D106+1&lt;=ROUND(($E106-$D106+1)*$F106,0),2,IF(I$5&lt;CFG_CurWeek,3,1)),""))</f>
        <v/>
      </c>
      <c r="J106" s="66" t="str">
        <f aca="false">IF(OR($D106="",$E106=""),"",IF(AND(J$5&gt;=$D106,J$5&lt;=$E106),IF(J$5-$D106+1&lt;=ROUND(($E106-$D106+1)*$F106,0),2,IF(J$5&lt;CFG_CurWeek,3,1)),""))</f>
        <v/>
      </c>
      <c r="K106" s="66" t="str">
        <f aca="false">IF(OR($D106="",$E106=""),"",IF(AND(K$5&gt;=$D106,K$5&lt;=$E106),IF(K$5-$D106+1&lt;=ROUND(($E106-$D106+1)*$F106,0),2,IF(K$5&lt;CFG_CurWeek,3,1)),""))</f>
        <v/>
      </c>
      <c r="L106" s="66" t="str">
        <f aca="false">IF(OR($D106="",$E106=""),"",IF(AND(L$5&gt;=$D106,L$5&lt;=$E106),IF(L$5-$D106+1&lt;=ROUND(($E106-$D106+1)*$F106,0),2,IF(L$5&lt;CFG_CurWeek,3,1)),""))</f>
        <v/>
      </c>
      <c r="M106" s="66" t="str">
        <f aca="false">IF(OR($D106="",$E106=""),"",IF(AND(M$5&gt;=$D106,M$5&lt;=$E106),IF(M$5-$D106+1&lt;=ROUND(($E106-$D106+1)*$F106,0),2,IF(M$5&lt;CFG_CurWeek,3,1)),""))</f>
        <v/>
      </c>
      <c r="N106" s="66" t="str">
        <f aca="false">IF(OR($D106="",$E106=""),"",IF(AND(N$5&gt;=$D106,N$5&lt;=$E106),IF(N$5-$D106+1&lt;=ROUND(($E106-$D106+1)*$F106,0),2,IF(N$5&lt;CFG_CurWeek,3,1)),""))</f>
        <v/>
      </c>
      <c r="O106" s="66" t="str">
        <f aca="false">IF(OR($D106="",$E106=""),"",IF(AND(O$5&gt;=$D106,O$5&lt;=$E106),IF(O$5-$D106+1&lt;=ROUND(($E106-$D106+1)*$F106,0),2,IF(O$5&lt;CFG_CurWeek,3,1)),""))</f>
        <v/>
      </c>
      <c r="P106" s="66" t="str">
        <f aca="false">IF(OR($D106="",$E106=""),"",IF(AND(P$5&gt;=$D106,P$5&lt;=$E106),IF(P$5-$D106+1&lt;=ROUND(($E106-$D106+1)*$F106,0),2,IF(P$5&lt;CFG_CurWeek,3,1)),""))</f>
        <v/>
      </c>
      <c r="Q106" s="66" t="str">
        <f aca="false">IF(OR($D106="",$E106=""),"",IF(AND(Q$5&gt;=$D106,Q$5&lt;=$E106),IF(Q$5-$D106+1&lt;=ROUND(($E106-$D106+1)*$F106,0),2,IF(Q$5&lt;CFG_CurWeek,3,1)),""))</f>
        <v/>
      </c>
      <c r="R106" s="66" t="str">
        <f aca="false">IF(OR($D106="",$E106=""),"",IF(AND(R$5&gt;=$D106,R$5&lt;=$E106),IF(R$5-$D106+1&lt;=ROUND(($E106-$D106+1)*$F106,0),2,IF(R$5&lt;CFG_CurWeek,3,1)),""))</f>
        <v/>
      </c>
      <c r="S106" s="66" t="str">
        <f aca="false">IF(OR($D106="",$E106=""),"",IF(AND(S$5&gt;=$D106,S$5&lt;=$E106),IF(S$5-$D106+1&lt;=ROUND(($E106-$D106+1)*$F106,0),2,IF(S$5&lt;CFG_CurWeek,3,1)),""))</f>
        <v/>
      </c>
      <c r="T106" s="66" t="str">
        <f aca="false">IF(OR($D106="",$E106=""),"",IF(AND(T$5&gt;=$D106,T$5&lt;=$E106),IF(T$5-$D106+1&lt;=ROUND(($E106-$D106+1)*$F106,0),2,IF(T$5&lt;CFG_CurWeek,3,1)),""))</f>
        <v/>
      </c>
      <c r="U106" s="66" t="str">
        <f aca="false">IF(OR($D106="",$E106=""),"",IF(AND(U$5&gt;=$D106,U$5&lt;=$E106),IF(U$5-$D106+1&lt;=ROUND(($E106-$D106+1)*$F106,0),2,IF(U$5&lt;CFG_CurWeek,3,1)),""))</f>
        <v/>
      </c>
      <c r="V106" s="66" t="str">
        <f aca="false">IF(OR($D106="",$E106=""),"",IF(AND(V$5&gt;=$D106,V$5&lt;=$E106),IF(V$5-$D106+1&lt;=ROUND(($E106-$D106+1)*$F106,0),2,IF(V$5&lt;CFG_CurWeek,3,1)),""))</f>
        <v/>
      </c>
      <c r="W106" s="66" t="str">
        <f aca="false">IF(OR($D106="",$E106=""),"",IF(AND(W$5&gt;=$D106,W$5&lt;=$E106),IF(W$5-$D106+1&lt;=ROUND(($E106-$D106+1)*$F106,0),2,IF(W$5&lt;CFG_CurWeek,3,1)),""))</f>
        <v/>
      </c>
      <c r="X106" s="66" t="str">
        <f aca="false">IF(OR($D106="",$E106=""),"",IF(AND(X$5&gt;=$D106,X$5&lt;=$E106),IF(X$5-$D106+1&lt;=ROUND(($E106-$D106+1)*$F106,0),2,IF(X$5&lt;CFG_CurWeek,3,1)),""))</f>
        <v/>
      </c>
      <c r="Y106" s="66" t="str">
        <f aca="false">IF(OR($D106="",$E106=""),"",IF(AND(Y$5&gt;=$D106,Y$5&lt;=$E106),IF(Y$5-$D106+1&lt;=ROUND(($E106-$D106+1)*$F106,0),2,IF(Y$5&lt;CFG_CurWeek,3,1)),""))</f>
        <v/>
      </c>
      <c r="Z106" s="66" t="str">
        <f aca="false">IF(OR($D106="",$E106=""),"",IF(AND(Z$5&gt;=$D106,Z$5&lt;=$E106),IF(Z$5-$D106+1&lt;=ROUND(($E106-$D106+1)*$F106,0),2,IF(Z$5&lt;CFG_CurWeek,3,1)),""))</f>
        <v/>
      </c>
      <c r="AA106" s="66" t="str">
        <f aca="false">IF(OR($D106="",$E106=""),"",IF(AND(AA$5&gt;=$D106,AA$5&lt;=$E106),IF(AA$5-$D106+1&lt;=ROUND(($E106-$D106+1)*$F106,0),2,IF(AA$5&lt;CFG_CurWeek,3,1)),""))</f>
        <v/>
      </c>
      <c r="AB106" s="66" t="str">
        <f aca="false">IF(OR($D106="",$E106=""),"",IF(AND(AB$5&gt;=$D106,AB$5&lt;=$E106),IF(AB$5-$D106+1&lt;=ROUND(($E106-$D106+1)*$F106,0),2,IF(AB$5&lt;CFG_CurWeek,3,1)),""))</f>
        <v/>
      </c>
      <c r="AC106" s="66" t="str">
        <f aca="false">IF(OR($D106="",$E106=""),"",IF(AND(AC$5&gt;=$D106,AC$5&lt;=$E106),IF(AC$5-$D106+1&lt;=ROUND(($E106-$D106+1)*$F106,0),2,IF(AC$5&lt;CFG_CurWeek,3,1)),""))</f>
        <v/>
      </c>
      <c r="AD106" s="66" t="str">
        <f aca="false">IF(OR($D106="",$E106=""),"",IF(AND(AD$5&gt;=$D106,AD$5&lt;=$E106),IF(AD$5-$D106+1&lt;=ROUND(($E106-$D106+1)*$F106,0),2,IF(AD$5&lt;CFG_CurWeek,3,1)),""))</f>
        <v/>
      </c>
      <c r="AE106" s="66" t="str">
        <f aca="false">IF(OR($D106="",$E106=""),"",IF(AND(AE$5&gt;=$D106,AE$5&lt;=$E106),IF(AE$5-$D106+1&lt;=ROUND(($E106-$D106+1)*$F106,0),2,IF(AE$5&lt;CFG_CurWeek,3,1)),""))</f>
        <v/>
      </c>
      <c r="AF106" s="66" t="str">
        <f aca="false">IF(OR($D106="",$E106=""),"",IF(AND(AF$5&gt;=$D106,AF$5&lt;=$E106),IF(AF$5-$D106+1&lt;=ROUND(($E106-$D106+1)*$F106,0),2,IF(AF$5&lt;CFG_CurWeek,3,1)),""))</f>
        <v/>
      </c>
      <c r="AG106" s="66" t="str">
        <f aca="false">IF(OR($D106="",$E106=""),"",IF(AND(AG$5&gt;=$D106,AG$5&lt;=$E106),IF(AG$5-$D106+1&lt;=ROUND(($E106-$D106+1)*$F106,0),2,IF(AG$5&lt;CFG_CurWeek,3,1)),""))</f>
        <v/>
      </c>
      <c r="AH106" s="66" t="str">
        <f aca="false">IF(OR($D106="",$E106=""),"",IF(AND(AH$5&gt;=$D106,AH$5&lt;=$E106),IF(AH$5-$D106+1&lt;=ROUND(($E106-$D106+1)*$F106,0),2,IF(AH$5&lt;CFG_CurWeek,3,1)),""))</f>
        <v/>
      </c>
      <c r="AI106" s="66" t="str">
        <f aca="false">IF(OR($D106="",$E106=""),"",IF(AND(AI$5&gt;=$D106,AI$5&lt;=$E106),IF(AI$5-$D106+1&lt;=ROUND(($E106-$D106+1)*$F106,0),2,IF(AI$5&lt;CFG_CurWeek,3,1)),""))</f>
        <v/>
      </c>
      <c r="AJ106" s="66" t="str">
        <f aca="false">IF(OR($D106="",$E106=""),"",IF(AND(AJ$5&gt;=$D106,AJ$5&lt;=$E106),IF(AJ$5-$D106+1&lt;=ROUND(($E106-$D106+1)*$F106,0),2,IF(AJ$5&lt;CFG_CurWeek,3,1)),""))</f>
        <v/>
      </c>
      <c r="AK106" s="66" t="str">
        <f aca="false">IF(OR($D106="",$E106=""),"",IF(AND(AK$5&gt;=$D106,AK$5&lt;=$E106),IF(AK$5-$D106+1&lt;=ROUND(($E106-$D106+1)*$F106,0),2,IF(AK$5&lt;CFG_CurWeek,3,1)),""))</f>
        <v/>
      </c>
      <c r="AL106" s="66" t="str">
        <f aca="false">IF(OR($D106="",$E106=""),"",IF(AND(AL$5&gt;=$D106,AL$5&lt;=$E106),IF(AL$5-$D106+1&lt;=ROUND(($E106-$D106+1)*$F106,0),2,IF(AL$5&lt;CFG_CurWeek,3,1)),""))</f>
        <v/>
      </c>
      <c r="AM106" s="66" t="str">
        <f aca="false">IF(OR($D106="",$E106=""),"",IF(AND(AM$5&gt;=$D106,AM$5&lt;=$E106),IF(AM$5-$D106+1&lt;=ROUND(($E106-$D106+1)*$F106,0),2,IF(AM$5&lt;CFG_CurWeek,3,1)),""))</f>
        <v/>
      </c>
      <c r="AN106" s="66" t="str">
        <f aca="false">IF(OR($D106="",$E106=""),"",IF(AND(AN$5&gt;=$D106,AN$5&lt;=$E106),IF(AN$5-$D106+1&lt;=ROUND(($E106-$D106+1)*$F106,0),2,IF(AN$5&lt;CFG_CurWeek,3,1)),""))</f>
        <v/>
      </c>
      <c r="AO106" s="66" t="str">
        <f aca="false">IF(OR($D106="",$E106=""),"",IF(AND(AO$5&gt;=$D106,AO$5&lt;=$E106),IF(AO$5-$D106+1&lt;=ROUND(($E106-$D106+1)*$F106,0),2,IF(AO$5&lt;CFG_CurWeek,3,1)),""))</f>
        <v/>
      </c>
    </row>
    <row r="107" customFormat="false" ht="15" hidden="false" customHeight="false" outlineLevel="0" collapsed="false">
      <c r="A107" s="63" t="str">
        <f aca="false">IF('01_WBS &amp; Master Plan'!A104="","",'01_WBS &amp; Master Plan'!A104)</f>
        <v/>
      </c>
      <c r="B107" s="64" t="str">
        <f aca="false">IF('01_WBS &amp; Master Plan'!D104="","",'01_WBS &amp; Master Plan'!D104)</f>
        <v/>
      </c>
      <c r="C107" s="63" t="str">
        <f aca="false">IF('01_WBS &amp; Master Plan'!E104="","",'01_WBS &amp; Master Plan'!E104)</f>
        <v/>
      </c>
      <c r="D107" s="63" t="str">
        <f aca="false">IF('01_WBS &amp; Master Plan'!H104="","",'01_WBS &amp; Master Plan'!H104)</f>
        <v/>
      </c>
      <c r="E107" s="63" t="str">
        <f aca="false">IF('01_WBS &amp; Master Plan'!I104="","",'01_WBS &amp; Master Plan'!I104)</f>
        <v/>
      </c>
      <c r="F107" s="65" t="str">
        <f aca="false">IF(B107="","",IF('01_WBS &amp; Master Plan'!K104="Done",1,IF('01_WBS &amp; Master Plan'!L104="",0,'01_WBS &amp; Master Plan'!L104)))</f>
        <v/>
      </c>
      <c r="G107" s="63" t="str">
        <f aca="false">IF('01_WBS &amp; Master Plan'!K104="","",'01_WBS &amp; Master Plan'!K104)</f>
        <v/>
      </c>
      <c r="H107" s="66" t="str">
        <f aca="false">IF(OR($D107="",$E107=""),"",IF(AND(H$5&gt;=$D107,H$5&lt;=$E107),IF(H$5-$D107+1&lt;=ROUND(($E107-$D107+1)*$F107,0),2,IF(H$5&lt;CFG_CurWeek,3,1)),""))</f>
        <v/>
      </c>
      <c r="I107" s="66" t="str">
        <f aca="false">IF(OR($D107="",$E107=""),"",IF(AND(I$5&gt;=$D107,I$5&lt;=$E107),IF(I$5-$D107+1&lt;=ROUND(($E107-$D107+1)*$F107,0),2,IF(I$5&lt;CFG_CurWeek,3,1)),""))</f>
        <v/>
      </c>
      <c r="J107" s="66" t="str">
        <f aca="false">IF(OR($D107="",$E107=""),"",IF(AND(J$5&gt;=$D107,J$5&lt;=$E107),IF(J$5-$D107+1&lt;=ROUND(($E107-$D107+1)*$F107,0),2,IF(J$5&lt;CFG_CurWeek,3,1)),""))</f>
        <v/>
      </c>
      <c r="K107" s="66" t="str">
        <f aca="false">IF(OR($D107="",$E107=""),"",IF(AND(K$5&gt;=$D107,K$5&lt;=$E107),IF(K$5-$D107+1&lt;=ROUND(($E107-$D107+1)*$F107,0),2,IF(K$5&lt;CFG_CurWeek,3,1)),""))</f>
        <v/>
      </c>
      <c r="L107" s="66" t="str">
        <f aca="false">IF(OR($D107="",$E107=""),"",IF(AND(L$5&gt;=$D107,L$5&lt;=$E107),IF(L$5-$D107+1&lt;=ROUND(($E107-$D107+1)*$F107,0),2,IF(L$5&lt;CFG_CurWeek,3,1)),""))</f>
        <v/>
      </c>
      <c r="M107" s="66" t="str">
        <f aca="false">IF(OR($D107="",$E107=""),"",IF(AND(M$5&gt;=$D107,M$5&lt;=$E107),IF(M$5-$D107+1&lt;=ROUND(($E107-$D107+1)*$F107,0),2,IF(M$5&lt;CFG_CurWeek,3,1)),""))</f>
        <v/>
      </c>
      <c r="N107" s="66" t="str">
        <f aca="false">IF(OR($D107="",$E107=""),"",IF(AND(N$5&gt;=$D107,N$5&lt;=$E107),IF(N$5-$D107+1&lt;=ROUND(($E107-$D107+1)*$F107,0),2,IF(N$5&lt;CFG_CurWeek,3,1)),""))</f>
        <v/>
      </c>
      <c r="O107" s="66" t="str">
        <f aca="false">IF(OR($D107="",$E107=""),"",IF(AND(O$5&gt;=$D107,O$5&lt;=$E107),IF(O$5-$D107+1&lt;=ROUND(($E107-$D107+1)*$F107,0),2,IF(O$5&lt;CFG_CurWeek,3,1)),""))</f>
        <v/>
      </c>
      <c r="P107" s="66" t="str">
        <f aca="false">IF(OR($D107="",$E107=""),"",IF(AND(P$5&gt;=$D107,P$5&lt;=$E107),IF(P$5-$D107+1&lt;=ROUND(($E107-$D107+1)*$F107,0),2,IF(P$5&lt;CFG_CurWeek,3,1)),""))</f>
        <v/>
      </c>
      <c r="Q107" s="66" t="str">
        <f aca="false">IF(OR($D107="",$E107=""),"",IF(AND(Q$5&gt;=$D107,Q$5&lt;=$E107),IF(Q$5-$D107+1&lt;=ROUND(($E107-$D107+1)*$F107,0),2,IF(Q$5&lt;CFG_CurWeek,3,1)),""))</f>
        <v/>
      </c>
      <c r="R107" s="66" t="str">
        <f aca="false">IF(OR($D107="",$E107=""),"",IF(AND(R$5&gt;=$D107,R$5&lt;=$E107),IF(R$5-$D107+1&lt;=ROUND(($E107-$D107+1)*$F107,0),2,IF(R$5&lt;CFG_CurWeek,3,1)),""))</f>
        <v/>
      </c>
      <c r="S107" s="66" t="str">
        <f aca="false">IF(OR($D107="",$E107=""),"",IF(AND(S$5&gt;=$D107,S$5&lt;=$E107),IF(S$5-$D107+1&lt;=ROUND(($E107-$D107+1)*$F107,0),2,IF(S$5&lt;CFG_CurWeek,3,1)),""))</f>
        <v/>
      </c>
      <c r="T107" s="66" t="str">
        <f aca="false">IF(OR($D107="",$E107=""),"",IF(AND(T$5&gt;=$D107,T$5&lt;=$E107),IF(T$5-$D107+1&lt;=ROUND(($E107-$D107+1)*$F107,0),2,IF(T$5&lt;CFG_CurWeek,3,1)),""))</f>
        <v/>
      </c>
      <c r="U107" s="66" t="str">
        <f aca="false">IF(OR($D107="",$E107=""),"",IF(AND(U$5&gt;=$D107,U$5&lt;=$E107),IF(U$5-$D107+1&lt;=ROUND(($E107-$D107+1)*$F107,0),2,IF(U$5&lt;CFG_CurWeek,3,1)),""))</f>
        <v/>
      </c>
      <c r="V107" s="66" t="str">
        <f aca="false">IF(OR($D107="",$E107=""),"",IF(AND(V$5&gt;=$D107,V$5&lt;=$E107),IF(V$5-$D107+1&lt;=ROUND(($E107-$D107+1)*$F107,0),2,IF(V$5&lt;CFG_CurWeek,3,1)),""))</f>
        <v/>
      </c>
      <c r="W107" s="66" t="str">
        <f aca="false">IF(OR($D107="",$E107=""),"",IF(AND(W$5&gt;=$D107,W$5&lt;=$E107),IF(W$5-$D107+1&lt;=ROUND(($E107-$D107+1)*$F107,0),2,IF(W$5&lt;CFG_CurWeek,3,1)),""))</f>
        <v/>
      </c>
      <c r="X107" s="66" t="str">
        <f aca="false">IF(OR($D107="",$E107=""),"",IF(AND(X$5&gt;=$D107,X$5&lt;=$E107),IF(X$5-$D107+1&lt;=ROUND(($E107-$D107+1)*$F107,0),2,IF(X$5&lt;CFG_CurWeek,3,1)),""))</f>
        <v/>
      </c>
      <c r="Y107" s="66" t="str">
        <f aca="false">IF(OR($D107="",$E107=""),"",IF(AND(Y$5&gt;=$D107,Y$5&lt;=$E107),IF(Y$5-$D107+1&lt;=ROUND(($E107-$D107+1)*$F107,0),2,IF(Y$5&lt;CFG_CurWeek,3,1)),""))</f>
        <v/>
      </c>
      <c r="Z107" s="66" t="str">
        <f aca="false">IF(OR($D107="",$E107=""),"",IF(AND(Z$5&gt;=$D107,Z$5&lt;=$E107),IF(Z$5-$D107+1&lt;=ROUND(($E107-$D107+1)*$F107,0),2,IF(Z$5&lt;CFG_CurWeek,3,1)),""))</f>
        <v/>
      </c>
      <c r="AA107" s="66" t="str">
        <f aca="false">IF(OR($D107="",$E107=""),"",IF(AND(AA$5&gt;=$D107,AA$5&lt;=$E107),IF(AA$5-$D107+1&lt;=ROUND(($E107-$D107+1)*$F107,0),2,IF(AA$5&lt;CFG_CurWeek,3,1)),""))</f>
        <v/>
      </c>
      <c r="AB107" s="66" t="str">
        <f aca="false">IF(OR($D107="",$E107=""),"",IF(AND(AB$5&gt;=$D107,AB$5&lt;=$E107),IF(AB$5-$D107+1&lt;=ROUND(($E107-$D107+1)*$F107,0),2,IF(AB$5&lt;CFG_CurWeek,3,1)),""))</f>
        <v/>
      </c>
      <c r="AC107" s="66" t="str">
        <f aca="false">IF(OR($D107="",$E107=""),"",IF(AND(AC$5&gt;=$D107,AC$5&lt;=$E107),IF(AC$5-$D107+1&lt;=ROUND(($E107-$D107+1)*$F107,0),2,IF(AC$5&lt;CFG_CurWeek,3,1)),""))</f>
        <v/>
      </c>
      <c r="AD107" s="66" t="str">
        <f aca="false">IF(OR($D107="",$E107=""),"",IF(AND(AD$5&gt;=$D107,AD$5&lt;=$E107),IF(AD$5-$D107+1&lt;=ROUND(($E107-$D107+1)*$F107,0),2,IF(AD$5&lt;CFG_CurWeek,3,1)),""))</f>
        <v/>
      </c>
      <c r="AE107" s="66" t="str">
        <f aca="false">IF(OR($D107="",$E107=""),"",IF(AND(AE$5&gt;=$D107,AE$5&lt;=$E107),IF(AE$5-$D107+1&lt;=ROUND(($E107-$D107+1)*$F107,0),2,IF(AE$5&lt;CFG_CurWeek,3,1)),""))</f>
        <v/>
      </c>
      <c r="AF107" s="66" t="str">
        <f aca="false">IF(OR($D107="",$E107=""),"",IF(AND(AF$5&gt;=$D107,AF$5&lt;=$E107),IF(AF$5-$D107+1&lt;=ROUND(($E107-$D107+1)*$F107,0),2,IF(AF$5&lt;CFG_CurWeek,3,1)),""))</f>
        <v/>
      </c>
      <c r="AG107" s="66" t="str">
        <f aca="false">IF(OR($D107="",$E107=""),"",IF(AND(AG$5&gt;=$D107,AG$5&lt;=$E107),IF(AG$5-$D107+1&lt;=ROUND(($E107-$D107+1)*$F107,0),2,IF(AG$5&lt;CFG_CurWeek,3,1)),""))</f>
        <v/>
      </c>
      <c r="AH107" s="66" t="str">
        <f aca="false">IF(OR($D107="",$E107=""),"",IF(AND(AH$5&gt;=$D107,AH$5&lt;=$E107),IF(AH$5-$D107+1&lt;=ROUND(($E107-$D107+1)*$F107,0),2,IF(AH$5&lt;CFG_CurWeek,3,1)),""))</f>
        <v/>
      </c>
      <c r="AI107" s="66" t="str">
        <f aca="false">IF(OR($D107="",$E107=""),"",IF(AND(AI$5&gt;=$D107,AI$5&lt;=$E107),IF(AI$5-$D107+1&lt;=ROUND(($E107-$D107+1)*$F107,0),2,IF(AI$5&lt;CFG_CurWeek,3,1)),""))</f>
        <v/>
      </c>
      <c r="AJ107" s="66" t="str">
        <f aca="false">IF(OR($D107="",$E107=""),"",IF(AND(AJ$5&gt;=$D107,AJ$5&lt;=$E107),IF(AJ$5-$D107+1&lt;=ROUND(($E107-$D107+1)*$F107,0),2,IF(AJ$5&lt;CFG_CurWeek,3,1)),""))</f>
        <v/>
      </c>
      <c r="AK107" s="66" t="str">
        <f aca="false">IF(OR($D107="",$E107=""),"",IF(AND(AK$5&gt;=$D107,AK$5&lt;=$E107),IF(AK$5-$D107+1&lt;=ROUND(($E107-$D107+1)*$F107,0),2,IF(AK$5&lt;CFG_CurWeek,3,1)),""))</f>
        <v/>
      </c>
      <c r="AL107" s="66" t="str">
        <f aca="false">IF(OR($D107="",$E107=""),"",IF(AND(AL$5&gt;=$D107,AL$5&lt;=$E107),IF(AL$5-$D107+1&lt;=ROUND(($E107-$D107+1)*$F107,0),2,IF(AL$5&lt;CFG_CurWeek,3,1)),""))</f>
        <v/>
      </c>
      <c r="AM107" s="66" t="str">
        <f aca="false">IF(OR($D107="",$E107=""),"",IF(AND(AM$5&gt;=$D107,AM$5&lt;=$E107),IF(AM$5-$D107+1&lt;=ROUND(($E107-$D107+1)*$F107,0),2,IF(AM$5&lt;CFG_CurWeek,3,1)),""))</f>
        <v/>
      </c>
      <c r="AN107" s="66" t="str">
        <f aca="false">IF(OR($D107="",$E107=""),"",IF(AND(AN$5&gt;=$D107,AN$5&lt;=$E107),IF(AN$5-$D107+1&lt;=ROUND(($E107-$D107+1)*$F107,0),2,IF(AN$5&lt;CFG_CurWeek,3,1)),""))</f>
        <v/>
      </c>
      <c r="AO107" s="66" t="str">
        <f aca="false">IF(OR($D107="",$E107=""),"",IF(AND(AO$5&gt;=$D107,AO$5&lt;=$E107),IF(AO$5-$D107+1&lt;=ROUND(($E107-$D107+1)*$F107,0),2,IF(AO$5&lt;CFG_CurWeek,3,1)),""))</f>
        <v/>
      </c>
    </row>
    <row r="108" customFormat="false" ht="15" hidden="false" customHeight="false" outlineLevel="0" collapsed="false">
      <c r="A108" s="63" t="str">
        <f aca="false">IF('01_WBS &amp; Master Plan'!A105="","",'01_WBS &amp; Master Plan'!A105)</f>
        <v/>
      </c>
      <c r="B108" s="64" t="str">
        <f aca="false">IF('01_WBS &amp; Master Plan'!D105="","",'01_WBS &amp; Master Plan'!D105)</f>
        <v/>
      </c>
      <c r="C108" s="63" t="str">
        <f aca="false">IF('01_WBS &amp; Master Plan'!E105="","",'01_WBS &amp; Master Plan'!E105)</f>
        <v/>
      </c>
      <c r="D108" s="63" t="str">
        <f aca="false">IF('01_WBS &amp; Master Plan'!H105="","",'01_WBS &amp; Master Plan'!H105)</f>
        <v/>
      </c>
      <c r="E108" s="63" t="str">
        <f aca="false">IF('01_WBS &amp; Master Plan'!I105="","",'01_WBS &amp; Master Plan'!I105)</f>
        <v/>
      </c>
      <c r="F108" s="65" t="str">
        <f aca="false">IF(B108="","",IF('01_WBS &amp; Master Plan'!K105="Done",1,IF('01_WBS &amp; Master Plan'!L105="",0,'01_WBS &amp; Master Plan'!L105)))</f>
        <v/>
      </c>
      <c r="G108" s="63" t="str">
        <f aca="false">IF('01_WBS &amp; Master Plan'!K105="","",'01_WBS &amp; Master Plan'!K105)</f>
        <v/>
      </c>
      <c r="H108" s="66" t="str">
        <f aca="false">IF(OR($D108="",$E108=""),"",IF(AND(H$5&gt;=$D108,H$5&lt;=$E108),IF(H$5-$D108+1&lt;=ROUND(($E108-$D108+1)*$F108,0),2,IF(H$5&lt;CFG_CurWeek,3,1)),""))</f>
        <v/>
      </c>
      <c r="I108" s="66" t="str">
        <f aca="false">IF(OR($D108="",$E108=""),"",IF(AND(I$5&gt;=$D108,I$5&lt;=$E108),IF(I$5-$D108+1&lt;=ROUND(($E108-$D108+1)*$F108,0),2,IF(I$5&lt;CFG_CurWeek,3,1)),""))</f>
        <v/>
      </c>
      <c r="J108" s="66" t="str">
        <f aca="false">IF(OR($D108="",$E108=""),"",IF(AND(J$5&gt;=$D108,J$5&lt;=$E108),IF(J$5-$D108+1&lt;=ROUND(($E108-$D108+1)*$F108,0),2,IF(J$5&lt;CFG_CurWeek,3,1)),""))</f>
        <v/>
      </c>
      <c r="K108" s="66" t="str">
        <f aca="false">IF(OR($D108="",$E108=""),"",IF(AND(K$5&gt;=$D108,K$5&lt;=$E108),IF(K$5-$D108+1&lt;=ROUND(($E108-$D108+1)*$F108,0),2,IF(K$5&lt;CFG_CurWeek,3,1)),""))</f>
        <v/>
      </c>
      <c r="L108" s="66" t="str">
        <f aca="false">IF(OR($D108="",$E108=""),"",IF(AND(L$5&gt;=$D108,L$5&lt;=$E108),IF(L$5-$D108+1&lt;=ROUND(($E108-$D108+1)*$F108,0),2,IF(L$5&lt;CFG_CurWeek,3,1)),""))</f>
        <v/>
      </c>
      <c r="M108" s="66" t="str">
        <f aca="false">IF(OR($D108="",$E108=""),"",IF(AND(M$5&gt;=$D108,M$5&lt;=$E108),IF(M$5-$D108+1&lt;=ROUND(($E108-$D108+1)*$F108,0),2,IF(M$5&lt;CFG_CurWeek,3,1)),""))</f>
        <v/>
      </c>
      <c r="N108" s="66" t="str">
        <f aca="false">IF(OR($D108="",$E108=""),"",IF(AND(N$5&gt;=$D108,N$5&lt;=$E108),IF(N$5-$D108+1&lt;=ROUND(($E108-$D108+1)*$F108,0),2,IF(N$5&lt;CFG_CurWeek,3,1)),""))</f>
        <v/>
      </c>
      <c r="O108" s="66" t="str">
        <f aca="false">IF(OR($D108="",$E108=""),"",IF(AND(O$5&gt;=$D108,O$5&lt;=$E108),IF(O$5-$D108+1&lt;=ROUND(($E108-$D108+1)*$F108,0),2,IF(O$5&lt;CFG_CurWeek,3,1)),""))</f>
        <v/>
      </c>
      <c r="P108" s="66" t="str">
        <f aca="false">IF(OR($D108="",$E108=""),"",IF(AND(P$5&gt;=$D108,P$5&lt;=$E108),IF(P$5-$D108+1&lt;=ROUND(($E108-$D108+1)*$F108,0),2,IF(P$5&lt;CFG_CurWeek,3,1)),""))</f>
        <v/>
      </c>
      <c r="Q108" s="66" t="str">
        <f aca="false">IF(OR($D108="",$E108=""),"",IF(AND(Q$5&gt;=$D108,Q$5&lt;=$E108),IF(Q$5-$D108+1&lt;=ROUND(($E108-$D108+1)*$F108,0),2,IF(Q$5&lt;CFG_CurWeek,3,1)),""))</f>
        <v/>
      </c>
      <c r="R108" s="66" t="str">
        <f aca="false">IF(OR($D108="",$E108=""),"",IF(AND(R$5&gt;=$D108,R$5&lt;=$E108),IF(R$5-$D108+1&lt;=ROUND(($E108-$D108+1)*$F108,0),2,IF(R$5&lt;CFG_CurWeek,3,1)),""))</f>
        <v/>
      </c>
      <c r="S108" s="66" t="str">
        <f aca="false">IF(OR($D108="",$E108=""),"",IF(AND(S$5&gt;=$D108,S$5&lt;=$E108),IF(S$5-$D108+1&lt;=ROUND(($E108-$D108+1)*$F108,0),2,IF(S$5&lt;CFG_CurWeek,3,1)),""))</f>
        <v/>
      </c>
      <c r="T108" s="66" t="str">
        <f aca="false">IF(OR($D108="",$E108=""),"",IF(AND(T$5&gt;=$D108,T$5&lt;=$E108),IF(T$5-$D108+1&lt;=ROUND(($E108-$D108+1)*$F108,0),2,IF(T$5&lt;CFG_CurWeek,3,1)),""))</f>
        <v/>
      </c>
      <c r="U108" s="66" t="str">
        <f aca="false">IF(OR($D108="",$E108=""),"",IF(AND(U$5&gt;=$D108,U$5&lt;=$E108),IF(U$5-$D108+1&lt;=ROUND(($E108-$D108+1)*$F108,0),2,IF(U$5&lt;CFG_CurWeek,3,1)),""))</f>
        <v/>
      </c>
      <c r="V108" s="66" t="str">
        <f aca="false">IF(OR($D108="",$E108=""),"",IF(AND(V$5&gt;=$D108,V$5&lt;=$E108),IF(V$5-$D108+1&lt;=ROUND(($E108-$D108+1)*$F108,0),2,IF(V$5&lt;CFG_CurWeek,3,1)),""))</f>
        <v/>
      </c>
      <c r="W108" s="66" t="str">
        <f aca="false">IF(OR($D108="",$E108=""),"",IF(AND(W$5&gt;=$D108,W$5&lt;=$E108),IF(W$5-$D108+1&lt;=ROUND(($E108-$D108+1)*$F108,0),2,IF(W$5&lt;CFG_CurWeek,3,1)),""))</f>
        <v/>
      </c>
      <c r="X108" s="66" t="str">
        <f aca="false">IF(OR($D108="",$E108=""),"",IF(AND(X$5&gt;=$D108,X$5&lt;=$E108),IF(X$5-$D108+1&lt;=ROUND(($E108-$D108+1)*$F108,0),2,IF(X$5&lt;CFG_CurWeek,3,1)),""))</f>
        <v/>
      </c>
      <c r="Y108" s="66" t="str">
        <f aca="false">IF(OR($D108="",$E108=""),"",IF(AND(Y$5&gt;=$D108,Y$5&lt;=$E108),IF(Y$5-$D108+1&lt;=ROUND(($E108-$D108+1)*$F108,0),2,IF(Y$5&lt;CFG_CurWeek,3,1)),""))</f>
        <v/>
      </c>
      <c r="Z108" s="66" t="str">
        <f aca="false">IF(OR($D108="",$E108=""),"",IF(AND(Z$5&gt;=$D108,Z$5&lt;=$E108),IF(Z$5-$D108+1&lt;=ROUND(($E108-$D108+1)*$F108,0),2,IF(Z$5&lt;CFG_CurWeek,3,1)),""))</f>
        <v/>
      </c>
      <c r="AA108" s="66" t="str">
        <f aca="false">IF(OR($D108="",$E108=""),"",IF(AND(AA$5&gt;=$D108,AA$5&lt;=$E108),IF(AA$5-$D108+1&lt;=ROUND(($E108-$D108+1)*$F108,0),2,IF(AA$5&lt;CFG_CurWeek,3,1)),""))</f>
        <v/>
      </c>
      <c r="AB108" s="66" t="str">
        <f aca="false">IF(OR($D108="",$E108=""),"",IF(AND(AB$5&gt;=$D108,AB$5&lt;=$E108),IF(AB$5-$D108+1&lt;=ROUND(($E108-$D108+1)*$F108,0),2,IF(AB$5&lt;CFG_CurWeek,3,1)),""))</f>
        <v/>
      </c>
      <c r="AC108" s="66" t="str">
        <f aca="false">IF(OR($D108="",$E108=""),"",IF(AND(AC$5&gt;=$D108,AC$5&lt;=$E108),IF(AC$5-$D108+1&lt;=ROUND(($E108-$D108+1)*$F108,0),2,IF(AC$5&lt;CFG_CurWeek,3,1)),""))</f>
        <v/>
      </c>
      <c r="AD108" s="66" t="str">
        <f aca="false">IF(OR($D108="",$E108=""),"",IF(AND(AD$5&gt;=$D108,AD$5&lt;=$E108),IF(AD$5-$D108+1&lt;=ROUND(($E108-$D108+1)*$F108,0),2,IF(AD$5&lt;CFG_CurWeek,3,1)),""))</f>
        <v/>
      </c>
      <c r="AE108" s="66" t="str">
        <f aca="false">IF(OR($D108="",$E108=""),"",IF(AND(AE$5&gt;=$D108,AE$5&lt;=$E108),IF(AE$5-$D108+1&lt;=ROUND(($E108-$D108+1)*$F108,0),2,IF(AE$5&lt;CFG_CurWeek,3,1)),""))</f>
        <v/>
      </c>
      <c r="AF108" s="66" t="str">
        <f aca="false">IF(OR($D108="",$E108=""),"",IF(AND(AF$5&gt;=$D108,AF$5&lt;=$E108),IF(AF$5-$D108+1&lt;=ROUND(($E108-$D108+1)*$F108,0),2,IF(AF$5&lt;CFG_CurWeek,3,1)),""))</f>
        <v/>
      </c>
      <c r="AG108" s="66" t="str">
        <f aca="false">IF(OR($D108="",$E108=""),"",IF(AND(AG$5&gt;=$D108,AG$5&lt;=$E108),IF(AG$5-$D108+1&lt;=ROUND(($E108-$D108+1)*$F108,0),2,IF(AG$5&lt;CFG_CurWeek,3,1)),""))</f>
        <v/>
      </c>
      <c r="AH108" s="66" t="str">
        <f aca="false">IF(OR($D108="",$E108=""),"",IF(AND(AH$5&gt;=$D108,AH$5&lt;=$E108),IF(AH$5-$D108+1&lt;=ROUND(($E108-$D108+1)*$F108,0),2,IF(AH$5&lt;CFG_CurWeek,3,1)),""))</f>
        <v/>
      </c>
      <c r="AI108" s="66" t="str">
        <f aca="false">IF(OR($D108="",$E108=""),"",IF(AND(AI$5&gt;=$D108,AI$5&lt;=$E108),IF(AI$5-$D108+1&lt;=ROUND(($E108-$D108+1)*$F108,0),2,IF(AI$5&lt;CFG_CurWeek,3,1)),""))</f>
        <v/>
      </c>
      <c r="AJ108" s="66" t="str">
        <f aca="false">IF(OR($D108="",$E108=""),"",IF(AND(AJ$5&gt;=$D108,AJ$5&lt;=$E108),IF(AJ$5-$D108+1&lt;=ROUND(($E108-$D108+1)*$F108,0),2,IF(AJ$5&lt;CFG_CurWeek,3,1)),""))</f>
        <v/>
      </c>
      <c r="AK108" s="66" t="str">
        <f aca="false">IF(OR($D108="",$E108=""),"",IF(AND(AK$5&gt;=$D108,AK$5&lt;=$E108),IF(AK$5-$D108+1&lt;=ROUND(($E108-$D108+1)*$F108,0),2,IF(AK$5&lt;CFG_CurWeek,3,1)),""))</f>
        <v/>
      </c>
      <c r="AL108" s="66" t="str">
        <f aca="false">IF(OR($D108="",$E108=""),"",IF(AND(AL$5&gt;=$D108,AL$5&lt;=$E108),IF(AL$5-$D108+1&lt;=ROUND(($E108-$D108+1)*$F108,0),2,IF(AL$5&lt;CFG_CurWeek,3,1)),""))</f>
        <v/>
      </c>
      <c r="AM108" s="66" t="str">
        <f aca="false">IF(OR($D108="",$E108=""),"",IF(AND(AM$5&gt;=$D108,AM$5&lt;=$E108),IF(AM$5-$D108+1&lt;=ROUND(($E108-$D108+1)*$F108,0),2,IF(AM$5&lt;CFG_CurWeek,3,1)),""))</f>
        <v/>
      </c>
      <c r="AN108" s="66" t="str">
        <f aca="false">IF(OR($D108="",$E108=""),"",IF(AND(AN$5&gt;=$D108,AN$5&lt;=$E108),IF(AN$5-$D108+1&lt;=ROUND(($E108-$D108+1)*$F108,0),2,IF(AN$5&lt;CFG_CurWeek,3,1)),""))</f>
        <v/>
      </c>
      <c r="AO108" s="66" t="str">
        <f aca="false">IF(OR($D108="",$E108=""),"",IF(AND(AO$5&gt;=$D108,AO$5&lt;=$E108),IF(AO$5-$D108+1&lt;=ROUND(($E108-$D108+1)*$F108,0),2,IF(AO$5&lt;CFG_CurWeek,3,1)),""))</f>
        <v/>
      </c>
    </row>
    <row r="109" customFormat="false" ht="15" hidden="false" customHeight="false" outlineLevel="0" collapsed="false">
      <c r="A109" s="63" t="str">
        <f aca="false">IF('01_WBS &amp; Master Plan'!A106="","",'01_WBS &amp; Master Plan'!A106)</f>
        <v/>
      </c>
      <c r="B109" s="64" t="str">
        <f aca="false">IF('01_WBS &amp; Master Plan'!D106="","",'01_WBS &amp; Master Plan'!D106)</f>
        <v/>
      </c>
      <c r="C109" s="63" t="str">
        <f aca="false">IF('01_WBS &amp; Master Plan'!E106="","",'01_WBS &amp; Master Plan'!E106)</f>
        <v/>
      </c>
      <c r="D109" s="63" t="str">
        <f aca="false">IF('01_WBS &amp; Master Plan'!H106="","",'01_WBS &amp; Master Plan'!H106)</f>
        <v/>
      </c>
      <c r="E109" s="63" t="str">
        <f aca="false">IF('01_WBS &amp; Master Plan'!I106="","",'01_WBS &amp; Master Plan'!I106)</f>
        <v/>
      </c>
      <c r="F109" s="65" t="str">
        <f aca="false">IF(B109="","",IF('01_WBS &amp; Master Plan'!K106="Done",1,IF('01_WBS &amp; Master Plan'!L106="",0,'01_WBS &amp; Master Plan'!L106)))</f>
        <v/>
      </c>
      <c r="G109" s="63" t="str">
        <f aca="false">IF('01_WBS &amp; Master Plan'!K106="","",'01_WBS &amp; Master Plan'!K106)</f>
        <v/>
      </c>
      <c r="H109" s="66" t="str">
        <f aca="false">IF(OR($D109="",$E109=""),"",IF(AND(H$5&gt;=$D109,H$5&lt;=$E109),IF(H$5-$D109+1&lt;=ROUND(($E109-$D109+1)*$F109,0),2,IF(H$5&lt;CFG_CurWeek,3,1)),""))</f>
        <v/>
      </c>
      <c r="I109" s="66" t="str">
        <f aca="false">IF(OR($D109="",$E109=""),"",IF(AND(I$5&gt;=$D109,I$5&lt;=$E109),IF(I$5-$D109+1&lt;=ROUND(($E109-$D109+1)*$F109,0),2,IF(I$5&lt;CFG_CurWeek,3,1)),""))</f>
        <v/>
      </c>
      <c r="J109" s="66" t="str">
        <f aca="false">IF(OR($D109="",$E109=""),"",IF(AND(J$5&gt;=$D109,J$5&lt;=$E109),IF(J$5-$D109+1&lt;=ROUND(($E109-$D109+1)*$F109,0),2,IF(J$5&lt;CFG_CurWeek,3,1)),""))</f>
        <v/>
      </c>
      <c r="K109" s="66" t="str">
        <f aca="false">IF(OR($D109="",$E109=""),"",IF(AND(K$5&gt;=$D109,K$5&lt;=$E109),IF(K$5-$D109+1&lt;=ROUND(($E109-$D109+1)*$F109,0),2,IF(K$5&lt;CFG_CurWeek,3,1)),""))</f>
        <v/>
      </c>
      <c r="L109" s="66" t="str">
        <f aca="false">IF(OR($D109="",$E109=""),"",IF(AND(L$5&gt;=$D109,L$5&lt;=$E109),IF(L$5-$D109+1&lt;=ROUND(($E109-$D109+1)*$F109,0),2,IF(L$5&lt;CFG_CurWeek,3,1)),""))</f>
        <v/>
      </c>
      <c r="M109" s="66" t="str">
        <f aca="false">IF(OR($D109="",$E109=""),"",IF(AND(M$5&gt;=$D109,M$5&lt;=$E109),IF(M$5-$D109+1&lt;=ROUND(($E109-$D109+1)*$F109,0),2,IF(M$5&lt;CFG_CurWeek,3,1)),""))</f>
        <v/>
      </c>
      <c r="N109" s="66" t="str">
        <f aca="false">IF(OR($D109="",$E109=""),"",IF(AND(N$5&gt;=$D109,N$5&lt;=$E109),IF(N$5-$D109+1&lt;=ROUND(($E109-$D109+1)*$F109,0),2,IF(N$5&lt;CFG_CurWeek,3,1)),""))</f>
        <v/>
      </c>
      <c r="O109" s="66" t="str">
        <f aca="false">IF(OR($D109="",$E109=""),"",IF(AND(O$5&gt;=$D109,O$5&lt;=$E109),IF(O$5-$D109+1&lt;=ROUND(($E109-$D109+1)*$F109,0),2,IF(O$5&lt;CFG_CurWeek,3,1)),""))</f>
        <v/>
      </c>
      <c r="P109" s="66" t="str">
        <f aca="false">IF(OR($D109="",$E109=""),"",IF(AND(P$5&gt;=$D109,P$5&lt;=$E109),IF(P$5-$D109+1&lt;=ROUND(($E109-$D109+1)*$F109,0),2,IF(P$5&lt;CFG_CurWeek,3,1)),""))</f>
        <v/>
      </c>
      <c r="Q109" s="66" t="str">
        <f aca="false">IF(OR($D109="",$E109=""),"",IF(AND(Q$5&gt;=$D109,Q$5&lt;=$E109),IF(Q$5-$D109+1&lt;=ROUND(($E109-$D109+1)*$F109,0),2,IF(Q$5&lt;CFG_CurWeek,3,1)),""))</f>
        <v/>
      </c>
      <c r="R109" s="66" t="str">
        <f aca="false">IF(OR($D109="",$E109=""),"",IF(AND(R$5&gt;=$D109,R$5&lt;=$E109),IF(R$5-$D109+1&lt;=ROUND(($E109-$D109+1)*$F109,0),2,IF(R$5&lt;CFG_CurWeek,3,1)),""))</f>
        <v/>
      </c>
      <c r="S109" s="66" t="str">
        <f aca="false">IF(OR($D109="",$E109=""),"",IF(AND(S$5&gt;=$D109,S$5&lt;=$E109),IF(S$5-$D109+1&lt;=ROUND(($E109-$D109+1)*$F109,0),2,IF(S$5&lt;CFG_CurWeek,3,1)),""))</f>
        <v/>
      </c>
      <c r="T109" s="66" t="str">
        <f aca="false">IF(OR($D109="",$E109=""),"",IF(AND(T$5&gt;=$D109,T$5&lt;=$E109),IF(T$5-$D109+1&lt;=ROUND(($E109-$D109+1)*$F109,0),2,IF(T$5&lt;CFG_CurWeek,3,1)),""))</f>
        <v/>
      </c>
      <c r="U109" s="66" t="str">
        <f aca="false">IF(OR($D109="",$E109=""),"",IF(AND(U$5&gt;=$D109,U$5&lt;=$E109),IF(U$5-$D109+1&lt;=ROUND(($E109-$D109+1)*$F109,0),2,IF(U$5&lt;CFG_CurWeek,3,1)),""))</f>
        <v/>
      </c>
      <c r="V109" s="66" t="str">
        <f aca="false">IF(OR($D109="",$E109=""),"",IF(AND(V$5&gt;=$D109,V$5&lt;=$E109),IF(V$5-$D109+1&lt;=ROUND(($E109-$D109+1)*$F109,0),2,IF(V$5&lt;CFG_CurWeek,3,1)),""))</f>
        <v/>
      </c>
      <c r="W109" s="66" t="str">
        <f aca="false">IF(OR($D109="",$E109=""),"",IF(AND(W$5&gt;=$D109,W$5&lt;=$E109),IF(W$5-$D109+1&lt;=ROUND(($E109-$D109+1)*$F109,0),2,IF(W$5&lt;CFG_CurWeek,3,1)),""))</f>
        <v/>
      </c>
      <c r="X109" s="66" t="str">
        <f aca="false">IF(OR($D109="",$E109=""),"",IF(AND(X$5&gt;=$D109,X$5&lt;=$E109),IF(X$5-$D109+1&lt;=ROUND(($E109-$D109+1)*$F109,0),2,IF(X$5&lt;CFG_CurWeek,3,1)),""))</f>
        <v/>
      </c>
      <c r="Y109" s="66" t="str">
        <f aca="false">IF(OR($D109="",$E109=""),"",IF(AND(Y$5&gt;=$D109,Y$5&lt;=$E109),IF(Y$5-$D109+1&lt;=ROUND(($E109-$D109+1)*$F109,0),2,IF(Y$5&lt;CFG_CurWeek,3,1)),""))</f>
        <v/>
      </c>
      <c r="Z109" s="66" t="str">
        <f aca="false">IF(OR($D109="",$E109=""),"",IF(AND(Z$5&gt;=$D109,Z$5&lt;=$E109),IF(Z$5-$D109+1&lt;=ROUND(($E109-$D109+1)*$F109,0),2,IF(Z$5&lt;CFG_CurWeek,3,1)),""))</f>
        <v/>
      </c>
      <c r="AA109" s="66" t="str">
        <f aca="false">IF(OR($D109="",$E109=""),"",IF(AND(AA$5&gt;=$D109,AA$5&lt;=$E109),IF(AA$5-$D109+1&lt;=ROUND(($E109-$D109+1)*$F109,0),2,IF(AA$5&lt;CFG_CurWeek,3,1)),""))</f>
        <v/>
      </c>
      <c r="AB109" s="66" t="str">
        <f aca="false">IF(OR($D109="",$E109=""),"",IF(AND(AB$5&gt;=$D109,AB$5&lt;=$E109),IF(AB$5-$D109+1&lt;=ROUND(($E109-$D109+1)*$F109,0),2,IF(AB$5&lt;CFG_CurWeek,3,1)),""))</f>
        <v/>
      </c>
      <c r="AC109" s="66" t="str">
        <f aca="false">IF(OR($D109="",$E109=""),"",IF(AND(AC$5&gt;=$D109,AC$5&lt;=$E109),IF(AC$5-$D109+1&lt;=ROUND(($E109-$D109+1)*$F109,0),2,IF(AC$5&lt;CFG_CurWeek,3,1)),""))</f>
        <v/>
      </c>
      <c r="AD109" s="66" t="str">
        <f aca="false">IF(OR($D109="",$E109=""),"",IF(AND(AD$5&gt;=$D109,AD$5&lt;=$E109),IF(AD$5-$D109+1&lt;=ROUND(($E109-$D109+1)*$F109,0),2,IF(AD$5&lt;CFG_CurWeek,3,1)),""))</f>
        <v/>
      </c>
      <c r="AE109" s="66" t="str">
        <f aca="false">IF(OR($D109="",$E109=""),"",IF(AND(AE$5&gt;=$D109,AE$5&lt;=$E109),IF(AE$5-$D109+1&lt;=ROUND(($E109-$D109+1)*$F109,0),2,IF(AE$5&lt;CFG_CurWeek,3,1)),""))</f>
        <v/>
      </c>
      <c r="AF109" s="66" t="str">
        <f aca="false">IF(OR($D109="",$E109=""),"",IF(AND(AF$5&gt;=$D109,AF$5&lt;=$E109),IF(AF$5-$D109+1&lt;=ROUND(($E109-$D109+1)*$F109,0),2,IF(AF$5&lt;CFG_CurWeek,3,1)),""))</f>
        <v/>
      </c>
      <c r="AG109" s="66" t="str">
        <f aca="false">IF(OR($D109="",$E109=""),"",IF(AND(AG$5&gt;=$D109,AG$5&lt;=$E109),IF(AG$5-$D109+1&lt;=ROUND(($E109-$D109+1)*$F109,0),2,IF(AG$5&lt;CFG_CurWeek,3,1)),""))</f>
        <v/>
      </c>
      <c r="AH109" s="66" t="str">
        <f aca="false">IF(OR($D109="",$E109=""),"",IF(AND(AH$5&gt;=$D109,AH$5&lt;=$E109),IF(AH$5-$D109+1&lt;=ROUND(($E109-$D109+1)*$F109,0),2,IF(AH$5&lt;CFG_CurWeek,3,1)),""))</f>
        <v/>
      </c>
      <c r="AI109" s="66" t="str">
        <f aca="false">IF(OR($D109="",$E109=""),"",IF(AND(AI$5&gt;=$D109,AI$5&lt;=$E109),IF(AI$5-$D109+1&lt;=ROUND(($E109-$D109+1)*$F109,0),2,IF(AI$5&lt;CFG_CurWeek,3,1)),""))</f>
        <v/>
      </c>
      <c r="AJ109" s="66" t="str">
        <f aca="false">IF(OR($D109="",$E109=""),"",IF(AND(AJ$5&gt;=$D109,AJ$5&lt;=$E109),IF(AJ$5-$D109+1&lt;=ROUND(($E109-$D109+1)*$F109,0),2,IF(AJ$5&lt;CFG_CurWeek,3,1)),""))</f>
        <v/>
      </c>
      <c r="AK109" s="66" t="str">
        <f aca="false">IF(OR($D109="",$E109=""),"",IF(AND(AK$5&gt;=$D109,AK$5&lt;=$E109),IF(AK$5-$D109+1&lt;=ROUND(($E109-$D109+1)*$F109,0),2,IF(AK$5&lt;CFG_CurWeek,3,1)),""))</f>
        <v/>
      </c>
      <c r="AL109" s="66" t="str">
        <f aca="false">IF(OR($D109="",$E109=""),"",IF(AND(AL$5&gt;=$D109,AL$5&lt;=$E109),IF(AL$5-$D109+1&lt;=ROUND(($E109-$D109+1)*$F109,0),2,IF(AL$5&lt;CFG_CurWeek,3,1)),""))</f>
        <v/>
      </c>
      <c r="AM109" s="66" t="str">
        <f aca="false">IF(OR($D109="",$E109=""),"",IF(AND(AM$5&gt;=$D109,AM$5&lt;=$E109),IF(AM$5-$D109+1&lt;=ROUND(($E109-$D109+1)*$F109,0),2,IF(AM$5&lt;CFG_CurWeek,3,1)),""))</f>
        <v/>
      </c>
      <c r="AN109" s="66" t="str">
        <f aca="false">IF(OR($D109="",$E109=""),"",IF(AND(AN$5&gt;=$D109,AN$5&lt;=$E109),IF(AN$5-$D109+1&lt;=ROUND(($E109-$D109+1)*$F109,0),2,IF(AN$5&lt;CFG_CurWeek,3,1)),""))</f>
        <v/>
      </c>
      <c r="AO109" s="66" t="str">
        <f aca="false">IF(OR($D109="",$E109=""),"",IF(AND(AO$5&gt;=$D109,AO$5&lt;=$E109),IF(AO$5-$D109+1&lt;=ROUND(($E109-$D109+1)*$F109,0),2,IF(AO$5&lt;CFG_CurWeek,3,1)),""))</f>
        <v/>
      </c>
    </row>
    <row r="110" customFormat="false" ht="15" hidden="false" customHeight="false" outlineLevel="0" collapsed="false">
      <c r="A110" s="63" t="str">
        <f aca="false">IF('01_WBS &amp; Master Plan'!A107="","",'01_WBS &amp; Master Plan'!A107)</f>
        <v/>
      </c>
      <c r="B110" s="64" t="str">
        <f aca="false">IF('01_WBS &amp; Master Plan'!D107="","",'01_WBS &amp; Master Plan'!D107)</f>
        <v/>
      </c>
      <c r="C110" s="63" t="str">
        <f aca="false">IF('01_WBS &amp; Master Plan'!E107="","",'01_WBS &amp; Master Plan'!E107)</f>
        <v/>
      </c>
      <c r="D110" s="63" t="str">
        <f aca="false">IF('01_WBS &amp; Master Plan'!H107="","",'01_WBS &amp; Master Plan'!H107)</f>
        <v/>
      </c>
      <c r="E110" s="63" t="str">
        <f aca="false">IF('01_WBS &amp; Master Plan'!I107="","",'01_WBS &amp; Master Plan'!I107)</f>
        <v/>
      </c>
      <c r="F110" s="65" t="str">
        <f aca="false">IF(B110="","",IF('01_WBS &amp; Master Plan'!K107="Done",1,IF('01_WBS &amp; Master Plan'!L107="",0,'01_WBS &amp; Master Plan'!L107)))</f>
        <v/>
      </c>
      <c r="G110" s="63" t="str">
        <f aca="false">IF('01_WBS &amp; Master Plan'!K107="","",'01_WBS &amp; Master Plan'!K107)</f>
        <v/>
      </c>
      <c r="H110" s="66" t="str">
        <f aca="false">IF(OR($D110="",$E110=""),"",IF(AND(H$5&gt;=$D110,H$5&lt;=$E110),IF(H$5-$D110+1&lt;=ROUND(($E110-$D110+1)*$F110,0),2,IF(H$5&lt;CFG_CurWeek,3,1)),""))</f>
        <v/>
      </c>
      <c r="I110" s="66" t="str">
        <f aca="false">IF(OR($D110="",$E110=""),"",IF(AND(I$5&gt;=$D110,I$5&lt;=$E110),IF(I$5-$D110+1&lt;=ROUND(($E110-$D110+1)*$F110,0),2,IF(I$5&lt;CFG_CurWeek,3,1)),""))</f>
        <v/>
      </c>
      <c r="J110" s="66" t="str">
        <f aca="false">IF(OR($D110="",$E110=""),"",IF(AND(J$5&gt;=$D110,J$5&lt;=$E110),IF(J$5-$D110+1&lt;=ROUND(($E110-$D110+1)*$F110,0),2,IF(J$5&lt;CFG_CurWeek,3,1)),""))</f>
        <v/>
      </c>
      <c r="K110" s="66" t="str">
        <f aca="false">IF(OR($D110="",$E110=""),"",IF(AND(K$5&gt;=$D110,K$5&lt;=$E110),IF(K$5-$D110+1&lt;=ROUND(($E110-$D110+1)*$F110,0),2,IF(K$5&lt;CFG_CurWeek,3,1)),""))</f>
        <v/>
      </c>
      <c r="L110" s="66" t="str">
        <f aca="false">IF(OR($D110="",$E110=""),"",IF(AND(L$5&gt;=$D110,L$5&lt;=$E110),IF(L$5-$D110+1&lt;=ROUND(($E110-$D110+1)*$F110,0),2,IF(L$5&lt;CFG_CurWeek,3,1)),""))</f>
        <v/>
      </c>
      <c r="M110" s="66" t="str">
        <f aca="false">IF(OR($D110="",$E110=""),"",IF(AND(M$5&gt;=$D110,M$5&lt;=$E110),IF(M$5-$D110+1&lt;=ROUND(($E110-$D110+1)*$F110,0),2,IF(M$5&lt;CFG_CurWeek,3,1)),""))</f>
        <v/>
      </c>
      <c r="N110" s="66" t="str">
        <f aca="false">IF(OR($D110="",$E110=""),"",IF(AND(N$5&gt;=$D110,N$5&lt;=$E110),IF(N$5-$D110+1&lt;=ROUND(($E110-$D110+1)*$F110,0),2,IF(N$5&lt;CFG_CurWeek,3,1)),""))</f>
        <v/>
      </c>
      <c r="O110" s="66" t="str">
        <f aca="false">IF(OR($D110="",$E110=""),"",IF(AND(O$5&gt;=$D110,O$5&lt;=$E110),IF(O$5-$D110+1&lt;=ROUND(($E110-$D110+1)*$F110,0),2,IF(O$5&lt;CFG_CurWeek,3,1)),""))</f>
        <v/>
      </c>
      <c r="P110" s="66" t="str">
        <f aca="false">IF(OR($D110="",$E110=""),"",IF(AND(P$5&gt;=$D110,P$5&lt;=$E110),IF(P$5-$D110+1&lt;=ROUND(($E110-$D110+1)*$F110,0),2,IF(P$5&lt;CFG_CurWeek,3,1)),""))</f>
        <v/>
      </c>
      <c r="Q110" s="66" t="str">
        <f aca="false">IF(OR($D110="",$E110=""),"",IF(AND(Q$5&gt;=$D110,Q$5&lt;=$E110),IF(Q$5-$D110+1&lt;=ROUND(($E110-$D110+1)*$F110,0),2,IF(Q$5&lt;CFG_CurWeek,3,1)),""))</f>
        <v/>
      </c>
      <c r="R110" s="66" t="str">
        <f aca="false">IF(OR($D110="",$E110=""),"",IF(AND(R$5&gt;=$D110,R$5&lt;=$E110),IF(R$5-$D110+1&lt;=ROUND(($E110-$D110+1)*$F110,0),2,IF(R$5&lt;CFG_CurWeek,3,1)),""))</f>
        <v/>
      </c>
      <c r="S110" s="66" t="str">
        <f aca="false">IF(OR($D110="",$E110=""),"",IF(AND(S$5&gt;=$D110,S$5&lt;=$E110),IF(S$5-$D110+1&lt;=ROUND(($E110-$D110+1)*$F110,0),2,IF(S$5&lt;CFG_CurWeek,3,1)),""))</f>
        <v/>
      </c>
      <c r="T110" s="66" t="str">
        <f aca="false">IF(OR($D110="",$E110=""),"",IF(AND(T$5&gt;=$D110,T$5&lt;=$E110),IF(T$5-$D110+1&lt;=ROUND(($E110-$D110+1)*$F110,0),2,IF(T$5&lt;CFG_CurWeek,3,1)),""))</f>
        <v/>
      </c>
      <c r="U110" s="66" t="str">
        <f aca="false">IF(OR($D110="",$E110=""),"",IF(AND(U$5&gt;=$D110,U$5&lt;=$E110),IF(U$5-$D110+1&lt;=ROUND(($E110-$D110+1)*$F110,0),2,IF(U$5&lt;CFG_CurWeek,3,1)),""))</f>
        <v/>
      </c>
      <c r="V110" s="66" t="str">
        <f aca="false">IF(OR($D110="",$E110=""),"",IF(AND(V$5&gt;=$D110,V$5&lt;=$E110),IF(V$5-$D110+1&lt;=ROUND(($E110-$D110+1)*$F110,0),2,IF(V$5&lt;CFG_CurWeek,3,1)),""))</f>
        <v/>
      </c>
      <c r="W110" s="66" t="str">
        <f aca="false">IF(OR($D110="",$E110=""),"",IF(AND(W$5&gt;=$D110,W$5&lt;=$E110),IF(W$5-$D110+1&lt;=ROUND(($E110-$D110+1)*$F110,0),2,IF(W$5&lt;CFG_CurWeek,3,1)),""))</f>
        <v/>
      </c>
      <c r="X110" s="66" t="str">
        <f aca="false">IF(OR($D110="",$E110=""),"",IF(AND(X$5&gt;=$D110,X$5&lt;=$E110),IF(X$5-$D110+1&lt;=ROUND(($E110-$D110+1)*$F110,0),2,IF(X$5&lt;CFG_CurWeek,3,1)),""))</f>
        <v/>
      </c>
      <c r="Y110" s="66" t="str">
        <f aca="false">IF(OR($D110="",$E110=""),"",IF(AND(Y$5&gt;=$D110,Y$5&lt;=$E110),IF(Y$5-$D110+1&lt;=ROUND(($E110-$D110+1)*$F110,0),2,IF(Y$5&lt;CFG_CurWeek,3,1)),""))</f>
        <v/>
      </c>
      <c r="Z110" s="66" t="str">
        <f aca="false">IF(OR($D110="",$E110=""),"",IF(AND(Z$5&gt;=$D110,Z$5&lt;=$E110),IF(Z$5-$D110+1&lt;=ROUND(($E110-$D110+1)*$F110,0),2,IF(Z$5&lt;CFG_CurWeek,3,1)),""))</f>
        <v/>
      </c>
      <c r="AA110" s="66" t="str">
        <f aca="false">IF(OR($D110="",$E110=""),"",IF(AND(AA$5&gt;=$D110,AA$5&lt;=$E110),IF(AA$5-$D110+1&lt;=ROUND(($E110-$D110+1)*$F110,0),2,IF(AA$5&lt;CFG_CurWeek,3,1)),""))</f>
        <v/>
      </c>
      <c r="AB110" s="66" t="str">
        <f aca="false">IF(OR($D110="",$E110=""),"",IF(AND(AB$5&gt;=$D110,AB$5&lt;=$E110),IF(AB$5-$D110+1&lt;=ROUND(($E110-$D110+1)*$F110,0),2,IF(AB$5&lt;CFG_CurWeek,3,1)),""))</f>
        <v/>
      </c>
      <c r="AC110" s="66" t="str">
        <f aca="false">IF(OR($D110="",$E110=""),"",IF(AND(AC$5&gt;=$D110,AC$5&lt;=$E110),IF(AC$5-$D110+1&lt;=ROUND(($E110-$D110+1)*$F110,0),2,IF(AC$5&lt;CFG_CurWeek,3,1)),""))</f>
        <v/>
      </c>
      <c r="AD110" s="66" t="str">
        <f aca="false">IF(OR($D110="",$E110=""),"",IF(AND(AD$5&gt;=$D110,AD$5&lt;=$E110),IF(AD$5-$D110+1&lt;=ROUND(($E110-$D110+1)*$F110,0),2,IF(AD$5&lt;CFG_CurWeek,3,1)),""))</f>
        <v/>
      </c>
      <c r="AE110" s="66" t="str">
        <f aca="false">IF(OR($D110="",$E110=""),"",IF(AND(AE$5&gt;=$D110,AE$5&lt;=$E110),IF(AE$5-$D110+1&lt;=ROUND(($E110-$D110+1)*$F110,0),2,IF(AE$5&lt;CFG_CurWeek,3,1)),""))</f>
        <v/>
      </c>
      <c r="AF110" s="66" t="str">
        <f aca="false">IF(OR($D110="",$E110=""),"",IF(AND(AF$5&gt;=$D110,AF$5&lt;=$E110),IF(AF$5-$D110+1&lt;=ROUND(($E110-$D110+1)*$F110,0),2,IF(AF$5&lt;CFG_CurWeek,3,1)),""))</f>
        <v/>
      </c>
      <c r="AG110" s="66" t="str">
        <f aca="false">IF(OR($D110="",$E110=""),"",IF(AND(AG$5&gt;=$D110,AG$5&lt;=$E110),IF(AG$5-$D110+1&lt;=ROUND(($E110-$D110+1)*$F110,0),2,IF(AG$5&lt;CFG_CurWeek,3,1)),""))</f>
        <v/>
      </c>
      <c r="AH110" s="66" t="str">
        <f aca="false">IF(OR($D110="",$E110=""),"",IF(AND(AH$5&gt;=$D110,AH$5&lt;=$E110),IF(AH$5-$D110+1&lt;=ROUND(($E110-$D110+1)*$F110,0),2,IF(AH$5&lt;CFG_CurWeek,3,1)),""))</f>
        <v/>
      </c>
      <c r="AI110" s="66" t="str">
        <f aca="false">IF(OR($D110="",$E110=""),"",IF(AND(AI$5&gt;=$D110,AI$5&lt;=$E110),IF(AI$5-$D110+1&lt;=ROUND(($E110-$D110+1)*$F110,0),2,IF(AI$5&lt;CFG_CurWeek,3,1)),""))</f>
        <v/>
      </c>
      <c r="AJ110" s="66" t="str">
        <f aca="false">IF(OR($D110="",$E110=""),"",IF(AND(AJ$5&gt;=$D110,AJ$5&lt;=$E110),IF(AJ$5-$D110+1&lt;=ROUND(($E110-$D110+1)*$F110,0),2,IF(AJ$5&lt;CFG_CurWeek,3,1)),""))</f>
        <v/>
      </c>
      <c r="AK110" s="66" t="str">
        <f aca="false">IF(OR($D110="",$E110=""),"",IF(AND(AK$5&gt;=$D110,AK$5&lt;=$E110),IF(AK$5-$D110+1&lt;=ROUND(($E110-$D110+1)*$F110,0),2,IF(AK$5&lt;CFG_CurWeek,3,1)),""))</f>
        <v/>
      </c>
      <c r="AL110" s="66" t="str">
        <f aca="false">IF(OR($D110="",$E110=""),"",IF(AND(AL$5&gt;=$D110,AL$5&lt;=$E110),IF(AL$5-$D110+1&lt;=ROUND(($E110-$D110+1)*$F110,0),2,IF(AL$5&lt;CFG_CurWeek,3,1)),""))</f>
        <v/>
      </c>
      <c r="AM110" s="66" t="str">
        <f aca="false">IF(OR($D110="",$E110=""),"",IF(AND(AM$5&gt;=$D110,AM$5&lt;=$E110),IF(AM$5-$D110+1&lt;=ROUND(($E110-$D110+1)*$F110,0),2,IF(AM$5&lt;CFG_CurWeek,3,1)),""))</f>
        <v/>
      </c>
      <c r="AN110" s="66" t="str">
        <f aca="false">IF(OR($D110="",$E110=""),"",IF(AND(AN$5&gt;=$D110,AN$5&lt;=$E110),IF(AN$5-$D110+1&lt;=ROUND(($E110-$D110+1)*$F110,0),2,IF(AN$5&lt;CFG_CurWeek,3,1)),""))</f>
        <v/>
      </c>
      <c r="AO110" s="66" t="str">
        <f aca="false">IF(OR($D110="",$E110=""),"",IF(AND(AO$5&gt;=$D110,AO$5&lt;=$E110),IF(AO$5-$D110+1&lt;=ROUND(($E110-$D110+1)*$F110,0),2,IF(AO$5&lt;CFG_CurWeek,3,1)),""))</f>
        <v/>
      </c>
    </row>
    <row r="111" customFormat="false" ht="15" hidden="false" customHeight="false" outlineLevel="0" collapsed="false">
      <c r="A111" s="63" t="str">
        <f aca="false">IF('01_WBS &amp; Master Plan'!A108="","",'01_WBS &amp; Master Plan'!A108)</f>
        <v/>
      </c>
      <c r="B111" s="64" t="str">
        <f aca="false">IF('01_WBS &amp; Master Plan'!D108="","",'01_WBS &amp; Master Plan'!D108)</f>
        <v/>
      </c>
      <c r="C111" s="63" t="str">
        <f aca="false">IF('01_WBS &amp; Master Plan'!E108="","",'01_WBS &amp; Master Plan'!E108)</f>
        <v/>
      </c>
      <c r="D111" s="63" t="str">
        <f aca="false">IF('01_WBS &amp; Master Plan'!H108="","",'01_WBS &amp; Master Plan'!H108)</f>
        <v/>
      </c>
      <c r="E111" s="63" t="str">
        <f aca="false">IF('01_WBS &amp; Master Plan'!I108="","",'01_WBS &amp; Master Plan'!I108)</f>
        <v/>
      </c>
      <c r="F111" s="65" t="str">
        <f aca="false">IF(B111="","",IF('01_WBS &amp; Master Plan'!K108="Done",1,IF('01_WBS &amp; Master Plan'!L108="",0,'01_WBS &amp; Master Plan'!L108)))</f>
        <v/>
      </c>
      <c r="G111" s="63" t="str">
        <f aca="false">IF('01_WBS &amp; Master Plan'!K108="","",'01_WBS &amp; Master Plan'!K108)</f>
        <v/>
      </c>
      <c r="H111" s="66" t="str">
        <f aca="false">IF(OR($D111="",$E111=""),"",IF(AND(H$5&gt;=$D111,H$5&lt;=$E111),IF(H$5-$D111+1&lt;=ROUND(($E111-$D111+1)*$F111,0),2,IF(H$5&lt;CFG_CurWeek,3,1)),""))</f>
        <v/>
      </c>
      <c r="I111" s="66" t="str">
        <f aca="false">IF(OR($D111="",$E111=""),"",IF(AND(I$5&gt;=$D111,I$5&lt;=$E111),IF(I$5-$D111+1&lt;=ROUND(($E111-$D111+1)*$F111,0),2,IF(I$5&lt;CFG_CurWeek,3,1)),""))</f>
        <v/>
      </c>
      <c r="J111" s="66" t="str">
        <f aca="false">IF(OR($D111="",$E111=""),"",IF(AND(J$5&gt;=$D111,J$5&lt;=$E111),IF(J$5-$D111+1&lt;=ROUND(($E111-$D111+1)*$F111,0),2,IF(J$5&lt;CFG_CurWeek,3,1)),""))</f>
        <v/>
      </c>
      <c r="K111" s="66" t="str">
        <f aca="false">IF(OR($D111="",$E111=""),"",IF(AND(K$5&gt;=$D111,K$5&lt;=$E111),IF(K$5-$D111+1&lt;=ROUND(($E111-$D111+1)*$F111,0),2,IF(K$5&lt;CFG_CurWeek,3,1)),""))</f>
        <v/>
      </c>
      <c r="L111" s="66" t="str">
        <f aca="false">IF(OR($D111="",$E111=""),"",IF(AND(L$5&gt;=$D111,L$5&lt;=$E111),IF(L$5-$D111+1&lt;=ROUND(($E111-$D111+1)*$F111,0),2,IF(L$5&lt;CFG_CurWeek,3,1)),""))</f>
        <v/>
      </c>
      <c r="M111" s="66" t="str">
        <f aca="false">IF(OR($D111="",$E111=""),"",IF(AND(M$5&gt;=$D111,M$5&lt;=$E111),IF(M$5-$D111+1&lt;=ROUND(($E111-$D111+1)*$F111,0),2,IF(M$5&lt;CFG_CurWeek,3,1)),""))</f>
        <v/>
      </c>
      <c r="N111" s="66" t="str">
        <f aca="false">IF(OR($D111="",$E111=""),"",IF(AND(N$5&gt;=$D111,N$5&lt;=$E111),IF(N$5-$D111+1&lt;=ROUND(($E111-$D111+1)*$F111,0),2,IF(N$5&lt;CFG_CurWeek,3,1)),""))</f>
        <v/>
      </c>
      <c r="O111" s="66" t="str">
        <f aca="false">IF(OR($D111="",$E111=""),"",IF(AND(O$5&gt;=$D111,O$5&lt;=$E111),IF(O$5-$D111+1&lt;=ROUND(($E111-$D111+1)*$F111,0),2,IF(O$5&lt;CFG_CurWeek,3,1)),""))</f>
        <v/>
      </c>
      <c r="P111" s="66" t="str">
        <f aca="false">IF(OR($D111="",$E111=""),"",IF(AND(P$5&gt;=$D111,P$5&lt;=$E111),IF(P$5-$D111+1&lt;=ROUND(($E111-$D111+1)*$F111,0),2,IF(P$5&lt;CFG_CurWeek,3,1)),""))</f>
        <v/>
      </c>
      <c r="Q111" s="66" t="str">
        <f aca="false">IF(OR($D111="",$E111=""),"",IF(AND(Q$5&gt;=$D111,Q$5&lt;=$E111),IF(Q$5-$D111+1&lt;=ROUND(($E111-$D111+1)*$F111,0),2,IF(Q$5&lt;CFG_CurWeek,3,1)),""))</f>
        <v/>
      </c>
      <c r="R111" s="66" t="str">
        <f aca="false">IF(OR($D111="",$E111=""),"",IF(AND(R$5&gt;=$D111,R$5&lt;=$E111),IF(R$5-$D111+1&lt;=ROUND(($E111-$D111+1)*$F111,0),2,IF(R$5&lt;CFG_CurWeek,3,1)),""))</f>
        <v/>
      </c>
      <c r="S111" s="66" t="str">
        <f aca="false">IF(OR($D111="",$E111=""),"",IF(AND(S$5&gt;=$D111,S$5&lt;=$E111),IF(S$5-$D111+1&lt;=ROUND(($E111-$D111+1)*$F111,0),2,IF(S$5&lt;CFG_CurWeek,3,1)),""))</f>
        <v/>
      </c>
      <c r="T111" s="66" t="str">
        <f aca="false">IF(OR($D111="",$E111=""),"",IF(AND(T$5&gt;=$D111,T$5&lt;=$E111),IF(T$5-$D111+1&lt;=ROUND(($E111-$D111+1)*$F111,0),2,IF(T$5&lt;CFG_CurWeek,3,1)),""))</f>
        <v/>
      </c>
      <c r="U111" s="66" t="str">
        <f aca="false">IF(OR($D111="",$E111=""),"",IF(AND(U$5&gt;=$D111,U$5&lt;=$E111),IF(U$5-$D111+1&lt;=ROUND(($E111-$D111+1)*$F111,0),2,IF(U$5&lt;CFG_CurWeek,3,1)),""))</f>
        <v/>
      </c>
      <c r="V111" s="66" t="str">
        <f aca="false">IF(OR($D111="",$E111=""),"",IF(AND(V$5&gt;=$D111,V$5&lt;=$E111),IF(V$5-$D111+1&lt;=ROUND(($E111-$D111+1)*$F111,0),2,IF(V$5&lt;CFG_CurWeek,3,1)),""))</f>
        <v/>
      </c>
      <c r="W111" s="66" t="str">
        <f aca="false">IF(OR($D111="",$E111=""),"",IF(AND(W$5&gt;=$D111,W$5&lt;=$E111),IF(W$5-$D111+1&lt;=ROUND(($E111-$D111+1)*$F111,0),2,IF(W$5&lt;CFG_CurWeek,3,1)),""))</f>
        <v/>
      </c>
      <c r="X111" s="66" t="str">
        <f aca="false">IF(OR($D111="",$E111=""),"",IF(AND(X$5&gt;=$D111,X$5&lt;=$E111),IF(X$5-$D111+1&lt;=ROUND(($E111-$D111+1)*$F111,0),2,IF(X$5&lt;CFG_CurWeek,3,1)),""))</f>
        <v/>
      </c>
      <c r="Y111" s="66" t="str">
        <f aca="false">IF(OR($D111="",$E111=""),"",IF(AND(Y$5&gt;=$D111,Y$5&lt;=$E111),IF(Y$5-$D111+1&lt;=ROUND(($E111-$D111+1)*$F111,0),2,IF(Y$5&lt;CFG_CurWeek,3,1)),""))</f>
        <v/>
      </c>
      <c r="Z111" s="66" t="str">
        <f aca="false">IF(OR($D111="",$E111=""),"",IF(AND(Z$5&gt;=$D111,Z$5&lt;=$E111),IF(Z$5-$D111+1&lt;=ROUND(($E111-$D111+1)*$F111,0),2,IF(Z$5&lt;CFG_CurWeek,3,1)),""))</f>
        <v/>
      </c>
      <c r="AA111" s="66" t="str">
        <f aca="false">IF(OR($D111="",$E111=""),"",IF(AND(AA$5&gt;=$D111,AA$5&lt;=$E111),IF(AA$5-$D111+1&lt;=ROUND(($E111-$D111+1)*$F111,0),2,IF(AA$5&lt;CFG_CurWeek,3,1)),""))</f>
        <v/>
      </c>
      <c r="AB111" s="66" t="str">
        <f aca="false">IF(OR($D111="",$E111=""),"",IF(AND(AB$5&gt;=$D111,AB$5&lt;=$E111),IF(AB$5-$D111+1&lt;=ROUND(($E111-$D111+1)*$F111,0),2,IF(AB$5&lt;CFG_CurWeek,3,1)),""))</f>
        <v/>
      </c>
      <c r="AC111" s="66" t="str">
        <f aca="false">IF(OR($D111="",$E111=""),"",IF(AND(AC$5&gt;=$D111,AC$5&lt;=$E111),IF(AC$5-$D111+1&lt;=ROUND(($E111-$D111+1)*$F111,0),2,IF(AC$5&lt;CFG_CurWeek,3,1)),""))</f>
        <v/>
      </c>
      <c r="AD111" s="66" t="str">
        <f aca="false">IF(OR($D111="",$E111=""),"",IF(AND(AD$5&gt;=$D111,AD$5&lt;=$E111),IF(AD$5-$D111+1&lt;=ROUND(($E111-$D111+1)*$F111,0),2,IF(AD$5&lt;CFG_CurWeek,3,1)),""))</f>
        <v/>
      </c>
      <c r="AE111" s="66" t="str">
        <f aca="false">IF(OR($D111="",$E111=""),"",IF(AND(AE$5&gt;=$D111,AE$5&lt;=$E111),IF(AE$5-$D111+1&lt;=ROUND(($E111-$D111+1)*$F111,0),2,IF(AE$5&lt;CFG_CurWeek,3,1)),""))</f>
        <v/>
      </c>
      <c r="AF111" s="66" t="str">
        <f aca="false">IF(OR($D111="",$E111=""),"",IF(AND(AF$5&gt;=$D111,AF$5&lt;=$E111),IF(AF$5-$D111+1&lt;=ROUND(($E111-$D111+1)*$F111,0),2,IF(AF$5&lt;CFG_CurWeek,3,1)),""))</f>
        <v/>
      </c>
      <c r="AG111" s="66" t="str">
        <f aca="false">IF(OR($D111="",$E111=""),"",IF(AND(AG$5&gt;=$D111,AG$5&lt;=$E111),IF(AG$5-$D111+1&lt;=ROUND(($E111-$D111+1)*$F111,0),2,IF(AG$5&lt;CFG_CurWeek,3,1)),""))</f>
        <v/>
      </c>
      <c r="AH111" s="66" t="str">
        <f aca="false">IF(OR($D111="",$E111=""),"",IF(AND(AH$5&gt;=$D111,AH$5&lt;=$E111),IF(AH$5-$D111+1&lt;=ROUND(($E111-$D111+1)*$F111,0),2,IF(AH$5&lt;CFG_CurWeek,3,1)),""))</f>
        <v/>
      </c>
      <c r="AI111" s="66" t="str">
        <f aca="false">IF(OR($D111="",$E111=""),"",IF(AND(AI$5&gt;=$D111,AI$5&lt;=$E111),IF(AI$5-$D111+1&lt;=ROUND(($E111-$D111+1)*$F111,0),2,IF(AI$5&lt;CFG_CurWeek,3,1)),""))</f>
        <v/>
      </c>
      <c r="AJ111" s="66" t="str">
        <f aca="false">IF(OR($D111="",$E111=""),"",IF(AND(AJ$5&gt;=$D111,AJ$5&lt;=$E111),IF(AJ$5-$D111+1&lt;=ROUND(($E111-$D111+1)*$F111,0),2,IF(AJ$5&lt;CFG_CurWeek,3,1)),""))</f>
        <v/>
      </c>
      <c r="AK111" s="66" t="str">
        <f aca="false">IF(OR($D111="",$E111=""),"",IF(AND(AK$5&gt;=$D111,AK$5&lt;=$E111),IF(AK$5-$D111+1&lt;=ROUND(($E111-$D111+1)*$F111,0),2,IF(AK$5&lt;CFG_CurWeek,3,1)),""))</f>
        <v/>
      </c>
      <c r="AL111" s="66" t="str">
        <f aca="false">IF(OR($D111="",$E111=""),"",IF(AND(AL$5&gt;=$D111,AL$5&lt;=$E111),IF(AL$5-$D111+1&lt;=ROUND(($E111-$D111+1)*$F111,0),2,IF(AL$5&lt;CFG_CurWeek,3,1)),""))</f>
        <v/>
      </c>
      <c r="AM111" s="66" t="str">
        <f aca="false">IF(OR($D111="",$E111=""),"",IF(AND(AM$5&gt;=$D111,AM$5&lt;=$E111),IF(AM$5-$D111+1&lt;=ROUND(($E111-$D111+1)*$F111,0),2,IF(AM$5&lt;CFG_CurWeek,3,1)),""))</f>
        <v/>
      </c>
      <c r="AN111" s="66" t="str">
        <f aca="false">IF(OR($D111="",$E111=""),"",IF(AND(AN$5&gt;=$D111,AN$5&lt;=$E111),IF(AN$5-$D111+1&lt;=ROUND(($E111-$D111+1)*$F111,0),2,IF(AN$5&lt;CFG_CurWeek,3,1)),""))</f>
        <v/>
      </c>
      <c r="AO111" s="66" t="str">
        <f aca="false">IF(OR($D111="",$E111=""),"",IF(AND(AO$5&gt;=$D111,AO$5&lt;=$E111),IF(AO$5-$D111+1&lt;=ROUND(($E111-$D111+1)*$F111,0),2,IF(AO$5&lt;CFG_CurWeek,3,1)),""))</f>
        <v/>
      </c>
    </row>
    <row r="112" customFormat="false" ht="15" hidden="false" customHeight="false" outlineLevel="0" collapsed="false">
      <c r="A112" s="63" t="str">
        <f aca="false">IF('01_WBS &amp; Master Plan'!A109="","",'01_WBS &amp; Master Plan'!A109)</f>
        <v/>
      </c>
      <c r="B112" s="64" t="str">
        <f aca="false">IF('01_WBS &amp; Master Plan'!D109="","",'01_WBS &amp; Master Plan'!D109)</f>
        <v/>
      </c>
      <c r="C112" s="63" t="str">
        <f aca="false">IF('01_WBS &amp; Master Plan'!E109="","",'01_WBS &amp; Master Plan'!E109)</f>
        <v/>
      </c>
      <c r="D112" s="63" t="str">
        <f aca="false">IF('01_WBS &amp; Master Plan'!H109="","",'01_WBS &amp; Master Plan'!H109)</f>
        <v/>
      </c>
      <c r="E112" s="63" t="str">
        <f aca="false">IF('01_WBS &amp; Master Plan'!I109="","",'01_WBS &amp; Master Plan'!I109)</f>
        <v/>
      </c>
      <c r="F112" s="65" t="str">
        <f aca="false">IF(B112="","",IF('01_WBS &amp; Master Plan'!K109="Done",1,IF('01_WBS &amp; Master Plan'!L109="",0,'01_WBS &amp; Master Plan'!L109)))</f>
        <v/>
      </c>
      <c r="G112" s="63" t="str">
        <f aca="false">IF('01_WBS &amp; Master Plan'!K109="","",'01_WBS &amp; Master Plan'!K109)</f>
        <v/>
      </c>
      <c r="H112" s="66" t="str">
        <f aca="false">IF(OR($D112="",$E112=""),"",IF(AND(H$5&gt;=$D112,H$5&lt;=$E112),IF(H$5-$D112+1&lt;=ROUND(($E112-$D112+1)*$F112,0),2,IF(H$5&lt;CFG_CurWeek,3,1)),""))</f>
        <v/>
      </c>
      <c r="I112" s="66" t="str">
        <f aca="false">IF(OR($D112="",$E112=""),"",IF(AND(I$5&gt;=$D112,I$5&lt;=$E112),IF(I$5-$D112+1&lt;=ROUND(($E112-$D112+1)*$F112,0),2,IF(I$5&lt;CFG_CurWeek,3,1)),""))</f>
        <v/>
      </c>
      <c r="J112" s="66" t="str">
        <f aca="false">IF(OR($D112="",$E112=""),"",IF(AND(J$5&gt;=$D112,J$5&lt;=$E112),IF(J$5-$D112+1&lt;=ROUND(($E112-$D112+1)*$F112,0),2,IF(J$5&lt;CFG_CurWeek,3,1)),""))</f>
        <v/>
      </c>
      <c r="K112" s="66" t="str">
        <f aca="false">IF(OR($D112="",$E112=""),"",IF(AND(K$5&gt;=$D112,K$5&lt;=$E112),IF(K$5-$D112+1&lt;=ROUND(($E112-$D112+1)*$F112,0),2,IF(K$5&lt;CFG_CurWeek,3,1)),""))</f>
        <v/>
      </c>
      <c r="L112" s="66" t="str">
        <f aca="false">IF(OR($D112="",$E112=""),"",IF(AND(L$5&gt;=$D112,L$5&lt;=$E112),IF(L$5-$D112+1&lt;=ROUND(($E112-$D112+1)*$F112,0),2,IF(L$5&lt;CFG_CurWeek,3,1)),""))</f>
        <v/>
      </c>
      <c r="M112" s="66" t="str">
        <f aca="false">IF(OR($D112="",$E112=""),"",IF(AND(M$5&gt;=$D112,M$5&lt;=$E112),IF(M$5-$D112+1&lt;=ROUND(($E112-$D112+1)*$F112,0),2,IF(M$5&lt;CFG_CurWeek,3,1)),""))</f>
        <v/>
      </c>
      <c r="N112" s="66" t="str">
        <f aca="false">IF(OR($D112="",$E112=""),"",IF(AND(N$5&gt;=$D112,N$5&lt;=$E112),IF(N$5-$D112+1&lt;=ROUND(($E112-$D112+1)*$F112,0),2,IF(N$5&lt;CFG_CurWeek,3,1)),""))</f>
        <v/>
      </c>
      <c r="O112" s="66" t="str">
        <f aca="false">IF(OR($D112="",$E112=""),"",IF(AND(O$5&gt;=$D112,O$5&lt;=$E112),IF(O$5-$D112+1&lt;=ROUND(($E112-$D112+1)*$F112,0),2,IF(O$5&lt;CFG_CurWeek,3,1)),""))</f>
        <v/>
      </c>
      <c r="P112" s="66" t="str">
        <f aca="false">IF(OR($D112="",$E112=""),"",IF(AND(P$5&gt;=$D112,P$5&lt;=$E112),IF(P$5-$D112+1&lt;=ROUND(($E112-$D112+1)*$F112,0),2,IF(P$5&lt;CFG_CurWeek,3,1)),""))</f>
        <v/>
      </c>
      <c r="Q112" s="66" t="str">
        <f aca="false">IF(OR($D112="",$E112=""),"",IF(AND(Q$5&gt;=$D112,Q$5&lt;=$E112),IF(Q$5-$D112+1&lt;=ROUND(($E112-$D112+1)*$F112,0),2,IF(Q$5&lt;CFG_CurWeek,3,1)),""))</f>
        <v/>
      </c>
      <c r="R112" s="66" t="str">
        <f aca="false">IF(OR($D112="",$E112=""),"",IF(AND(R$5&gt;=$D112,R$5&lt;=$E112),IF(R$5-$D112+1&lt;=ROUND(($E112-$D112+1)*$F112,0),2,IF(R$5&lt;CFG_CurWeek,3,1)),""))</f>
        <v/>
      </c>
      <c r="S112" s="66" t="str">
        <f aca="false">IF(OR($D112="",$E112=""),"",IF(AND(S$5&gt;=$D112,S$5&lt;=$E112),IF(S$5-$D112+1&lt;=ROUND(($E112-$D112+1)*$F112,0),2,IF(S$5&lt;CFG_CurWeek,3,1)),""))</f>
        <v/>
      </c>
      <c r="T112" s="66" t="str">
        <f aca="false">IF(OR($D112="",$E112=""),"",IF(AND(T$5&gt;=$D112,T$5&lt;=$E112),IF(T$5-$D112+1&lt;=ROUND(($E112-$D112+1)*$F112,0),2,IF(T$5&lt;CFG_CurWeek,3,1)),""))</f>
        <v/>
      </c>
      <c r="U112" s="66" t="str">
        <f aca="false">IF(OR($D112="",$E112=""),"",IF(AND(U$5&gt;=$D112,U$5&lt;=$E112),IF(U$5-$D112+1&lt;=ROUND(($E112-$D112+1)*$F112,0),2,IF(U$5&lt;CFG_CurWeek,3,1)),""))</f>
        <v/>
      </c>
      <c r="V112" s="66" t="str">
        <f aca="false">IF(OR($D112="",$E112=""),"",IF(AND(V$5&gt;=$D112,V$5&lt;=$E112),IF(V$5-$D112+1&lt;=ROUND(($E112-$D112+1)*$F112,0),2,IF(V$5&lt;CFG_CurWeek,3,1)),""))</f>
        <v/>
      </c>
      <c r="W112" s="66" t="str">
        <f aca="false">IF(OR($D112="",$E112=""),"",IF(AND(W$5&gt;=$D112,W$5&lt;=$E112),IF(W$5-$D112+1&lt;=ROUND(($E112-$D112+1)*$F112,0),2,IF(W$5&lt;CFG_CurWeek,3,1)),""))</f>
        <v/>
      </c>
      <c r="X112" s="66" t="str">
        <f aca="false">IF(OR($D112="",$E112=""),"",IF(AND(X$5&gt;=$D112,X$5&lt;=$E112),IF(X$5-$D112+1&lt;=ROUND(($E112-$D112+1)*$F112,0),2,IF(X$5&lt;CFG_CurWeek,3,1)),""))</f>
        <v/>
      </c>
      <c r="Y112" s="66" t="str">
        <f aca="false">IF(OR($D112="",$E112=""),"",IF(AND(Y$5&gt;=$D112,Y$5&lt;=$E112),IF(Y$5-$D112+1&lt;=ROUND(($E112-$D112+1)*$F112,0),2,IF(Y$5&lt;CFG_CurWeek,3,1)),""))</f>
        <v/>
      </c>
      <c r="Z112" s="66" t="str">
        <f aca="false">IF(OR($D112="",$E112=""),"",IF(AND(Z$5&gt;=$D112,Z$5&lt;=$E112),IF(Z$5-$D112+1&lt;=ROUND(($E112-$D112+1)*$F112,0),2,IF(Z$5&lt;CFG_CurWeek,3,1)),""))</f>
        <v/>
      </c>
      <c r="AA112" s="66" t="str">
        <f aca="false">IF(OR($D112="",$E112=""),"",IF(AND(AA$5&gt;=$D112,AA$5&lt;=$E112),IF(AA$5-$D112+1&lt;=ROUND(($E112-$D112+1)*$F112,0),2,IF(AA$5&lt;CFG_CurWeek,3,1)),""))</f>
        <v/>
      </c>
      <c r="AB112" s="66" t="str">
        <f aca="false">IF(OR($D112="",$E112=""),"",IF(AND(AB$5&gt;=$D112,AB$5&lt;=$E112),IF(AB$5-$D112+1&lt;=ROUND(($E112-$D112+1)*$F112,0),2,IF(AB$5&lt;CFG_CurWeek,3,1)),""))</f>
        <v/>
      </c>
      <c r="AC112" s="66" t="str">
        <f aca="false">IF(OR($D112="",$E112=""),"",IF(AND(AC$5&gt;=$D112,AC$5&lt;=$E112),IF(AC$5-$D112+1&lt;=ROUND(($E112-$D112+1)*$F112,0),2,IF(AC$5&lt;CFG_CurWeek,3,1)),""))</f>
        <v/>
      </c>
      <c r="AD112" s="66" t="str">
        <f aca="false">IF(OR($D112="",$E112=""),"",IF(AND(AD$5&gt;=$D112,AD$5&lt;=$E112),IF(AD$5-$D112+1&lt;=ROUND(($E112-$D112+1)*$F112,0),2,IF(AD$5&lt;CFG_CurWeek,3,1)),""))</f>
        <v/>
      </c>
      <c r="AE112" s="66" t="str">
        <f aca="false">IF(OR($D112="",$E112=""),"",IF(AND(AE$5&gt;=$D112,AE$5&lt;=$E112),IF(AE$5-$D112+1&lt;=ROUND(($E112-$D112+1)*$F112,0),2,IF(AE$5&lt;CFG_CurWeek,3,1)),""))</f>
        <v/>
      </c>
      <c r="AF112" s="66" t="str">
        <f aca="false">IF(OR($D112="",$E112=""),"",IF(AND(AF$5&gt;=$D112,AF$5&lt;=$E112),IF(AF$5-$D112+1&lt;=ROUND(($E112-$D112+1)*$F112,0),2,IF(AF$5&lt;CFG_CurWeek,3,1)),""))</f>
        <v/>
      </c>
      <c r="AG112" s="66" t="str">
        <f aca="false">IF(OR($D112="",$E112=""),"",IF(AND(AG$5&gt;=$D112,AG$5&lt;=$E112),IF(AG$5-$D112+1&lt;=ROUND(($E112-$D112+1)*$F112,0),2,IF(AG$5&lt;CFG_CurWeek,3,1)),""))</f>
        <v/>
      </c>
      <c r="AH112" s="66" t="str">
        <f aca="false">IF(OR($D112="",$E112=""),"",IF(AND(AH$5&gt;=$D112,AH$5&lt;=$E112),IF(AH$5-$D112+1&lt;=ROUND(($E112-$D112+1)*$F112,0),2,IF(AH$5&lt;CFG_CurWeek,3,1)),""))</f>
        <v/>
      </c>
      <c r="AI112" s="66" t="str">
        <f aca="false">IF(OR($D112="",$E112=""),"",IF(AND(AI$5&gt;=$D112,AI$5&lt;=$E112),IF(AI$5-$D112+1&lt;=ROUND(($E112-$D112+1)*$F112,0),2,IF(AI$5&lt;CFG_CurWeek,3,1)),""))</f>
        <v/>
      </c>
      <c r="AJ112" s="66" t="str">
        <f aca="false">IF(OR($D112="",$E112=""),"",IF(AND(AJ$5&gt;=$D112,AJ$5&lt;=$E112),IF(AJ$5-$D112+1&lt;=ROUND(($E112-$D112+1)*$F112,0),2,IF(AJ$5&lt;CFG_CurWeek,3,1)),""))</f>
        <v/>
      </c>
      <c r="AK112" s="66" t="str">
        <f aca="false">IF(OR($D112="",$E112=""),"",IF(AND(AK$5&gt;=$D112,AK$5&lt;=$E112),IF(AK$5-$D112+1&lt;=ROUND(($E112-$D112+1)*$F112,0),2,IF(AK$5&lt;CFG_CurWeek,3,1)),""))</f>
        <v/>
      </c>
      <c r="AL112" s="66" t="str">
        <f aca="false">IF(OR($D112="",$E112=""),"",IF(AND(AL$5&gt;=$D112,AL$5&lt;=$E112),IF(AL$5-$D112+1&lt;=ROUND(($E112-$D112+1)*$F112,0),2,IF(AL$5&lt;CFG_CurWeek,3,1)),""))</f>
        <v/>
      </c>
      <c r="AM112" s="66" t="str">
        <f aca="false">IF(OR($D112="",$E112=""),"",IF(AND(AM$5&gt;=$D112,AM$5&lt;=$E112),IF(AM$5-$D112+1&lt;=ROUND(($E112-$D112+1)*$F112,0),2,IF(AM$5&lt;CFG_CurWeek,3,1)),""))</f>
        <v/>
      </c>
      <c r="AN112" s="66" t="str">
        <f aca="false">IF(OR($D112="",$E112=""),"",IF(AND(AN$5&gt;=$D112,AN$5&lt;=$E112),IF(AN$5-$D112+1&lt;=ROUND(($E112-$D112+1)*$F112,0),2,IF(AN$5&lt;CFG_CurWeek,3,1)),""))</f>
        <v/>
      </c>
      <c r="AO112" s="66" t="str">
        <f aca="false">IF(OR($D112="",$E112=""),"",IF(AND(AO$5&gt;=$D112,AO$5&lt;=$E112),IF(AO$5-$D112+1&lt;=ROUND(($E112-$D112+1)*$F112,0),2,IF(AO$5&lt;CFG_CurWeek,3,1)),""))</f>
        <v/>
      </c>
    </row>
    <row r="113" customFormat="false" ht="15" hidden="false" customHeight="false" outlineLevel="0" collapsed="false">
      <c r="A113" s="63" t="str">
        <f aca="false">IF('01_WBS &amp; Master Plan'!A110="","",'01_WBS &amp; Master Plan'!A110)</f>
        <v/>
      </c>
      <c r="B113" s="64" t="str">
        <f aca="false">IF('01_WBS &amp; Master Plan'!D110="","",'01_WBS &amp; Master Plan'!D110)</f>
        <v/>
      </c>
      <c r="C113" s="63" t="str">
        <f aca="false">IF('01_WBS &amp; Master Plan'!E110="","",'01_WBS &amp; Master Plan'!E110)</f>
        <v/>
      </c>
      <c r="D113" s="63" t="str">
        <f aca="false">IF('01_WBS &amp; Master Plan'!H110="","",'01_WBS &amp; Master Plan'!H110)</f>
        <v/>
      </c>
      <c r="E113" s="63" t="str">
        <f aca="false">IF('01_WBS &amp; Master Plan'!I110="","",'01_WBS &amp; Master Plan'!I110)</f>
        <v/>
      </c>
      <c r="F113" s="65" t="str">
        <f aca="false">IF(B113="","",IF('01_WBS &amp; Master Plan'!K110="Done",1,IF('01_WBS &amp; Master Plan'!L110="",0,'01_WBS &amp; Master Plan'!L110)))</f>
        <v/>
      </c>
      <c r="G113" s="63" t="str">
        <f aca="false">IF('01_WBS &amp; Master Plan'!K110="","",'01_WBS &amp; Master Plan'!K110)</f>
        <v/>
      </c>
      <c r="H113" s="66" t="str">
        <f aca="false">IF(OR($D113="",$E113=""),"",IF(AND(H$5&gt;=$D113,H$5&lt;=$E113),IF(H$5-$D113+1&lt;=ROUND(($E113-$D113+1)*$F113,0),2,IF(H$5&lt;CFG_CurWeek,3,1)),""))</f>
        <v/>
      </c>
      <c r="I113" s="66" t="str">
        <f aca="false">IF(OR($D113="",$E113=""),"",IF(AND(I$5&gt;=$D113,I$5&lt;=$E113),IF(I$5-$D113+1&lt;=ROUND(($E113-$D113+1)*$F113,0),2,IF(I$5&lt;CFG_CurWeek,3,1)),""))</f>
        <v/>
      </c>
      <c r="J113" s="66" t="str">
        <f aca="false">IF(OR($D113="",$E113=""),"",IF(AND(J$5&gt;=$D113,J$5&lt;=$E113),IF(J$5-$D113+1&lt;=ROUND(($E113-$D113+1)*$F113,0),2,IF(J$5&lt;CFG_CurWeek,3,1)),""))</f>
        <v/>
      </c>
      <c r="K113" s="66" t="str">
        <f aca="false">IF(OR($D113="",$E113=""),"",IF(AND(K$5&gt;=$D113,K$5&lt;=$E113),IF(K$5-$D113+1&lt;=ROUND(($E113-$D113+1)*$F113,0),2,IF(K$5&lt;CFG_CurWeek,3,1)),""))</f>
        <v/>
      </c>
      <c r="L113" s="66" t="str">
        <f aca="false">IF(OR($D113="",$E113=""),"",IF(AND(L$5&gt;=$D113,L$5&lt;=$E113),IF(L$5-$D113+1&lt;=ROUND(($E113-$D113+1)*$F113,0),2,IF(L$5&lt;CFG_CurWeek,3,1)),""))</f>
        <v/>
      </c>
      <c r="M113" s="66" t="str">
        <f aca="false">IF(OR($D113="",$E113=""),"",IF(AND(M$5&gt;=$D113,M$5&lt;=$E113),IF(M$5-$D113+1&lt;=ROUND(($E113-$D113+1)*$F113,0),2,IF(M$5&lt;CFG_CurWeek,3,1)),""))</f>
        <v/>
      </c>
      <c r="N113" s="66" t="str">
        <f aca="false">IF(OR($D113="",$E113=""),"",IF(AND(N$5&gt;=$D113,N$5&lt;=$E113),IF(N$5-$D113+1&lt;=ROUND(($E113-$D113+1)*$F113,0),2,IF(N$5&lt;CFG_CurWeek,3,1)),""))</f>
        <v/>
      </c>
      <c r="O113" s="66" t="str">
        <f aca="false">IF(OR($D113="",$E113=""),"",IF(AND(O$5&gt;=$D113,O$5&lt;=$E113),IF(O$5-$D113+1&lt;=ROUND(($E113-$D113+1)*$F113,0),2,IF(O$5&lt;CFG_CurWeek,3,1)),""))</f>
        <v/>
      </c>
      <c r="P113" s="66" t="str">
        <f aca="false">IF(OR($D113="",$E113=""),"",IF(AND(P$5&gt;=$D113,P$5&lt;=$E113),IF(P$5-$D113+1&lt;=ROUND(($E113-$D113+1)*$F113,0),2,IF(P$5&lt;CFG_CurWeek,3,1)),""))</f>
        <v/>
      </c>
      <c r="Q113" s="66" t="str">
        <f aca="false">IF(OR($D113="",$E113=""),"",IF(AND(Q$5&gt;=$D113,Q$5&lt;=$E113),IF(Q$5-$D113+1&lt;=ROUND(($E113-$D113+1)*$F113,0),2,IF(Q$5&lt;CFG_CurWeek,3,1)),""))</f>
        <v/>
      </c>
      <c r="R113" s="66" t="str">
        <f aca="false">IF(OR($D113="",$E113=""),"",IF(AND(R$5&gt;=$D113,R$5&lt;=$E113),IF(R$5-$D113+1&lt;=ROUND(($E113-$D113+1)*$F113,0),2,IF(R$5&lt;CFG_CurWeek,3,1)),""))</f>
        <v/>
      </c>
      <c r="S113" s="66" t="str">
        <f aca="false">IF(OR($D113="",$E113=""),"",IF(AND(S$5&gt;=$D113,S$5&lt;=$E113),IF(S$5-$D113+1&lt;=ROUND(($E113-$D113+1)*$F113,0),2,IF(S$5&lt;CFG_CurWeek,3,1)),""))</f>
        <v/>
      </c>
      <c r="T113" s="66" t="str">
        <f aca="false">IF(OR($D113="",$E113=""),"",IF(AND(T$5&gt;=$D113,T$5&lt;=$E113),IF(T$5-$D113+1&lt;=ROUND(($E113-$D113+1)*$F113,0),2,IF(T$5&lt;CFG_CurWeek,3,1)),""))</f>
        <v/>
      </c>
      <c r="U113" s="66" t="str">
        <f aca="false">IF(OR($D113="",$E113=""),"",IF(AND(U$5&gt;=$D113,U$5&lt;=$E113),IF(U$5-$D113+1&lt;=ROUND(($E113-$D113+1)*$F113,0),2,IF(U$5&lt;CFG_CurWeek,3,1)),""))</f>
        <v/>
      </c>
      <c r="V113" s="66" t="str">
        <f aca="false">IF(OR($D113="",$E113=""),"",IF(AND(V$5&gt;=$D113,V$5&lt;=$E113),IF(V$5-$D113+1&lt;=ROUND(($E113-$D113+1)*$F113,0),2,IF(V$5&lt;CFG_CurWeek,3,1)),""))</f>
        <v/>
      </c>
      <c r="W113" s="66" t="str">
        <f aca="false">IF(OR($D113="",$E113=""),"",IF(AND(W$5&gt;=$D113,W$5&lt;=$E113),IF(W$5-$D113+1&lt;=ROUND(($E113-$D113+1)*$F113,0),2,IF(W$5&lt;CFG_CurWeek,3,1)),""))</f>
        <v/>
      </c>
      <c r="X113" s="66" t="str">
        <f aca="false">IF(OR($D113="",$E113=""),"",IF(AND(X$5&gt;=$D113,X$5&lt;=$E113),IF(X$5-$D113+1&lt;=ROUND(($E113-$D113+1)*$F113,0),2,IF(X$5&lt;CFG_CurWeek,3,1)),""))</f>
        <v/>
      </c>
      <c r="Y113" s="66" t="str">
        <f aca="false">IF(OR($D113="",$E113=""),"",IF(AND(Y$5&gt;=$D113,Y$5&lt;=$E113),IF(Y$5-$D113+1&lt;=ROUND(($E113-$D113+1)*$F113,0),2,IF(Y$5&lt;CFG_CurWeek,3,1)),""))</f>
        <v/>
      </c>
      <c r="Z113" s="66" t="str">
        <f aca="false">IF(OR($D113="",$E113=""),"",IF(AND(Z$5&gt;=$D113,Z$5&lt;=$E113),IF(Z$5-$D113+1&lt;=ROUND(($E113-$D113+1)*$F113,0),2,IF(Z$5&lt;CFG_CurWeek,3,1)),""))</f>
        <v/>
      </c>
      <c r="AA113" s="66" t="str">
        <f aca="false">IF(OR($D113="",$E113=""),"",IF(AND(AA$5&gt;=$D113,AA$5&lt;=$E113),IF(AA$5-$D113+1&lt;=ROUND(($E113-$D113+1)*$F113,0),2,IF(AA$5&lt;CFG_CurWeek,3,1)),""))</f>
        <v/>
      </c>
      <c r="AB113" s="66" t="str">
        <f aca="false">IF(OR($D113="",$E113=""),"",IF(AND(AB$5&gt;=$D113,AB$5&lt;=$E113),IF(AB$5-$D113+1&lt;=ROUND(($E113-$D113+1)*$F113,0),2,IF(AB$5&lt;CFG_CurWeek,3,1)),""))</f>
        <v/>
      </c>
      <c r="AC113" s="66" t="str">
        <f aca="false">IF(OR($D113="",$E113=""),"",IF(AND(AC$5&gt;=$D113,AC$5&lt;=$E113),IF(AC$5-$D113+1&lt;=ROUND(($E113-$D113+1)*$F113,0),2,IF(AC$5&lt;CFG_CurWeek,3,1)),""))</f>
        <v/>
      </c>
      <c r="AD113" s="66" t="str">
        <f aca="false">IF(OR($D113="",$E113=""),"",IF(AND(AD$5&gt;=$D113,AD$5&lt;=$E113),IF(AD$5-$D113+1&lt;=ROUND(($E113-$D113+1)*$F113,0),2,IF(AD$5&lt;CFG_CurWeek,3,1)),""))</f>
        <v/>
      </c>
      <c r="AE113" s="66" t="str">
        <f aca="false">IF(OR($D113="",$E113=""),"",IF(AND(AE$5&gt;=$D113,AE$5&lt;=$E113),IF(AE$5-$D113+1&lt;=ROUND(($E113-$D113+1)*$F113,0),2,IF(AE$5&lt;CFG_CurWeek,3,1)),""))</f>
        <v/>
      </c>
      <c r="AF113" s="66" t="str">
        <f aca="false">IF(OR($D113="",$E113=""),"",IF(AND(AF$5&gt;=$D113,AF$5&lt;=$E113),IF(AF$5-$D113+1&lt;=ROUND(($E113-$D113+1)*$F113,0),2,IF(AF$5&lt;CFG_CurWeek,3,1)),""))</f>
        <v/>
      </c>
      <c r="AG113" s="66" t="str">
        <f aca="false">IF(OR($D113="",$E113=""),"",IF(AND(AG$5&gt;=$D113,AG$5&lt;=$E113),IF(AG$5-$D113+1&lt;=ROUND(($E113-$D113+1)*$F113,0),2,IF(AG$5&lt;CFG_CurWeek,3,1)),""))</f>
        <v/>
      </c>
      <c r="AH113" s="66" t="str">
        <f aca="false">IF(OR($D113="",$E113=""),"",IF(AND(AH$5&gt;=$D113,AH$5&lt;=$E113),IF(AH$5-$D113+1&lt;=ROUND(($E113-$D113+1)*$F113,0),2,IF(AH$5&lt;CFG_CurWeek,3,1)),""))</f>
        <v/>
      </c>
      <c r="AI113" s="66" t="str">
        <f aca="false">IF(OR($D113="",$E113=""),"",IF(AND(AI$5&gt;=$D113,AI$5&lt;=$E113),IF(AI$5-$D113+1&lt;=ROUND(($E113-$D113+1)*$F113,0),2,IF(AI$5&lt;CFG_CurWeek,3,1)),""))</f>
        <v/>
      </c>
      <c r="AJ113" s="66" t="str">
        <f aca="false">IF(OR($D113="",$E113=""),"",IF(AND(AJ$5&gt;=$D113,AJ$5&lt;=$E113),IF(AJ$5-$D113+1&lt;=ROUND(($E113-$D113+1)*$F113,0),2,IF(AJ$5&lt;CFG_CurWeek,3,1)),""))</f>
        <v/>
      </c>
      <c r="AK113" s="66" t="str">
        <f aca="false">IF(OR($D113="",$E113=""),"",IF(AND(AK$5&gt;=$D113,AK$5&lt;=$E113),IF(AK$5-$D113+1&lt;=ROUND(($E113-$D113+1)*$F113,0),2,IF(AK$5&lt;CFG_CurWeek,3,1)),""))</f>
        <v/>
      </c>
      <c r="AL113" s="66" t="str">
        <f aca="false">IF(OR($D113="",$E113=""),"",IF(AND(AL$5&gt;=$D113,AL$5&lt;=$E113),IF(AL$5-$D113+1&lt;=ROUND(($E113-$D113+1)*$F113,0),2,IF(AL$5&lt;CFG_CurWeek,3,1)),""))</f>
        <v/>
      </c>
      <c r="AM113" s="66" t="str">
        <f aca="false">IF(OR($D113="",$E113=""),"",IF(AND(AM$5&gt;=$D113,AM$5&lt;=$E113),IF(AM$5-$D113+1&lt;=ROUND(($E113-$D113+1)*$F113,0),2,IF(AM$5&lt;CFG_CurWeek,3,1)),""))</f>
        <v/>
      </c>
      <c r="AN113" s="66" t="str">
        <f aca="false">IF(OR($D113="",$E113=""),"",IF(AND(AN$5&gt;=$D113,AN$5&lt;=$E113),IF(AN$5-$D113+1&lt;=ROUND(($E113-$D113+1)*$F113,0),2,IF(AN$5&lt;CFG_CurWeek,3,1)),""))</f>
        <v/>
      </c>
      <c r="AO113" s="66" t="str">
        <f aca="false">IF(OR($D113="",$E113=""),"",IF(AND(AO$5&gt;=$D113,AO$5&lt;=$E113),IF(AO$5-$D113+1&lt;=ROUND(($E113-$D113+1)*$F113,0),2,IF(AO$5&lt;CFG_CurWeek,3,1)),""))</f>
        <v/>
      </c>
    </row>
    <row r="114" customFormat="false" ht="15" hidden="false" customHeight="false" outlineLevel="0" collapsed="false">
      <c r="A114" s="63" t="str">
        <f aca="false">IF('01_WBS &amp; Master Plan'!A111="","",'01_WBS &amp; Master Plan'!A111)</f>
        <v/>
      </c>
      <c r="B114" s="64" t="str">
        <f aca="false">IF('01_WBS &amp; Master Plan'!D111="","",'01_WBS &amp; Master Plan'!D111)</f>
        <v/>
      </c>
      <c r="C114" s="63" t="str">
        <f aca="false">IF('01_WBS &amp; Master Plan'!E111="","",'01_WBS &amp; Master Plan'!E111)</f>
        <v/>
      </c>
      <c r="D114" s="63" t="str">
        <f aca="false">IF('01_WBS &amp; Master Plan'!H111="","",'01_WBS &amp; Master Plan'!H111)</f>
        <v/>
      </c>
      <c r="E114" s="63" t="str">
        <f aca="false">IF('01_WBS &amp; Master Plan'!I111="","",'01_WBS &amp; Master Plan'!I111)</f>
        <v/>
      </c>
      <c r="F114" s="65" t="str">
        <f aca="false">IF(B114="","",IF('01_WBS &amp; Master Plan'!K111="Done",1,IF('01_WBS &amp; Master Plan'!L111="",0,'01_WBS &amp; Master Plan'!L111)))</f>
        <v/>
      </c>
      <c r="G114" s="63" t="str">
        <f aca="false">IF('01_WBS &amp; Master Plan'!K111="","",'01_WBS &amp; Master Plan'!K111)</f>
        <v/>
      </c>
      <c r="H114" s="66" t="str">
        <f aca="false">IF(OR($D114="",$E114=""),"",IF(AND(H$5&gt;=$D114,H$5&lt;=$E114),IF(H$5-$D114+1&lt;=ROUND(($E114-$D114+1)*$F114,0),2,IF(H$5&lt;CFG_CurWeek,3,1)),""))</f>
        <v/>
      </c>
      <c r="I114" s="66" t="str">
        <f aca="false">IF(OR($D114="",$E114=""),"",IF(AND(I$5&gt;=$D114,I$5&lt;=$E114),IF(I$5-$D114+1&lt;=ROUND(($E114-$D114+1)*$F114,0),2,IF(I$5&lt;CFG_CurWeek,3,1)),""))</f>
        <v/>
      </c>
      <c r="J114" s="66" t="str">
        <f aca="false">IF(OR($D114="",$E114=""),"",IF(AND(J$5&gt;=$D114,J$5&lt;=$E114),IF(J$5-$D114+1&lt;=ROUND(($E114-$D114+1)*$F114,0),2,IF(J$5&lt;CFG_CurWeek,3,1)),""))</f>
        <v/>
      </c>
      <c r="K114" s="66" t="str">
        <f aca="false">IF(OR($D114="",$E114=""),"",IF(AND(K$5&gt;=$D114,K$5&lt;=$E114),IF(K$5-$D114+1&lt;=ROUND(($E114-$D114+1)*$F114,0),2,IF(K$5&lt;CFG_CurWeek,3,1)),""))</f>
        <v/>
      </c>
      <c r="L114" s="66" t="str">
        <f aca="false">IF(OR($D114="",$E114=""),"",IF(AND(L$5&gt;=$D114,L$5&lt;=$E114),IF(L$5-$D114+1&lt;=ROUND(($E114-$D114+1)*$F114,0),2,IF(L$5&lt;CFG_CurWeek,3,1)),""))</f>
        <v/>
      </c>
      <c r="M114" s="66" t="str">
        <f aca="false">IF(OR($D114="",$E114=""),"",IF(AND(M$5&gt;=$D114,M$5&lt;=$E114),IF(M$5-$D114+1&lt;=ROUND(($E114-$D114+1)*$F114,0),2,IF(M$5&lt;CFG_CurWeek,3,1)),""))</f>
        <v/>
      </c>
      <c r="N114" s="66" t="str">
        <f aca="false">IF(OR($D114="",$E114=""),"",IF(AND(N$5&gt;=$D114,N$5&lt;=$E114),IF(N$5-$D114+1&lt;=ROUND(($E114-$D114+1)*$F114,0),2,IF(N$5&lt;CFG_CurWeek,3,1)),""))</f>
        <v/>
      </c>
      <c r="O114" s="66" t="str">
        <f aca="false">IF(OR($D114="",$E114=""),"",IF(AND(O$5&gt;=$D114,O$5&lt;=$E114),IF(O$5-$D114+1&lt;=ROUND(($E114-$D114+1)*$F114,0),2,IF(O$5&lt;CFG_CurWeek,3,1)),""))</f>
        <v/>
      </c>
      <c r="P114" s="66" t="str">
        <f aca="false">IF(OR($D114="",$E114=""),"",IF(AND(P$5&gt;=$D114,P$5&lt;=$E114),IF(P$5-$D114+1&lt;=ROUND(($E114-$D114+1)*$F114,0),2,IF(P$5&lt;CFG_CurWeek,3,1)),""))</f>
        <v/>
      </c>
      <c r="Q114" s="66" t="str">
        <f aca="false">IF(OR($D114="",$E114=""),"",IF(AND(Q$5&gt;=$D114,Q$5&lt;=$E114),IF(Q$5-$D114+1&lt;=ROUND(($E114-$D114+1)*$F114,0),2,IF(Q$5&lt;CFG_CurWeek,3,1)),""))</f>
        <v/>
      </c>
      <c r="R114" s="66" t="str">
        <f aca="false">IF(OR($D114="",$E114=""),"",IF(AND(R$5&gt;=$D114,R$5&lt;=$E114),IF(R$5-$D114+1&lt;=ROUND(($E114-$D114+1)*$F114,0),2,IF(R$5&lt;CFG_CurWeek,3,1)),""))</f>
        <v/>
      </c>
      <c r="S114" s="66" t="str">
        <f aca="false">IF(OR($D114="",$E114=""),"",IF(AND(S$5&gt;=$D114,S$5&lt;=$E114),IF(S$5-$D114+1&lt;=ROUND(($E114-$D114+1)*$F114,0),2,IF(S$5&lt;CFG_CurWeek,3,1)),""))</f>
        <v/>
      </c>
      <c r="T114" s="66" t="str">
        <f aca="false">IF(OR($D114="",$E114=""),"",IF(AND(T$5&gt;=$D114,T$5&lt;=$E114),IF(T$5-$D114+1&lt;=ROUND(($E114-$D114+1)*$F114,0),2,IF(T$5&lt;CFG_CurWeek,3,1)),""))</f>
        <v/>
      </c>
      <c r="U114" s="66" t="str">
        <f aca="false">IF(OR($D114="",$E114=""),"",IF(AND(U$5&gt;=$D114,U$5&lt;=$E114),IF(U$5-$D114+1&lt;=ROUND(($E114-$D114+1)*$F114,0),2,IF(U$5&lt;CFG_CurWeek,3,1)),""))</f>
        <v/>
      </c>
      <c r="V114" s="66" t="str">
        <f aca="false">IF(OR($D114="",$E114=""),"",IF(AND(V$5&gt;=$D114,V$5&lt;=$E114),IF(V$5-$D114+1&lt;=ROUND(($E114-$D114+1)*$F114,0),2,IF(V$5&lt;CFG_CurWeek,3,1)),""))</f>
        <v/>
      </c>
      <c r="W114" s="66" t="str">
        <f aca="false">IF(OR($D114="",$E114=""),"",IF(AND(W$5&gt;=$D114,W$5&lt;=$E114),IF(W$5-$D114+1&lt;=ROUND(($E114-$D114+1)*$F114,0),2,IF(W$5&lt;CFG_CurWeek,3,1)),""))</f>
        <v/>
      </c>
      <c r="X114" s="66" t="str">
        <f aca="false">IF(OR($D114="",$E114=""),"",IF(AND(X$5&gt;=$D114,X$5&lt;=$E114),IF(X$5-$D114+1&lt;=ROUND(($E114-$D114+1)*$F114,0),2,IF(X$5&lt;CFG_CurWeek,3,1)),""))</f>
        <v/>
      </c>
      <c r="Y114" s="66" t="str">
        <f aca="false">IF(OR($D114="",$E114=""),"",IF(AND(Y$5&gt;=$D114,Y$5&lt;=$E114),IF(Y$5-$D114+1&lt;=ROUND(($E114-$D114+1)*$F114,0),2,IF(Y$5&lt;CFG_CurWeek,3,1)),""))</f>
        <v/>
      </c>
      <c r="Z114" s="66" t="str">
        <f aca="false">IF(OR($D114="",$E114=""),"",IF(AND(Z$5&gt;=$D114,Z$5&lt;=$E114),IF(Z$5-$D114+1&lt;=ROUND(($E114-$D114+1)*$F114,0),2,IF(Z$5&lt;CFG_CurWeek,3,1)),""))</f>
        <v/>
      </c>
      <c r="AA114" s="66" t="str">
        <f aca="false">IF(OR($D114="",$E114=""),"",IF(AND(AA$5&gt;=$D114,AA$5&lt;=$E114),IF(AA$5-$D114+1&lt;=ROUND(($E114-$D114+1)*$F114,0),2,IF(AA$5&lt;CFG_CurWeek,3,1)),""))</f>
        <v/>
      </c>
      <c r="AB114" s="66" t="str">
        <f aca="false">IF(OR($D114="",$E114=""),"",IF(AND(AB$5&gt;=$D114,AB$5&lt;=$E114),IF(AB$5-$D114+1&lt;=ROUND(($E114-$D114+1)*$F114,0),2,IF(AB$5&lt;CFG_CurWeek,3,1)),""))</f>
        <v/>
      </c>
      <c r="AC114" s="66" t="str">
        <f aca="false">IF(OR($D114="",$E114=""),"",IF(AND(AC$5&gt;=$D114,AC$5&lt;=$E114),IF(AC$5-$D114+1&lt;=ROUND(($E114-$D114+1)*$F114,0),2,IF(AC$5&lt;CFG_CurWeek,3,1)),""))</f>
        <v/>
      </c>
      <c r="AD114" s="66" t="str">
        <f aca="false">IF(OR($D114="",$E114=""),"",IF(AND(AD$5&gt;=$D114,AD$5&lt;=$E114),IF(AD$5-$D114+1&lt;=ROUND(($E114-$D114+1)*$F114,0),2,IF(AD$5&lt;CFG_CurWeek,3,1)),""))</f>
        <v/>
      </c>
      <c r="AE114" s="66" t="str">
        <f aca="false">IF(OR($D114="",$E114=""),"",IF(AND(AE$5&gt;=$D114,AE$5&lt;=$E114),IF(AE$5-$D114+1&lt;=ROUND(($E114-$D114+1)*$F114,0),2,IF(AE$5&lt;CFG_CurWeek,3,1)),""))</f>
        <v/>
      </c>
      <c r="AF114" s="66" t="str">
        <f aca="false">IF(OR($D114="",$E114=""),"",IF(AND(AF$5&gt;=$D114,AF$5&lt;=$E114),IF(AF$5-$D114+1&lt;=ROUND(($E114-$D114+1)*$F114,0),2,IF(AF$5&lt;CFG_CurWeek,3,1)),""))</f>
        <v/>
      </c>
      <c r="AG114" s="66" t="str">
        <f aca="false">IF(OR($D114="",$E114=""),"",IF(AND(AG$5&gt;=$D114,AG$5&lt;=$E114),IF(AG$5-$D114+1&lt;=ROUND(($E114-$D114+1)*$F114,0),2,IF(AG$5&lt;CFG_CurWeek,3,1)),""))</f>
        <v/>
      </c>
      <c r="AH114" s="66" t="str">
        <f aca="false">IF(OR($D114="",$E114=""),"",IF(AND(AH$5&gt;=$D114,AH$5&lt;=$E114),IF(AH$5-$D114+1&lt;=ROUND(($E114-$D114+1)*$F114,0),2,IF(AH$5&lt;CFG_CurWeek,3,1)),""))</f>
        <v/>
      </c>
      <c r="AI114" s="66" t="str">
        <f aca="false">IF(OR($D114="",$E114=""),"",IF(AND(AI$5&gt;=$D114,AI$5&lt;=$E114),IF(AI$5-$D114+1&lt;=ROUND(($E114-$D114+1)*$F114,0),2,IF(AI$5&lt;CFG_CurWeek,3,1)),""))</f>
        <v/>
      </c>
      <c r="AJ114" s="66" t="str">
        <f aca="false">IF(OR($D114="",$E114=""),"",IF(AND(AJ$5&gt;=$D114,AJ$5&lt;=$E114),IF(AJ$5-$D114+1&lt;=ROUND(($E114-$D114+1)*$F114,0),2,IF(AJ$5&lt;CFG_CurWeek,3,1)),""))</f>
        <v/>
      </c>
      <c r="AK114" s="66" t="str">
        <f aca="false">IF(OR($D114="",$E114=""),"",IF(AND(AK$5&gt;=$D114,AK$5&lt;=$E114),IF(AK$5-$D114+1&lt;=ROUND(($E114-$D114+1)*$F114,0),2,IF(AK$5&lt;CFG_CurWeek,3,1)),""))</f>
        <v/>
      </c>
      <c r="AL114" s="66" t="str">
        <f aca="false">IF(OR($D114="",$E114=""),"",IF(AND(AL$5&gt;=$D114,AL$5&lt;=$E114),IF(AL$5-$D114+1&lt;=ROUND(($E114-$D114+1)*$F114,0),2,IF(AL$5&lt;CFG_CurWeek,3,1)),""))</f>
        <v/>
      </c>
      <c r="AM114" s="66" t="str">
        <f aca="false">IF(OR($D114="",$E114=""),"",IF(AND(AM$5&gt;=$D114,AM$5&lt;=$E114),IF(AM$5-$D114+1&lt;=ROUND(($E114-$D114+1)*$F114,0),2,IF(AM$5&lt;CFG_CurWeek,3,1)),""))</f>
        <v/>
      </c>
      <c r="AN114" s="66" t="str">
        <f aca="false">IF(OR($D114="",$E114=""),"",IF(AND(AN$5&gt;=$D114,AN$5&lt;=$E114),IF(AN$5-$D114+1&lt;=ROUND(($E114-$D114+1)*$F114,0),2,IF(AN$5&lt;CFG_CurWeek,3,1)),""))</f>
        <v/>
      </c>
      <c r="AO114" s="66" t="str">
        <f aca="false">IF(OR($D114="",$E114=""),"",IF(AND(AO$5&gt;=$D114,AO$5&lt;=$E114),IF(AO$5-$D114+1&lt;=ROUND(($E114-$D114+1)*$F114,0),2,IF(AO$5&lt;CFG_CurWeek,3,1)),""))</f>
        <v/>
      </c>
    </row>
    <row r="115" customFormat="false" ht="15" hidden="false" customHeight="false" outlineLevel="0" collapsed="false">
      <c r="A115" s="63" t="str">
        <f aca="false">IF('01_WBS &amp; Master Plan'!A112="","",'01_WBS &amp; Master Plan'!A112)</f>
        <v/>
      </c>
      <c r="B115" s="64" t="str">
        <f aca="false">IF('01_WBS &amp; Master Plan'!D112="","",'01_WBS &amp; Master Plan'!D112)</f>
        <v/>
      </c>
      <c r="C115" s="63" t="str">
        <f aca="false">IF('01_WBS &amp; Master Plan'!E112="","",'01_WBS &amp; Master Plan'!E112)</f>
        <v/>
      </c>
      <c r="D115" s="63" t="str">
        <f aca="false">IF('01_WBS &amp; Master Plan'!H112="","",'01_WBS &amp; Master Plan'!H112)</f>
        <v/>
      </c>
      <c r="E115" s="63" t="str">
        <f aca="false">IF('01_WBS &amp; Master Plan'!I112="","",'01_WBS &amp; Master Plan'!I112)</f>
        <v/>
      </c>
      <c r="F115" s="65" t="str">
        <f aca="false">IF(B115="","",IF('01_WBS &amp; Master Plan'!K112="Done",1,IF('01_WBS &amp; Master Plan'!L112="",0,'01_WBS &amp; Master Plan'!L112)))</f>
        <v/>
      </c>
      <c r="G115" s="63" t="str">
        <f aca="false">IF('01_WBS &amp; Master Plan'!K112="","",'01_WBS &amp; Master Plan'!K112)</f>
        <v/>
      </c>
      <c r="H115" s="66" t="str">
        <f aca="false">IF(OR($D115="",$E115=""),"",IF(AND(H$5&gt;=$D115,H$5&lt;=$E115),IF(H$5-$D115+1&lt;=ROUND(($E115-$D115+1)*$F115,0),2,IF(H$5&lt;CFG_CurWeek,3,1)),""))</f>
        <v/>
      </c>
      <c r="I115" s="66" t="str">
        <f aca="false">IF(OR($D115="",$E115=""),"",IF(AND(I$5&gt;=$D115,I$5&lt;=$E115),IF(I$5-$D115+1&lt;=ROUND(($E115-$D115+1)*$F115,0),2,IF(I$5&lt;CFG_CurWeek,3,1)),""))</f>
        <v/>
      </c>
      <c r="J115" s="66" t="str">
        <f aca="false">IF(OR($D115="",$E115=""),"",IF(AND(J$5&gt;=$D115,J$5&lt;=$E115),IF(J$5-$D115+1&lt;=ROUND(($E115-$D115+1)*$F115,0),2,IF(J$5&lt;CFG_CurWeek,3,1)),""))</f>
        <v/>
      </c>
      <c r="K115" s="66" t="str">
        <f aca="false">IF(OR($D115="",$E115=""),"",IF(AND(K$5&gt;=$D115,K$5&lt;=$E115),IF(K$5-$D115+1&lt;=ROUND(($E115-$D115+1)*$F115,0),2,IF(K$5&lt;CFG_CurWeek,3,1)),""))</f>
        <v/>
      </c>
      <c r="L115" s="66" t="str">
        <f aca="false">IF(OR($D115="",$E115=""),"",IF(AND(L$5&gt;=$D115,L$5&lt;=$E115),IF(L$5-$D115+1&lt;=ROUND(($E115-$D115+1)*$F115,0),2,IF(L$5&lt;CFG_CurWeek,3,1)),""))</f>
        <v/>
      </c>
      <c r="M115" s="66" t="str">
        <f aca="false">IF(OR($D115="",$E115=""),"",IF(AND(M$5&gt;=$D115,M$5&lt;=$E115),IF(M$5-$D115+1&lt;=ROUND(($E115-$D115+1)*$F115,0),2,IF(M$5&lt;CFG_CurWeek,3,1)),""))</f>
        <v/>
      </c>
      <c r="N115" s="66" t="str">
        <f aca="false">IF(OR($D115="",$E115=""),"",IF(AND(N$5&gt;=$D115,N$5&lt;=$E115),IF(N$5-$D115+1&lt;=ROUND(($E115-$D115+1)*$F115,0),2,IF(N$5&lt;CFG_CurWeek,3,1)),""))</f>
        <v/>
      </c>
      <c r="O115" s="66" t="str">
        <f aca="false">IF(OR($D115="",$E115=""),"",IF(AND(O$5&gt;=$D115,O$5&lt;=$E115),IF(O$5-$D115+1&lt;=ROUND(($E115-$D115+1)*$F115,0),2,IF(O$5&lt;CFG_CurWeek,3,1)),""))</f>
        <v/>
      </c>
      <c r="P115" s="66" t="str">
        <f aca="false">IF(OR($D115="",$E115=""),"",IF(AND(P$5&gt;=$D115,P$5&lt;=$E115),IF(P$5-$D115+1&lt;=ROUND(($E115-$D115+1)*$F115,0),2,IF(P$5&lt;CFG_CurWeek,3,1)),""))</f>
        <v/>
      </c>
      <c r="Q115" s="66" t="str">
        <f aca="false">IF(OR($D115="",$E115=""),"",IF(AND(Q$5&gt;=$D115,Q$5&lt;=$E115),IF(Q$5-$D115+1&lt;=ROUND(($E115-$D115+1)*$F115,0),2,IF(Q$5&lt;CFG_CurWeek,3,1)),""))</f>
        <v/>
      </c>
      <c r="R115" s="66" t="str">
        <f aca="false">IF(OR($D115="",$E115=""),"",IF(AND(R$5&gt;=$D115,R$5&lt;=$E115),IF(R$5-$D115+1&lt;=ROUND(($E115-$D115+1)*$F115,0),2,IF(R$5&lt;CFG_CurWeek,3,1)),""))</f>
        <v/>
      </c>
      <c r="S115" s="66" t="str">
        <f aca="false">IF(OR($D115="",$E115=""),"",IF(AND(S$5&gt;=$D115,S$5&lt;=$E115),IF(S$5-$D115+1&lt;=ROUND(($E115-$D115+1)*$F115,0),2,IF(S$5&lt;CFG_CurWeek,3,1)),""))</f>
        <v/>
      </c>
      <c r="T115" s="66" t="str">
        <f aca="false">IF(OR($D115="",$E115=""),"",IF(AND(T$5&gt;=$D115,T$5&lt;=$E115),IF(T$5-$D115+1&lt;=ROUND(($E115-$D115+1)*$F115,0),2,IF(T$5&lt;CFG_CurWeek,3,1)),""))</f>
        <v/>
      </c>
      <c r="U115" s="66" t="str">
        <f aca="false">IF(OR($D115="",$E115=""),"",IF(AND(U$5&gt;=$D115,U$5&lt;=$E115),IF(U$5-$D115+1&lt;=ROUND(($E115-$D115+1)*$F115,0),2,IF(U$5&lt;CFG_CurWeek,3,1)),""))</f>
        <v/>
      </c>
      <c r="V115" s="66" t="str">
        <f aca="false">IF(OR($D115="",$E115=""),"",IF(AND(V$5&gt;=$D115,V$5&lt;=$E115),IF(V$5-$D115+1&lt;=ROUND(($E115-$D115+1)*$F115,0),2,IF(V$5&lt;CFG_CurWeek,3,1)),""))</f>
        <v/>
      </c>
      <c r="W115" s="66" t="str">
        <f aca="false">IF(OR($D115="",$E115=""),"",IF(AND(W$5&gt;=$D115,W$5&lt;=$E115),IF(W$5-$D115+1&lt;=ROUND(($E115-$D115+1)*$F115,0),2,IF(W$5&lt;CFG_CurWeek,3,1)),""))</f>
        <v/>
      </c>
      <c r="X115" s="66" t="str">
        <f aca="false">IF(OR($D115="",$E115=""),"",IF(AND(X$5&gt;=$D115,X$5&lt;=$E115),IF(X$5-$D115+1&lt;=ROUND(($E115-$D115+1)*$F115,0),2,IF(X$5&lt;CFG_CurWeek,3,1)),""))</f>
        <v/>
      </c>
      <c r="Y115" s="66" t="str">
        <f aca="false">IF(OR($D115="",$E115=""),"",IF(AND(Y$5&gt;=$D115,Y$5&lt;=$E115),IF(Y$5-$D115+1&lt;=ROUND(($E115-$D115+1)*$F115,0),2,IF(Y$5&lt;CFG_CurWeek,3,1)),""))</f>
        <v/>
      </c>
      <c r="Z115" s="66" t="str">
        <f aca="false">IF(OR($D115="",$E115=""),"",IF(AND(Z$5&gt;=$D115,Z$5&lt;=$E115),IF(Z$5-$D115+1&lt;=ROUND(($E115-$D115+1)*$F115,0),2,IF(Z$5&lt;CFG_CurWeek,3,1)),""))</f>
        <v/>
      </c>
      <c r="AA115" s="66" t="str">
        <f aca="false">IF(OR($D115="",$E115=""),"",IF(AND(AA$5&gt;=$D115,AA$5&lt;=$E115),IF(AA$5-$D115+1&lt;=ROUND(($E115-$D115+1)*$F115,0),2,IF(AA$5&lt;CFG_CurWeek,3,1)),""))</f>
        <v/>
      </c>
      <c r="AB115" s="66" t="str">
        <f aca="false">IF(OR($D115="",$E115=""),"",IF(AND(AB$5&gt;=$D115,AB$5&lt;=$E115),IF(AB$5-$D115+1&lt;=ROUND(($E115-$D115+1)*$F115,0),2,IF(AB$5&lt;CFG_CurWeek,3,1)),""))</f>
        <v/>
      </c>
      <c r="AC115" s="66" t="str">
        <f aca="false">IF(OR($D115="",$E115=""),"",IF(AND(AC$5&gt;=$D115,AC$5&lt;=$E115),IF(AC$5-$D115+1&lt;=ROUND(($E115-$D115+1)*$F115,0),2,IF(AC$5&lt;CFG_CurWeek,3,1)),""))</f>
        <v/>
      </c>
      <c r="AD115" s="66" t="str">
        <f aca="false">IF(OR($D115="",$E115=""),"",IF(AND(AD$5&gt;=$D115,AD$5&lt;=$E115),IF(AD$5-$D115+1&lt;=ROUND(($E115-$D115+1)*$F115,0),2,IF(AD$5&lt;CFG_CurWeek,3,1)),""))</f>
        <v/>
      </c>
      <c r="AE115" s="66" t="str">
        <f aca="false">IF(OR($D115="",$E115=""),"",IF(AND(AE$5&gt;=$D115,AE$5&lt;=$E115),IF(AE$5-$D115+1&lt;=ROUND(($E115-$D115+1)*$F115,0),2,IF(AE$5&lt;CFG_CurWeek,3,1)),""))</f>
        <v/>
      </c>
      <c r="AF115" s="66" t="str">
        <f aca="false">IF(OR($D115="",$E115=""),"",IF(AND(AF$5&gt;=$D115,AF$5&lt;=$E115),IF(AF$5-$D115+1&lt;=ROUND(($E115-$D115+1)*$F115,0),2,IF(AF$5&lt;CFG_CurWeek,3,1)),""))</f>
        <v/>
      </c>
      <c r="AG115" s="66" t="str">
        <f aca="false">IF(OR($D115="",$E115=""),"",IF(AND(AG$5&gt;=$D115,AG$5&lt;=$E115),IF(AG$5-$D115+1&lt;=ROUND(($E115-$D115+1)*$F115,0),2,IF(AG$5&lt;CFG_CurWeek,3,1)),""))</f>
        <v/>
      </c>
      <c r="AH115" s="66" t="str">
        <f aca="false">IF(OR($D115="",$E115=""),"",IF(AND(AH$5&gt;=$D115,AH$5&lt;=$E115),IF(AH$5-$D115+1&lt;=ROUND(($E115-$D115+1)*$F115,0),2,IF(AH$5&lt;CFG_CurWeek,3,1)),""))</f>
        <v/>
      </c>
      <c r="AI115" s="66" t="str">
        <f aca="false">IF(OR($D115="",$E115=""),"",IF(AND(AI$5&gt;=$D115,AI$5&lt;=$E115),IF(AI$5-$D115+1&lt;=ROUND(($E115-$D115+1)*$F115,0),2,IF(AI$5&lt;CFG_CurWeek,3,1)),""))</f>
        <v/>
      </c>
      <c r="AJ115" s="66" t="str">
        <f aca="false">IF(OR($D115="",$E115=""),"",IF(AND(AJ$5&gt;=$D115,AJ$5&lt;=$E115),IF(AJ$5-$D115+1&lt;=ROUND(($E115-$D115+1)*$F115,0),2,IF(AJ$5&lt;CFG_CurWeek,3,1)),""))</f>
        <v/>
      </c>
      <c r="AK115" s="66" t="str">
        <f aca="false">IF(OR($D115="",$E115=""),"",IF(AND(AK$5&gt;=$D115,AK$5&lt;=$E115),IF(AK$5-$D115+1&lt;=ROUND(($E115-$D115+1)*$F115,0),2,IF(AK$5&lt;CFG_CurWeek,3,1)),""))</f>
        <v/>
      </c>
      <c r="AL115" s="66" t="str">
        <f aca="false">IF(OR($D115="",$E115=""),"",IF(AND(AL$5&gt;=$D115,AL$5&lt;=$E115),IF(AL$5-$D115+1&lt;=ROUND(($E115-$D115+1)*$F115,0),2,IF(AL$5&lt;CFG_CurWeek,3,1)),""))</f>
        <v/>
      </c>
      <c r="AM115" s="66" t="str">
        <f aca="false">IF(OR($D115="",$E115=""),"",IF(AND(AM$5&gt;=$D115,AM$5&lt;=$E115),IF(AM$5-$D115+1&lt;=ROUND(($E115-$D115+1)*$F115,0),2,IF(AM$5&lt;CFG_CurWeek,3,1)),""))</f>
        <v/>
      </c>
      <c r="AN115" s="66" t="str">
        <f aca="false">IF(OR($D115="",$E115=""),"",IF(AND(AN$5&gt;=$D115,AN$5&lt;=$E115),IF(AN$5-$D115+1&lt;=ROUND(($E115-$D115+1)*$F115,0),2,IF(AN$5&lt;CFG_CurWeek,3,1)),""))</f>
        <v/>
      </c>
      <c r="AO115" s="66" t="str">
        <f aca="false">IF(OR($D115="",$E115=""),"",IF(AND(AO$5&gt;=$D115,AO$5&lt;=$E115),IF(AO$5-$D115+1&lt;=ROUND(($E115-$D115+1)*$F115,0),2,IF(AO$5&lt;CFG_CurWeek,3,1)),""))</f>
        <v/>
      </c>
    </row>
    <row r="116" customFormat="false" ht="15" hidden="false" customHeight="false" outlineLevel="0" collapsed="false">
      <c r="A116" s="63" t="str">
        <f aca="false">IF('01_WBS &amp; Master Plan'!A113="","",'01_WBS &amp; Master Plan'!A113)</f>
        <v/>
      </c>
      <c r="B116" s="64" t="str">
        <f aca="false">IF('01_WBS &amp; Master Plan'!D113="","",'01_WBS &amp; Master Plan'!D113)</f>
        <v/>
      </c>
      <c r="C116" s="63" t="str">
        <f aca="false">IF('01_WBS &amp; Master Plan'!E113="","",'01_WBS &amp; Master Plan'!E113)</f>
        <v/>
      </c>
      <c r="D116" s="63" t="str">
        <f aca="false">IF('01_WBS &amp; Master Plan'!H113="","",'01_WBS &amp; Master Plan'!H113)</f>
        <v/>
      </c>
      <c r="E116" s="63" t="str">
        <f aca="false">IF('01_WBS &amp; Master Plan'!I113="","",'01_WBS &amp; Master Plan'!I113)</f>
        <v/>
      </c>
      <c r="F116" s="65" t="str">
        <f aca="false">IF(B116="","",IF('01_WBS &amp; Master Plan'!K113="Done",1,IF('01_WBS &amp; Master Plan'!L113="",0,'01_WBS &amp; Master Plan'!L113)))</f>
        <v/>
      </c>
      <c r="G116" s="63" t="str">
        <f aca="false">IF('01_WBS &amp; Master Plan'!K113="","",'01_WBS &amp; Master Plan'!K113)</f>
        <v/>
      </c>
      <c r="H116" s="66" t="str">
        <f aca="false">IF(OR($D116="",$E116=""),"",IF(AND(H$5&gt;=$D116,H$5&lt;=$E116),IF(H$5-$D116+1&lt;=ROUND(($E116-$D116+1)*$F116,0),2,IF(H$5&lt;CFG_CurWeek,3,1)),""))</f>
        <v/>
      </c>
      <c r="I116" s="66" t="str">
        <f aca="false">IF(OR($D116="",$E116=""),"",IF(AND(I$5&gt;=$D116,I$5&lt;=$E116),IF(I$5-$D116+1&lt;=ROUND(($E116-$D116+1)*$F116,0),2,IF(I$5&lt;CFG_CurWeek,3,1)),""))</f>
        <v/>
      </c>
      <c r="J116" s="66" t="str">
        <f aca="false">IF(OR($D116="",$E116=""),"",IF(AND(J$5&gt;=$D116,J$5&lt;=$E116),IF(J$5-$D116+1&lt;=ROUND(($E116-$D116+1)*$F116,0),2,IF(J$5&lt;CFG_CurWeek,3,1)),""))</f>
        <v/>
      </c>
      <c r="K116" s="66" t="str">
        <f aca="false">IF(OR($D116="",$E116=""),"",IF(AND(K$5&gt;=$D116,K$5&lt;=$E116),IF(K$5-$D116+1&lt;=ROUND(($E116-$D116+1)*$F116,0),2,IF(K$5&lt;CFG_CurWeek,3,1)),""))</f>
        <v/>
      </c>
      <c r="L116" s="66" t="str">
        <f aca="false">IF(OR($D116="",$E116=""),"",IF(AND(L$5&gt;=$D116,L$5&lt;=$E116),IF(L$5-$D116+1&lt;=ROUND(($E116-$D116+1)*$F116,0),2,IF(L$5&lt;CFG_CurWeek,3,1)),""))</f>
        <v/>
      </c>
      <c r="M116" s="66" t="str">
        <f aca="false">IF(OR($D116="",$E116=""),"",IF(AND(M$5&gt;=$D116,M$5&lt;=$E116),IF(M$5-$D116+1&lt;=ROUND(($E116-$D116+1)*$F116,0),2,IF(M$5&lt;CFG_CurWeek,3,1)),""))</f>
        <v/>
      </c>
      <c r="N116" s="66" t="str">
        <f aca="false">IF(OR($D116="",$E116=""),"",IF(AND(N$5&gt;=$D116,N$5&lt;=$E116),IF(N$5-$D116+1&lt;=ROUND(($E116-$D116+1)*$F116,0),2,IF(N$5&lt;CFG_CurWeek,3,1)),""))</f>
        <v/>
      </c>
      <c r="O116" s="66" t="str">
        <f aca="false">IF(OR($D116="",$E116=""),"",IF(AND(O$5&gt;=$D116,O$5&lt;=$E116),IF(O$5-$D116+1&lt;=ROUND(($E116-$D116+1)*$F116,0),2,IF(O$5&lt;CFG_CurWeek,3,1)),""))</f>
        <v/>
      </c>
      <c r="P116" s="66" t="str">
        <f aca="false">IF(OR($D116="",$E116=""),"",IF(AND(P$5&gt;=$D116,P$5&lt;=$E116),IF(P$5-$D116+1&lt;=ROUND(($E116-$D116+1)*$F116,0),2,IF(P$5&lt;CFG_CurWeek,3,1)),""))</f>
        <v/>
      </c>
      <c r="Q116" s="66" t="str">
        <f aca="false">IF(OR($D116="",$E116=""),"",IF(AND(Q$5&gt;=$D116,Q$5&lt;=$E116),IF(Q$5-$D116+1&lt;=ROUND(($E116-$D116+1)*$F116,0),2,IF(Q$5&lt;CFG_CurWeek,3,1)),""))</f>
        <v/>
      </c>
      <c r="R116" s="66" t="str">
        <f aca="false">IF(OR($D116="",$E116=""),"",IF(AND(R$5&gt;=$D116,R$5&lt;=$E116),IF(R$5-$D116+1&lt;=ROUND(($E116-$D116+1)*$F116,0),2,IF(R$5&lt;CFG_CurWeek,3,1)),""))</f>
        <v/>
      </c>
      <c r="S116" s="66" t="str">
        <f aca="false">IF(OR($D116="",$E116=""),"",IF(AND(S$5&gt;=$D116,S$5&lt;=$E116),IF(S$5-$D116+1&lt;=ROUND(($E116-$D116+1)*$F116,0),2,IF(S$5&lt;CFG_CurWeek,3,1)),""))</f>
        <v/>
      </c>
      <c r="T116" s="66" t="str">
        <f aca="false">IF(OR($D116="",$E116=""),"",IF(AND(T$5&gt;=$D116,T$5&lt;=$E116),IF(T$5-$D116+1&lt;=ROUND(($E116-$D116+1)*$F116,0),2,IF(T$5&lt;CFG_CurWeek,3,1)),""))</f>
        <v/>
      </c>
      <c r="U116" s="66" t="str">
        <f aca="false">IF(OR($D116="",$E116=""),"",IF(AND(U$5&gt;=$D116,U$5&lt;=$E116),IF(U$5-$D116+1&lt;=ROUND(($E116-$D116+1)*$F116,0),2,IF(U$5&lt;CFG_CurWeek,3,1)),""))</f>
        <v/>
      </c>
      <c r="V116" s="66" t="str">
        <f aca="false">IF(OR($D116="",$E116=""),"",IF(AND(V$5&gt;=$D116,V$5&lt;=$E116),IF(V$5-$D116+1&lt;=ROUND(($E116-$D116+1)*$F116,0),2,IF(V$5&lt;CFG_CurWeek,3,1)),""))</f>
        <v/>
      </c>
      <c r="W116" s="66" t="str">
        <f aca="false">IF(OR($D116="",$E116=""),"",IF(AND(W$5&gt;=$D116,W$5&lt;=$E116),IF(W$5-$D116+1&lt;=ROUND(($E116-$D116+1)*$F116,0),2,IF(W$5&lt;CFG_CurWeek,3,1)),""))</f>
        <v/>
      </c>
      <c r="X116" s="66" t="str">
        <f aca="false">IF(OR($D116="",$E116=""),"",IF(AND(X$5&gt;=$D116,X$5&lt;=$E116),IF(X$5-$D116+1&lt;=ROUND(($E116-$D116+1)*$F116,0),2,IF(X$5&lt;CFG_CurWeek,3,1)),""))</f>
        <v/>
      </c>
      <c r="Y116" s="66" t="str">
        <f aca="false">IF(OR($D116="",$E116=""),"",IF(AND(Y$5&gt;=$D116,Y$5&lt;=$E116),IF(Y$5-$D116+1&lt;=ROUND(($E116-$D116+1)*$F116,0),2,IF(Y$5&lt;CFG_CurWeek,3,1)),""))</f>
        <v/>
      </c>
      <c r="Z116" s="66" t="str">
        <f aca="false">IF(OR($D116="",$E116=""),"",IF(AND(Z$5&gt;=$D116,Z$5&lt;=$E116),IF(Z$5-$D116+1&lt;=ROUND(($E116-$D116+1)*$F116,0),2,IF(Z$5&lt;CFG_CurWeek,3,1)),""))</f>
        <v/>
      </c>
      <c r="AA116" s="66" t="str">
        <f aca="false">IF(OR($D116="",$E116=""),"",IF(AND(AA$5&gt;=$D116,AA$5&lt;=$E116),IF(AA$5-$D116+1&lt;=ROUND(($E116-$D116+1)*$F116,0),2,IF(AA$5&lt;CFG_CurWeek,3,1)),""))</f>
        <v/>
      </c>
      <c r="AB116" s="66" t="str">
        <f aca="false">IF(OR($D116="",$E116=""),"",IF(AND(AB$5&gt;=$D116,AB$5&lt;=$E116),IF(AB$5-$D116+1&lt;=ROUND(($E116-$D116+1)*$F116,0),2,IF(AB$5&lt;CFG_CurWeek,3,1)),""))</f>
        <v/>
      </c>
      <c r="AC116" s="66" t="str">
        <f aca="false">IF(OR($D116="",$E116=""),"",IF(AND(AC$5&gt;=$D116,AC$5&lt;=$E116),IF(AC$5-$D116+1&lt;=ROUND(($E116-$D116+1)*$F116,0),2,IF(AC$5&lt;CFG_CurWeek,3,1)),""))</f>
        <v/>
      </c>
      <c r="AD116" s="66" t="str">
        <f aca="false">IF(OR($D116="",$E116=""),"",IF(AND(AD$5&gt;=$D116,AD$5&lt;=$E116),IF(AD$5-$D116+1&lt;=ROUND(($E116-$D116+1)*$F116,0),2,IF(AD$5&lt;CFG_CurWeek,3,1)),""))</f>
        <v/>
      </c>
      <c r="AE116" s="66" t="str">
        <f aca="false">IF(OR($D116="",$E116=""),"",IF(AND(AE$5&gt;=$D116,AE$5&lt;=$E116),IF(AE$5-$D116+1&lt;=ROUND(($E116-$D116+1)*$F116,0),2,IF(AE$5&lt;CFG_CurWeek,3,1)),""))</f>
        <v/>
      </c>
      <c r="AF116" s="66" t="str">
        <f aca="false">IF(OR($D116="",$E116=""),"",IF(AND(AF$5&gt;=$D116,AF$5&lt;=$E116),IF(AF$5-$D116+1&lt;=ROUND(($E116-$D116+1)*$F116,0),2,IF(AF$5&lt;CFG_CurWeek,3,1)),""))</f>
        <v/>
      </c>
      <c r="AG116" s="66" t="str">
        <f aca="false">IF(OR($D116="",$E116=""),"",IF(AND(AG$5&gt;=$D116,AG$5&lt;=$E116),IF(AG$5-$D116+1&lt;=ROUND(($E116-$D116+1)*$F116,0),2,IF(AG$5&lt;CFG_CurWeek,3,1)),""))</f>
        <v/>
      </c>
      <c r="AH116" s="66" t="str">
        <f aca="false">IF(OR($D116="",$E116=""),"",IF(AND(AH$5&gt;=$D116,AH$5&lt;=$E116),IF(AH$5-$D116+1&lt;=ROUND(($E116-$D116+1)*$F116,0),2,IF(AH$5&lt;CFG_CurWeek,3,1)),""))</f>
        <v/>
      </c>
      <c r="AI116" s="66" t="str">
        <f aca="false">IF(OR($D116="",$E116=""),"",IF(AND(AI$5&gt;=$D116,AI$5&lt;=$E116),IF(AI$5-$D116+1&lt;=ROUND(($E116-$D116+1)*$F116,0),2,IF(AI$5&lt;CFG_CurWeek,3,1)),""))</f>
        <v/>
      </c>
      <c r="AJ116" s="66" t="str">
        <f aca="false">IF(OR($D116="",$E116=""),"",IF(AND(AJ$5&gt;=$D116,AJ$5&lt;=$E116),IF(AJ$5-$D116+1&lt;=ROUND(($E116-$D116+1)*$F116,0),2,IF(AJ$5&lt;CFG_CurWeek,3,1)),""))</f>
        <v/>
      </c>
      <c r="AK116" s="66" t="str">
        <f aca="false">IF(OR($D116="",$E116=""),"",IF(AND(AK$5&gt;=$D116,AK$5&lt;=$E116),IF(AK$5-$D116+1&lt;=ROUND(($E116-$D116+1)*$F116,0),2,IF(AK$5&lt;CFG_CurWeek,3,1)),""))</f>
        <v/>
      </c>
      <c r="AL116" s="66" t="str">
        <f aca="false">IF(OR($D116="",$E116=""),"",IF(AND(AL$5&gt;=$D116,AL$5&lt;=$E116),IF(AL$5-$D116+1&lt;=ROUND(($E116-$D116+1)*$F116,0),2,IF(AL$5&lt;CFG_CurWeek,3,1)),""))</f>
        <v/>
      </c>
      <c r="AM116" s="66" t="str">
        <f aca="false">IF(OR($D116="",$E116=""),"",IF(AND(AM$5&gt;=$D116,AM$5&lt;=$E116),IF(AM$5-$D116+1&lt;=ROUND(($E116-$D116+1)*$F116,0),2,IF(AM$5&lt;CFG_CurWeek,3,1)),""))</f>
        <v/>
      </c>
      <c r="AN116" s="66" t="str">
        <f aca="false">IF(OR($D116="",$E116=""),"",IF(AND(AN$5&gt;=$D116,AN$5&lt;=$E116),IF(AN$5-$D116+1&lt;=ROUND(($E116-$D116+1)*$F116,0),2,IF(AN$5&lt;CFG_CurWeek,3,1)),""))</f>
        <v/>
      </c>
      <c r="AO116" s="66" t="str">
        <f aca="false">IF(OR($D116="",$E116=""),"",IF(AND(AO$5&gt;=$D116,AO$5&lt;=$E116),IF(AO$5-$D116+1&lt;=ROUND(($E116-$D116+1)*$F116,0),2,IF(AO$5&lt;CFG_CurWeek,3,1)),""))</f>
        <v/>
      </c>
    </row>
    <row r="117" customFormat="false" ht="15" hidden="false" customHeight="false" outlineLevel="0" collapsed="false">
      <c r="A117" s="63" t="str">
        <f aca="false">IF('01_WBS &amp; Master Plan'!A114="","",'01_WBS &amp; Master Plan'!A114)</f>
        <v/>
      </c>
      <c r="B117" s="64" t="str">
        <f aca="false">IF('01_WBS &amp; Master Plan'!D114="","",'01_WBS &amp; Master Plan'!D114)</f>
        <v/>
      </c>
      <c r="C117" s="63" t="str">
        <f aca="false">IF('01_WBS &amp; Master Plan'!E114="","",'01_WBS &amp; Master Plan'!E114)</f>
        <v/>
      </c>
      <c r="D117" s="63" t="str">
        <f aca="false">IF('01_WBS &amp; Master Plan'!H114="","",'01_WBS &amp; Master Plan'!H114)</f>
        <v/>
      </c>
      <c r="E117" s="63" t="str">
        <f aca="false">IF('01_WBS &amp; Master Plan'!I114="","",'01_WBS &amp; Master Plan'!I114)</f>
        <v/>
      </c>
      <c r="F117" s="65" t="str">
        <f aca="false">IF(B117="","",IF('01_WBS &amp; Master Plan'!K114="Done",1,IF('01_WBS &amp; Master Plan'!L114="",0,'01_WBS &amp; Master Plan'!L114)))</f>
        <v/>
      </c>
      <c r="G117" s="63" t="str">
        <f aca="false">IF('01_WBS &amp; Master Plan'!K114="","",'01_WBS &amp; Master Plan'!K114)</f>
        <v/>
      </c>
      <c r="H117" s="66" t="str">
        <f aca="false">IF(OR($D117="",$E117=""),"",IF(AND(H$5&gt;=$D117,H$5&lt;=$E117),IF(H$5-$D117+1&lt;=ROUND(($E117-$D117+1)*$F117,0),2,IF(H$5&lt;CFG_CurWeek,3,1)),""))</f>
        <v/>
      </c>
      <c r="I117" s="66" t="str">
        <f aca="false">IF(OR($D117="",$E117=""),"",IF(AND(I$5&gt;=$D117,I$5&lt;=$E117),IF(I$5-$D117+1&lt;=ROUND(($E117-$D117+1)*$F117,0),2,IF(I$5&lt;CFG_CurWeek,3,1)),""))</f>
        <v/>
      </c>
      <c r="J117" s="66" t="str">
        <f aca="false">IF(OR($D117="",$E117=""),"",IF(AND(J$5&gt;=$D117,J$5&lt;=$E117),IF(J$5-$D117+1&lt;=ROUND(($E117-$D117+1)*$F117,0),2,IF(J$5&lt;CFG_CurWeek,3,1)),""))</f>
        <v/>
      </c>
      <c r="K117" s="66" t="str">
        <f aca="false">IF(OR($D117="",$E117=""),"",IF(AND(K$5&gt;=$D117,K$5&lt;=$E117),IF(K$5-$D117+1&lt;=ROUND(($E117-$D117+1)*$F117,0),2,IF(K$5&lt;CFG_CurWeek,3,1)),""))</f>
        <v/>
      </c>
      <c r="L117" s="66" t="str">
        <f aca="false">IF(OR($D117="",$E117=""),"",IF(AND(L$5&gt;=$D117,L$5&lt;=$E117),IF(L$5-$D117+1&lt;=ROUND(($E117-$D117+1)*$F117,0),2,IF(L$5&lt;CFG_CurWeek,3,1)),""))</f>
        <v/>
      </c>
      <c r="M117" s="66" t="str">
        <f aca="false">IF(OR($D117="",$E117=""),"",IF(AND(M$5&gt;=$D117,M$5&lt;=$E117),IF(M$5-$D117+1&lt;=ROUND(($E117-$D117+1)*$F117,0),2,IF(M$5&lt;CFG_CurWeek,3,1)),""))</f>
        <v/>
      </c>
      <c r="N117" s="66" t="str">
        <f aca="false">IF(OR($D117="",$E117=""),"",IF(AND(N$5&gt;=$D117,N$5&lt;=$E117),IF(N$5-$D117+1&lt;=ROUND(($E117-$D117+1)*$F117,0),2,IF(N$5&lt;CFG_CurWeek,3,1)),""))</f>
        <v/>
      </c>
      <c r="O117" s="66" t="str">
        <f aca="false">IF(OR($D117="",$E117=""),"",IF(AND(O$5&gt;=$D117,O$5&lt;=$E117),IF(O$5-$D117+1&lt;=ROUND(($E117-$D117+1)*$F117,0),2,IF(O$5&lt;CFG_CurWeek,3,1)),""))</f>
        <v/>
      </c>
      <c r="P117" s="66" t="str">
        <f aca="false">IF(OR($D117="",$E117=""),"",IF(AND(P$5&gt;=$D117,P$5&lt;=$E117),IF(P$5-$D117+1&lt;=ROUND(($E117-$D117+1)*$F117,0),2,IF(P$5&lt;CFG_CurWeek,3,1)),""))</f>
        <v/>
      </c>
      <c r="Q117" s="66" t="str">
        <f aca="false">IF(OR($D117="",$E117=""),"",IF(AND(Q$5&gt;=$D117,Q$5&lt;=$E117),IF(Q$5-$D117+1&lt;=ROUND(($E117-$D117+1)*$F117,0),2,IF(Q$5&lt;CFG_CurWeek,3,1)),""))</f>
        <v/>
      </c>
      <c r="R117" s="66" t="str">
        <f aca="false">IF(OR($D117="",$E117=""),"",IF(AND(R$5&gt;=$D117,R$5&lt;=$E117),IF(R$5-$D117+1&lt;=ROUND(($E117-$D117+1)*$F117,0),2,IF(R$5&lt;CFG_CurWeek,3,1)),""))</f>
        <v/>
      </c>
      <c r="S117" s="66" t="str">
        <f aca="false">IF(OR($D117="",$E117=""),"",IF(AND(S$5&gt;=$D117,S$5&lt;=$E117),IF(S$5-$D117+1&lt;=ROUND(($E117-$D117+1)*$F117,0),2,IF(S$5&lt;CFG_CurWeek,3,1)),""))</f>
        <v/>
      </c>
      <c r="T117" s="66" t="str">
        <f aca="false">IF(OR($D117="",$E117=""),"",IF(AND(T$5&gt;=$D117,T$5&lt;=$E117),IF(T$5-$D117+1&lt;=ROUND(($E117-$D117+1)*$F117,0),2,IF(T$5&lt;CFG_CurWeek,3,1)),""))</f>
        <v/>
      </c>
      <c r="U117" s="66" t="str">
        <f aca="false">IF(OR($D117="",$E117=""),"",IF(AND(U$5&gt;=$D117,U$5&lt;=$E117),IF(U$5-$D117+1&lt;=ROUND(($E117-$D117+1)*$F117,0),2,IF(U$5&lt;CFG_CurWeek,3,1)),""))</f>
        <v/>
      </c>
      <c r="V117" s="66" t="str">
        <f aca="false">IF(OR($D117="",$E117=""),"",IF(AND(V$5&gt;=$D117,V$5&lt;=$E117),IF(V$5-$D117+1&lt;=ROUND(($E117-$D117+1)*$F117,0),2,IF(V$5&lt;CFG_CurWeek,3,1)),""))</f>
        <v/>
      </c>
      <c r="W117" s="66" t="str">
        <f aca="false">IF(OR($D117="",$E117=""),"",IF(AND(W$5&gt;=$D117,W$5&lt;=$E117),IF(W$5-$D117+1&lt;=ROUND(($E117-$D117+1)*$F117,0),2,IF(W$5&lt;CFG_CurWeek,3,1)),""))</f>
        <v/>
      </c>
      <c r="X117" s="66" t="str">
        <f aca="false">IF(OR($D117="",$E117=""),"",IF(AND(X$5&gt;=$D117,X$5&lt;=$E117),IF(X$5-$D117+1&lt;=ROUND(($E117-$D117+1)*$F117,0),2,IF(X$5&lt;CFG_CurWeek,3,1)),""))</f>
        <v/>
      </c>
      <c r="Y117" s="66" t="str">
        <f aca="false">IF(OR($D117="",$E117=""),"",IF(AND(Y$5&gt;=$D117,Y$5&lt;=$E117),IF(Y$5-$D117+1&lt;=ROUND(($E117-$D117+1)*$F117,0),2,IF(Y$5&lt;CFG_CurWeek,3,1)),""))</f>
        <v/>
      </c>
      <c r="Z117" s="66" t="str">
        <f aca="false">IF(OR($D117="",$E117=""),"",IF(AND(Z$5&gt;=$D117,Z$5&lt;=$E117),IF(Z$5-$D117+1&lt;=ROUND(($E117-$D117+1)*$F117,0),2,IF(Z$5&lt;CFG_CurWeek,3,1)),""))</f>
        <v/>
      </c>
      <c r="AA117" s="66" t="str">
        <f aca="false">IF(OR($D117="",$E117=""),"",IF(AND(AA$5&gt;=$D117,AA$5&lt;=$E117),IF(AA$5-$D117+1&lt;=ROUND(($E117-$D117+1)*$F117,0),2,IF(AA$5&lt;CFG_CurWeek,3,1)),""))</f>
        <v/>
      </c>
      <c r="AB117" s="66" t="str">
        <f aca="false">IF(OR($D117="",$E117=""),"",IF(AND(AB$5&gt;=$D117,AB$5&lt;=$E117),IF(AB$5-$D117+1&lt;=ROUND(($E117-$D117+1)*$F117,0),2,IF(AB$5&lt;CFG_CurWeek,3,1)),""))</f>
        <v/>
      </c>
      <c r="AC117" s="66" t="str">
        <f aca="false">IF(OR($D117="",$E117=""),"",IF(AND(AC$5&gt;=$D117,AC$5&lt;=$E117),IF(AC$5-$D117+1&lt;=ROUND(($E117-$D117+1)*$F117,0),2,IF(AC$5&lt;CFG_CurWeek,3,1)),""))</f>
        <v/>
      </c>
      <c r="AD117" s="66" t="str">
        <f aca="false">IF(OR($D117="",$E117=""),"",IF(AND(AD$5&gt;=$D117,AD$5&lt;=$E117),IF(AD$5-$D117+1&lt;=ROUND(($E117-$D117+1)*$F117,0),2,IF(AD$5&lt;CFG_CurWeek,3,1)),""))</f>
        <v/>
      </c>
      <c r="AE117" s="66" t="str">
        <f aca="false">IF(OR($D117="",$E117=""),"",IF(AND(AE$5&gt;=$D117,AE$5&lt;=$E117),IF(AE$5-$D117+1&lt;=ROUND(($E117-$D117+1)*$F117,0),2,IF(AE$5&lt;CFG_CurWeek,3,1)),""))</f>
        <v/>
      </c>
      <c r="AF117" s="66" t="str">
        <f aca="false">IF(OR($D117="",$E117=""),"",IF(AND(AF$5&gt;=$D117,AF$5&lt;=$E117),IF(AF$5-$D117+1&lt;=ROUND(($E117-$D117+1)*$F117,0),2,IF(AF$5&lt;CFG_CurWeek,3,1)),""))</f>
        <v/>
      </c>
      <c r="AG117" s="66" t="str">
        <f aca="false">IF(OR($D117="",$E117=""),"",IF(AND(AG$5&gt;=$D117,AG$5&lt;=$E117),IF(AG$5-$D117+1&lt;=ROUND(($E117-$D117+1)*$F117,0),2,IF(AG$5&lt;CFG_CurWeek,3,1)),""))</f>
        <v/>
      </c>
      <c r="AH117" s="66" t="str">
        <f aca="false">IF(OR($D117="",$E117=""),"",IF(AND(AH$5&gt;=$D117,AH$5&lt;=$E117),IF(AH$5-$D117+1&lt;=ROUND(($E117-$D117+1)*$F117,0),2,IF(AH$5&lt;CFG_CurWeek,3,1)),""))</f>
        <v/>
      </c>
      <c r="AI117" s="66" t="str">
        <f aca="false">IF(OR($D117="",$E117=""),"",IF(AND(AI$5&gt;=$D117,AI$5&lt;=$E117),IF(AI$5-$D117+1&lt;=ROUND(($E117-$D117+1)*$F117,0),2,IF(AI$5&lt;CFG_CurWeek,3,1)),""))</f>
        <v/>
      </c>
      <c r="AJ117" s="66" t="str">
        <f aca="false">IF(OR($D117="",$E117=""),"",IF(AND(AJ$5&gt;=$D117,AJ$5&lt;=$E117),IF(AJ$5-$D117+1&lt;=ROUND(($E117-$D117+1)*$F117,0),2,IF(AJ$5&lt;CFG_CurWeek,3,1)),""))</f>
        <v/>
      </c>
      <c r="AK117" s="66" t="str">
        <f aca="false">IF(OR($D117="",$E117=""),"",IF(AND(AK$5&gt;=$D117,AK$5&lt;=$E117),IF(AK$5-$D117+1&lt;=ROUND(($E117-$D117+1)*$F117,0),2,IF(AK$5&lt;CFG_CurWeek,3,1)),""))</f>
        <v/>
      </c>
      <c r="AL117" s="66" t="str">
        <f aca="false">IF(OR($D117="",$E117=""),"",IF(AND(AL$5&gt;=$D117,AL$5&lt;=$E117),IF(AL$5-$D117+1&lt;=ROUND(($E117-$D117+1)*$F117,0),2,IF(AL$5&lt;CFG_CurWeek,3,1)),""))</f>
        <v/>
      </c>
      <c r="AM117" s="66" t="str">
        <f aca="false">IF(OR($D117="",$E117=""),"",IF(AND(AM$5&gt;=$D117,AM$5&lt;=$E117),IF(AM$5-$D117+1&lt;=ROUND(($E117-$D117+1)*$F117,0),2,IF(AM$5&lt;CFG_CurWeek,3,1)),""))</f>
        <v/>
      </c>
      <c r="AN117" s="66" t="str">
        <f aca="false">IF(OR($D117="",$E117=""),"",IF(AND(AN$5&gt;=$D117,AN$5&lt;=$E117),IF(AN$5-$D117+1&lt;=ROUND(($E117-$D117+1)*$F117,0),2,IF(AN$5&lt;CFG_CurWeek,3,1)),""))</f>
        <v/>
      </c>
      <c r="AO117" s="66" t="str">
        <f aca="false">IF(OR($D117="",$E117=""),"",IF(AND(AO$5&gt;=$D117,AO$5&lt;=$E117),IF(AO$5-$D117+1&lt;=ROUND(($E117-$D117+1)*$F117,0),2,IF(AO$5&lt;CFG_CurWeek,3,1)),""))</f>
        <v/>
      </c>
    </row>
    <row r="118" customFormat="false" ht="15" hidden="false" customHeight="false" outlineLevel="0" collapsed="false">
      <c r="A118" s="63" t="str">
        <f aca="false">IF('01_WBS &amp; Master Plan'!A115="","",'01_WBS &amp; Master Plan'!A115)</f>
        <v/>
      </c>
      <c r="B118" s="64" t="str">
        <f aca="false">IF('01_WBS &amp; Master Plan'!D115="","",'01_WBS &amp; Master Plan'!D115)</f>
        <v/>
      </c>
      <c r="C118" s="63" t="str">
        <f aca="false">IF('01_WBS &amp; Master Plan'!E115="","",'01_WBS &amp; Master Plan'!E115)</f>
        <v/>
      </c>
      <c r="D118" s="63" t="str">
        <f aca="false">IF('01_WBS &amp; Master Plan'!H115="","",'01_WBS &amp; Master Plan'!H115)</f>
        <v/>
      </c>
      <c r="E118" s="63" t="str">
        <f aca="false">IF('01_WBS &amp; Master Plan'!I115="","",'01_WBS &amp; Master Plan'!I115)</f>
        <v/>
      </c>
      <c r="F118" s="65" t="str">
        <f aca="false">IF(B118="","",IF('01_WBS &amp; Master Plan'!K115="Done",1,IF('01_WBS &amp; Master Plan'!L115="",0,'01_WBS &amp; Master Plan'!L115)))</f>
        <v/>
      </c>
      <c r="G118" s="63" t="str">
        <f aca="false">IF('01_WBS &amp; Master Plan'!K115="","",'01_WBS &amp; Master Plan'!K115)</f>
        <v/>
      </c>
      <c r="H118" s="66" t="str">
        <f aca="false">IF(OR($D118="",$E118=""),"",IF(AND(H$5&gt;=$D118,H$5&lt;=$E118),IF(H$5-$D118+1&lt;=ROUND(($E118-$D118+1)*$F118,0),2,IF(H$5&lt;CFG_CurWeek,3,1)),""))</f>
        <v/>
      </c>
      <c r="I118" s="66" t="str">
        <f aca="false">IF(OR($D118="",$E118=""),"",IF(AND(I$5&gt;=$D118,I$5&lt;=$E118),IF(I$5-$D118+1&lt;=ROUND(($E118-$D118+1)*$F118,0),2,IF(I$5&lt;CFG_CurWeek,3,1)),""))</f>
        <v/>
      </c>
      <c r="J118" s="66" t="str">
        <f aca="false">IF(OR($D118="",$E118=""),"",IF(AND(J$5&gt;=$D118,J$5&lt;=$E118),IF(J$5-$D118+1&lt;=ROUND(($E118-$D118+1)*$F118,0),2,IF(J$5&lt;CFG_CurWeek,3,1)),""))</f>
        <v/>
      </c>
      <c r="K118" s="66" t="str">
        <f aca="false">IF(OR($D118="",$E118=""),"",IF(AND(K$5&gt;=$D118,K$5&lt;=$E118),IF(K$5-$D118+1&lt;=ROUND(($E118-$D118+1)*$F118,0),2,IF(K$5&lt;CFG_CurWeek,3,1)),""))</f>
        <v/>
      </c>
      <c r="L118" s="66" t="str">
        <f aca="false">IF(OR($D118="",$E118=""),"",IF(AND(L$5&gt;=$D118,L$5&lt;=$E118),IF(L$5-$D118+1&lt;=ROUND(($E118-$D118+1)*$F118,0),2,IF(L$5&lt;CFG_CurWeek,3,1)),""))</f>
        <v/>
      </c>
      <c r="M118" s="66" t="str">
        <f aca="false">IF(OR($D118="",$E118=""),"",IF(AND(M$5&gt;=$D118,M$5&lt;=$E118),IF(M$5-$D118+1&lt;=ROUND(($E118-$D118+1)*$F118,0),2,IF(M$5&lt;CFG_CurWeek,3,1)),""))</f>
        <v/>
      </c>
      <c r="N118" s="66" t="str">
        <f aca="false">IF(OR($D118="",$E118=""),"",IF(AND(N$5&gt;=$D118,N$5&lt;=$E118),IF(N$5-$D118+1&lt;=ROUND(($E118-$D118+1)*$F118,0),2,IF(N$5&lt;CFG_CurWeek,3,1)),""))</f>
        <v/>
      </c>
      <c r="O118" s="66" t="str">
        <f aca="false">IF(OR($D118="",$E118=""),"",IF(AND(O$5&gt;=$D118,O$5&lt;=$E118),IF(O$5-$D118+1&lt;=ROUND(($E118-$D118+1)*$F118,0),2,IF(O$5&lt;CFG_CurWeek,3,1)),""))</f>
        <v/>
      </c>
      <c r="P118" s="66" t="str">
        <f aca="false">IF(OR($D118="",$E118=""),"",IF(AND(P$5&gt;=$D118,P$5&lt;=$E118),IF(P$5-$D118+1&lt;=ROUND(($E118-$D118+1)*$F118,0),2,IF(P$5&lt;CFG_CurWeek,3,1)),""))</f>
        <v/>
      </c>
      <c r="Q118" s="66" t="str">
        <f aca="false">IF(OR($D118="",$E118=""),"",IF(AND(Q$5&gt;=$D118,Q$5&lt;=$E118),IF(Q$5-$D118+1&lt;=ROUND(($E118-$D118+1)*$F118,0),2,IF(Q$5&lt;CFG_CurWeek,3,1)),""))</f>
        <v/>
      </c>
      <c r="R118" s="66" t="str">
        <f aca="false">IF(OR($D118="",$E118=""),"",IF(AND(R$5&gt;=$D118,R$5&lt;=$E118),IF(R$5-$D118+1&lt;=ROUND(($E118-$D118+1)*$F118,0),2,IF(R$5&lt;CFG_CurWeek,3,1)),""))</f>
        <v/>
      </c>
      <c r="S118" s="66" t="str">
        <f aca="false">IF(OR($D118="",$E118=""),"",IF(AND(S$5&gt;=$D118,S$5&lt;=$E118),IF(S$5-$D118+1&lt;=ROUND(($E118-$D118+1)*$F118,0),2,IF(S$5&lt;CFG_CurWeek,3,1)),""))</f>
        <v/>
      </c>
      <c r="T118" s="66" t="str">
        <f aca="false">IF(OR($D118="",$E118=""),"",IF(AND(T$5&gt;=$D118,T$5&lt;=$E118),IF(T$5-$D118+1&lt;=ROUND(($E118-$D118+1)*$F118,0),2,IF(T$5&lt;CFG_CurWeek,3,1)),""))</f>
        <v/>
      </c>
      <c r="U118" s="66" t="str">
        <f aca="false">IF(OR($D118="",$E118=""),"",IF(AND(U$5&gt;=$D118,U$5&lt;=$E118),IF(U$5-$D118+1&lt;=ROUND(($E118-$D118+1)*$F118,0),2,IF(U$5&lt;CFG_CurWeek,3,1)),""))</f>
        <v/>
      </c>
      <c r="V118" s="66" t="str">
        <f aca="false">IF(OR($D118="",$E118=""),"",IF(AND(V$5&gt;=$D118,V$5&lt;=$E118),IF(V$5-$D118+1&lt;=ROUND(($E118-$D118+1)*$F118,0),2,IF(V$5&lt;CFG_CurWeek,3,1)),""))</f>
        <v/>
      </c>
      <c r="W118" s="66" t="str">
        <f aca="false">IF(OR($D118="",$E118=""),"",IF(AND(W$5&gt;=$D118,W$5&lt;=$E118),IF(W$5-$D118+1&lt;=ROUND(($E118-$D118+1)*$F118,0),2,IF(W$5&lt;CFG_CurWeek,3,1)),""))</f>
        <v/>
      </c>
      <c r="X118" s="66" t="str">
        <f aca="false">IF(OR($D118="",$E118=""),"",IF(AND(X$5&gt;=$D118,X$5&lt;=$E118),IF(X$5-$D118+1&lt;=ROUND(($E118-$D118+1)*$F118,0),2,IF(X$5&lt;CFG_CurWeek,3,1)),""))</f>
        <v/>
      </c>
      <c r="Y118" s="66" t="str">
        <f aca="false">IF(OR($D118="",$E118=""),"",IF(AND(Y$5&gt;=$D118,Y$5&lt;=$E118),IF(Y$5-$D118+1&lt;=ROUND(($E118-$D118+1)*$F118,0),2,IF(Y$5&lt;CFG_CurWeek,3,1)),""))</f>
        <v/>
      </c>
      <c r="Z118" s="66" t="str">
        <f aca="false">IF(OR($D118="",$E118=""),"",IF(AND(Z$5&gt;=$D118,Z$5&lt;=$E118),IF(Z$5-$D118+1&lt;=ROUND(($E118-$D118+1)*$F118,0),2,IF(Z$5&lt;CFG_CurWeek,3,1)),""))</f>
        <v/>
      </c>
      <c r="AA118" s="66" t="str">
        <f aca="false">IF(OR($D118="",$E118=""),"",IF(AND(AA$5&gt;=$D118,AA$5&lt;=$E118),IF(AA$5-$D118+1&lt;=ROUND(($E118-$D118+1)*$F118,0),2,IF(AA$5&lt;CFG_CurWeek,3,1)),""))</f>
        <v/>
      </c>
      <c r="AB118" s="66" t="str">
        <f aca="false">IF(OR($D118="",$E118=""),"",IF(AND(AB$5&gt;=$D118,AB$5&lt;=$E118),IF(AB$5-$D118+1&lt;=ROUND(($E118-$D118+1)*$F118,0),2,IF(AB$5&lt;CFG_CurWeek,3,1)),""))</f>
        <v/>
      </c>
      <c r="AC118" s="66" t="str">
        <f aca="false">IF(OR($D118="",$E118=""),"",IF(AND(AC$5&gt;=$D118,AC$5&lt;=$E118),IF(AC$5-$D118+1&lt;=ROUND(($E118-$D118+1)*$F118,0),2,IF(AC$5&lt;CFG_CurWeek,3,1)),""))</f>
        <v/>
      </c>
      <c r="AD118" s="66" t="str">
        <f aca="false">IF(OR($D118="",$E118=""),"",IF(AND(AD$5&gt;=$D118,AD$5&lt;=$E118),IF(AD$5-$D118+1&lt;=ROUND(($E118-$D118+1)*$F118,0),2,IF(AD$5&lt;CFG_CurWeek,3,1)),""))</f>
        <v/>
      </c>
      <c r="AE118" s="66" t="str">
        <f aca="false">IF(OR($D118="",$E118=""),"",IF(AND(AE$5&gt;=$D118,AE$5&lt;=$E118),IF(AE$5-$D118+1&lt;=ROUND(($E118-$D118+1)*$F118,0),2,IF(AE$5&lt;CFG_CurWeek,3,1)),""))</f>
        <v/>
      </c>
      <c r="AF118" s="66" t="str">
        <f aca="false">IF(OR($D118="",$E118=""),"",IF(AND(AF$5&gt;=$D118,AF$5&lt;=$E118),IF(AF$5-$D118+1&lt;=ROUND(($E118-$D118+1)*$F118,0),2,IF(AF$5&lt;CFG_CurWeek,3,1)),""))</f>
        <v/>
      </c>
      <c r="AG118" s="66" t="str">
        <f aca="false">IF(OR($D118="",$E118=""),"",IF(AND(AG$5&gt;=$D118,AG$5&lt;=$E118),IF(AG$5-$D118+1&lt;=ROUND(($E118-$D118+1)*$F118,0),2,IF(AG$5&lt;CFG_CurWeek,3,1)),""))</f>
        <v/>
      </c>
      <c r="AH118" s="66" t="str">
        <f aca="false">IF(OR($D118="",$E118=""),"",IF(AND(AH$5&gt;=$D118,AH$5&lt;=$E118),IF(AH$5-$D118+1&lt;=ROUND(($E118-$D118+1)*$F118,0),2,IF(AH$5&lt;CFG_CurWeek,3,1)),""))</f>
        <v/>
      </c>
      <c r="AI118" s="66" t="str">
        <f aca="false">IF(OR($D118="",$E118=""),"",IF(AND(AI$5&gt;=$D118,AI$5&lt;=$E118),IF(AI$5-$D118+1&lt;=ROUND(($E118-$D118+1)*$F118,0),2,IF(AI$5&lt;CFG_CurWeek,3,1)),""))</f>
        <v/>
      </c>
      <c r="AJ118" s="66" t="str">
        <f aca="false">IF(OR($D118="",$E118=""),"",IF(AND(AJ$5&gt;=$D118,AJ$5&lt;=$E118),IF(AJ$5-$D118+1&lt;=ROUND(($E118-$D118+1)*$F118,0),2,IF(AJ$5&lt;CFG_CurWeek,3,1)),""))</f>
        <v/>
      </c>
      <c r="AK118" s="66" t="str">
        <f aca="false">IF(OR($D118="",$E118=""),"",IF(AND(AK$5&gt;=$D118,AK$5&lt;=$E118),IF(AK$5-$D118+1&lt;=ROUND(($E118-$D118+1)*$F118,0),2,IF(AK$5&lt;CFG_CurWeek,3,1)),""))</f>
        <v/>
      </c>
      <c r="AL118" s="66" t="str">
        <f aca="false">IF(OR($D118="",$E118=""),"",IF(AND(AL$5&gt;=$D118,AL$5&lt;=$E118),IF(AL$5-$D118+1&lt;=ROUND(($E118-$D118+1)*$F118,0),2,IF(AL$5&lt;CFG_CurWeek,3,1)),""))</f>
        <v/>
      </c>
      <c r="AM118" s="66" t="str">
        <f aca="false">IF(OR($D118="",$E118=""),"",IF(AND(AM$5&gt;=$D118,AM$5&lt;=$E118),IF(AM$5-$D118+1&lt;=ROUND(($E118-$D118+1)*$F118,0),2,IF(AM$5&lt;CFG_CurWeek,3,1)),""))</f>
        <v/>
      </c>
      <c r="AN118" s="66" t="str">
        <f aca="false">IF(OR($D118="",$E118=""),"",IF(AND(AN$5&gt;=$D118,AN$5&lt;=$E118),IF(AN$5-$D118+1&lt;=ROUND(($E118-$D118+1)*$F118,0),2,IF(AN$5&lt;CFG_CurWeek,3,1)),""))</f>
        <v/>
      </c>
      <c r="AO118" s="66" t="str">
        <f aca="false">IF(OR($D118="",$E118=""),"",IF(AND(AO$5&gt;=$D118,AO$5&lt;=$E118),IF(AO$5-$D118+1&lt;=ROUND(($E118-$D118+1)*$F118,0),2,IF(AO$5&lt;CFG_CurWeek,3,1)),""))</f>
        <v/>
      </c>
    </row>
    <row r="119" customFormat="false" ht="15" hidden="false" customHeight="false" outlineLevel="0" collapsed="false">
      <c r="A119" s="63" t="str">
        <f aca="false">IF('01_WBS &amp; Master Plan'!A116="","",'01_WBS &amp; Master Plan'!A116)</f>
        <v/>
      </c>
      <c r="B119" s="64" t="str">
        <f aca="false">IF('01_WBS &amp; Master Plan'!D116="","",'01_WBS &amp; Master Plan'!D116)</f>
        <v/>
      </c>
      <c r="C119" s="63" t="str">
        <f aca="false">IF('01_WBS &amp; Master Plan'!E116="","",'01_WBS &amp; Master Plan'!E116)</f>
        <v/>
      </c>
      <c r="D119" s="63" t="str">
        <f aca="false">IF('01_WBS &amp; Master Plan'!H116="","",'01_WBS &amp; Master Plan'!H116)</f>
        <v/>
      </c>
      <c r="E119" s="63" t="str">
        <f aca="false">IF('01_WBS &amp; Master Plan'!I116="","",'01_WBS &amp; Master Plan'!I116)</f>
        <v/>
      </c>
      <c r="F119" s="65" t="str">
        <f aca="false">IF(B119="","",IF('01_WBS &amp; Master Plan'!K116="Done",1,IF('01_WBS &amp; Master Plan'!L116="",0,'01_WBS &amp; Master Plan'!L116)))</f>
        <v/>
      </c>
      <c r="G119" s="63" t="str">
        <f aca="false">IF('01_WBS &amp; Master Plan'!K116="","",'01_WBS &amp; Master Plan'!K116)</f>
        <v/>
      </c>
      <c r="H119" s="66" t="str">
        <f aca="false">IF(OR($D119="",$E119=""),"",IF(AND(H$5&gt;=$D119,H$5&lt;=$E119),IF(H$5-$D119+1&lt;=ROUND(($E119-$D119+1)*$F119,0),2,IF(H$5&lt;CFG_CurWeek,3,1)),""))</f>
        <v/>
      </c>
      <c r="I119" s="66" t="str">
        <f aca="false">IF(OR($D119="",$E119=""),"",IF(AND(I$5&gt;=$D119,I$5&lt;=$E119),IF(I$5-$D119+1&lt;=ROUND(($E119-$D119+1)*$F119,0),2,IF(I$5&lt;CFG_CurWeek,3,1)),""))</f>
        <v/>
      </c>
      <c r="J119" s="66" t="str">
        <f aca="false">IF(OR($D119="",$E119=""),"",IF(AND(J$5&gt;=$D119,J$5&lt;=$E119),IF(J$5-$D119+1&lt;=ROUND(($E119-$D119+1)*$F119,0),2,IF(J$5&lt;CFG_CurWeek,3,1)),""))</f>
        <v/>
      </c>
      <c r="K119" s="66" t="str">
        <f aca="false">IF(OR($D119="",$E119=""),"",IF(AND(K$5&gt;=$D119,K$5&lt;=$E119),IF(K$5-$D119+1&lt;=ROUND(($E119-$D119+1)*$F119,0),2,IF(K$5&lt;CFG_CurWeek,3,1)),""))</f>
        <v/>
      </c>
      <c r="L119" s="66" t="str">
        <f aca="false">IF(OR($D119="",$E119=""),"",IF(AND(L$5&gt;=$D119,L$5&lt;=$E119),IF(L$5-$D119+1&lt;=ROUND(($E119-$D119+1)*$F119,0),2,IF(L$5&lt;CFG_CurWeek,3,1)),""))</f>
        <v/>
      </c>
      <c r="M119" s="66" t="str">
        <f aca="false">IF(OR($D119="",$E119=""),"",IF(AND(M$5&gt;=$D119,M$5&lt;=$E119),IF(M$5-$D119+1&lt;=ROUND(($E119-$D119+1)*$F119,0),2,IF(M$5&lt;CFG_CurWeek,3,1)),""))</f>
        <v/>
      </c>
      <c r="N119" s="66" t="str">
        <f aca="false">IF(OR($D119="",$E119=""),"",IF(AND(N$5&gt;=$D119,N$5&lt;=$E119),IF(N$5-$D119+1&lt;=ROUND(($E119-$D119+1)*$F119,0),2,IF(N$5&lt;CFG_CurWeek,3,1)),""))</f>
        <v/>
      </c>
      <c r="O119" s="66" t="str">
        <f aca="false">IF(OR($D119="",$E119=""),"",IF(AND(O$5&gt;=$D119,O$5&lt;=$E119),IF(O$5-$D119+1&lt;=ROUND(($E119-$D119+1)*$F119,0),2,IF(O$5&lt;CFG_CurWeek,3,1)),""))</f>
        <v/>
      </c>
      <c r="P119" s="66" t="str">
        <f aca="false">IF(OR($D119="",$E119=""),"",IF(AND(P$5&gt;=$D119,P$5&lt;=$E119),IF(P$5-$D119+1&lt;=ROUND(($E119-$D119+1)*$F119,0),2,IF(P$5&lt;CFG_CurWeek,3,1)),""))</f>
        <v/>
      </c>
      <c r="Q119" s="66" t="str">
        <f aca="false">IF(OR($D119="",$E119=""),"",IF(AND(Q$5&gt;=$D119,Q$5&lt;=$E119),IF(Q$5-$D119+1&lt;=ROUND(($E119-$D119+1)*$F119,0),2,IF(Q$5&lt;CFG_CurWeek,3,1)),""))</f>
        <v/>
      </c>
      <c r="R119" s="66" t="str">
        <f aca="false">IF(OR($D119="",$E119=""),"",IF(AND(R$5&gt;=$D119,R$5&lt;=$E119),IF(R$5-$D119+1&lt;=ROUND(($E119-$D119+1)*$F119,0),2,IF(R$5&lt;CFG_CurWeek,3,1)),""))</f>
        <v/>
      </c>
      <c r="S119" s="66" t="str">
        <f aca="false">IF(OR($D119="",$E119=""),"",IF(AND(S$5&gt;=$D119,S$5&lt;=$E119),IF(S$5-$D119+1&lt;=ROUND(($E119-$D119+1)*$F119,0),2,IF(S$5&lt;CFG_CurWeek,3,1)),""))</f>
        <v/>
      </c>
      <c r="T119" s="66" t="str">
        <f aca="false">IF(OR($D119="",$E119=""),"",IF(AND(T$5&gt;=$D119,T$5&lt;=$E119),IF(T$5-$D119+1&lt;=ROUND(($E119-$D119+1)*$F119,0),2,IF(T$5&lt;CFG_CurWeek,3,1)),""))</f>
        <v/>
      </c>
      <c r="U119" s="66" t="str">
        <f aca="false">IF(OR($D119="",$E119=""),"",IF(AND(U$5&gt;=$D119,U$5&lt;=$E119),IF(U$5-$D119+1&lt;=ROUND(($E119-$D119+1)*$F119,0),2,IF(U$5&lt;CFG_CurWeek,3,1)),""))</f>
        <v/>
      </c>
      <c r="V119" s="66" t="str">
        <f aca="false">IF(OR($D119="",$E119=""),"",IF(AND(V$5&gt;=$D119,V$5&lt;=$E119),IF(V$5-$D119+1&lt;=ROUND(($E119-$D119+1)*$F119,0),2,IF(V$5&lt;CFG_CurWeek,3,1)),""))</f>
        <v/>
      </c>
      <c r="W119" s="66" t="str">
        <f aca="false">IF(OR($D119="",$E119=""),"",IF(AND(W$5&gt;=$D119,W$5&lt;=$E119),IF(W$5-$D119+1&lt;=ROUND(($E119-$D119+1)*$F119,0),2,IF(W$5&lt;CFG_CurWeek,3,1)),""))</f>
        <v/>
      </c>
      <c r="X119" s="66" t="str">
        <f aca="false">IF(OR($D119="",$E119=""),"",IF(AND(X$5&gt;=$D119,X$5&lt;=$E119),IF(X$5-$D119+1&lt;=ROUND(($E119-$D119+1)*$F119,0),2,IF(X$5&lt;CFG_CurWeek,3,1)),""))</f>
        <v/>
      </c>
      <c r="Y119" s="66" t="str">
        <f aca="false">IF(OR($D119="",$E119=""),"",IF(AND(Y$5&gt;=$D119,Y$5&lt;=$E119),IF(Y$5-$D119+1&lt;=ROUND(($E119-$D119+1)*$F119,0),2,IF(Y$5&lt;CFG_CurWeek,3,1)),""))</f>
        <v/>
      </c>
      <c r="Z119" s="66" t="str">
        <f aca="false">IF(OR($D119="",$E119=""),"",IF(AND(Z$5&gt;=$D119,Z$5&lt;=$E119),IF(Z$5-$D119+1&lt;=ROUND(($E119-$D119+1)*$F119,0),2,IF(Z$5&lt;CFG_CurWeek,3,1)),""))</f>
        <v/>
      </c>
      <c r="AA119" s="66" t="str">
        <f aca="false">IF(OR($D119="",$E119=""),"",IF(AND(AA$5&gt;=$D119,AA$5&lt;=$E119),IF(AA$5-$D119+1&lt;=ROUND(($E119-$D119+1)*$F119,0),2,IF(AA$5&lt;CFG_CurWeek,3,1)),""))</f>
        <v/>
      </c>
      <c r="AB119" s="66" t="str">
        <f aca="false">IF(OR($D119="",$E119=""),"",IF(AND(AB$5&gt;=$D119,AB$5&lt;=$E119),IF(AB$5-$D119+1&lt;=ROUND(($E119-$D119+1)*$F119,0),2,IF(AB$5&lt;CFG_CurWeek,3,1)),""))</f>
        <v/>
      </c>
      <c r="AC119" s="66" t="str">
        <f aca="false">IF(OR($D119="",$E119=""),"",IF(AND(AC$5&gt;=$D119,AC$5&lt;=$E119),IF(AC$5-$D119+1&lt;=ROUND(($E119-$D119+1)*$F119,0),2,IF(AC$5&lt;CFG_CurWeek,3,1)),""))</f>
        <v/>
      </c>
      <c r="AD119" s="66" t="str">
        <f aca="false">IF(OR($D119="",$E119=""),"",IF(AND(AD$5&gt;=$D119,AD$5&lt;=$E119),IF(AD$5-$D119+1&lt;=ROUND(($E119-$D119+1)*$F119,0),2,IF(AD$5&lt;CFG_CurWeek,3,1)),""))</f>
        <v/>
      </c>
      <c r="AE119" s="66" t="str">
        <f aca="false">IF(OR($D119="",$E119=""),"",IF(AND(AE$5&gt;=$D119,AE$5&lt;=$E119),IF(AE$5-$D119+1&lt;=ROUND(($E119-$D119+1)*$F119,0),2,IF(AE$5&lt;CFG_CurWeek,3,1)),""))</f>
        <v/>
      </c>
      <c r="AF119" s="66" t="str">
        <f aca="false">IF(OR($D119="",$E119=""),"",IF(AND(AF$5&gt;=$D119,AF$5&lt;=$E119),IF(AF$5-$D119+1&lt;=ROUND(($E119-$D119+1)*$F119,0),2,IF(AF$5&lt;CFG_CurWeek,3,1)),""))</f>
        <v/>
      </c>
      <c r="AG119" s="66" t="str">
        <f aca="false">IF(OR($D119="",$E119=""),"",IF(AND(AG$5&gt;=$D119,AG$5&lt;=$E119),IF(AG$5-$D119+1&lt;=ROUND(($E119-$D119+1)*$F119,0),2,IF(AG$5&lt;CFG_CurWeek,3,1)),""))</f>
        <v/>
      </c>
      <c r="AH119" s="66" t="str">
        <f aca="false">IF(OR($D119="",$E119=""),"",IF(AND(AH$5&gt;=$D119,AH$5&lt;=$E119),IF(AH$5-$D119+1&lt;=ROUND(($E119-$D119+1)*$F119,0),2,IF(AH$5&lt;CFG_CurWeek,3,1)),""))</f>
        <v/>
      </c>
      <c r="AI119" s="66" t="str">
        <f aca="false">IF(OR($D119="",$E119=""),"",IF(AND(AI$5&gt;=$D119,AI$5&lt;=$E119),IF(AI$5-$D119+1&lt;=ROUND(($E119-$D119+1)*$F119,0),2,IF(AI$5&lt;CFG_CurWeek,3,1)),""))</f>
        <v/>
      </c>
      <c r="AJ119" s="66" t="str">
        <f aca="false">IF(OR($D119="",$E119=""),"",IF(AND(AJ$5&gt;=$D119,AJ$5&lt;=$E119),IF(AJ$5-$D119+1&lt;=ROUND(($E119-$D119+1)*$F119,0),2,IF(AJ$5&lt;CFG_CurWeek,3,1)),""))</f>
        <v/>
      </c>
      <c r="AK119" s="66" t="str">
        <f aca="false">IF(OR($D119="",$E119=""),"",IF(AND(AK$5&gt;=$D119,AK$5&lt;=$E119),IF(AK$5-$D119+1&lt;=ROUND(($E119-$D119+1)*$F119,0),2,IF(AK$5&lt;CFG_CurWeek,3,1)),""))</f>
        <v/>
      </c>
      <c r="AL119" s="66" t="str">
        <f aca="false">IF(OR($D119="",$E119=""),"",IF(AND(AL$5&gt;=$D119,AL$5&lt;=$E119),IF(AL$5-$D119+1&lt;=ROUND(($E119-$D119+1)*$F119,0),2,IF(AL$5&lt;CFG_CurWeek,3,1)),""))</f>
        <v/>
      </c>
      <c r="AM119" s="66" t="str">
        <f aca="false">IF(OR($D119="",$E119=""),"",IF(AND(AM$5&gt;=$D119,AM$5&lt;=$E119),IF(AM$5-$D119+1&lt;=ROUND(($E119-$D119+1)*$F119,0),2,IF(AM$5&lt;CFG_CurWeek,3,1)),""))</f>
        <v/>
      </c>
      <c r="AN119" s="66" t="str">
        <f aca="false">IF(OR($D119="",$E119=""),"",IF(AND(AN$5&gt;=$D119,AN$5&lt;=$E119),IF(AN$5-$D119+1&lt;=ROUND(($E119-$D119+1)*$F119,0),2,IF(AN$5&lt;CFG_CurWeek,3,1)),""))</f>
        <v/>
      </c>
      <c r="AO119" s="66" t="str">
        <f aca="false">IF(OR($D119="",$E119=""),"",IF(AND(AO$5&gt;=$D119,AO$5&lt;=$E119),IF(AO$5-$D119+1&lt;=ROUND(($E119-$D119+1)*$F119,0),2,IF(AO$5&lt;CFG_CurWeek,3,1)),""))</f>
        <v/>
      </c>
    </row>
    <row r="120" customFormat="false" ht="15" hidden="false" customHeight="false" outlineLevel="0" collapsed="false">
      <c r="A120" s="63" t="str">
        <f aca="false">IF('01_WBS &amp; Master Plan'!A117="","",'01_WBS &amp; Master Plan'!A117)</f>
        <v/>
      </c>
      <c r="B120" s="64" t="str">
        <f aca="false">IF('01_WBS &amp; Master Plan'!D117="","",'01_WBS &amp; Master Plan'!D117)</f>
        <v/>
      </c>
      <c r="C120" s="63" t="str">
        <f aca="false">IF('01_WBS &amp; Master Plan'!E117="","",'01_WBS &amp; Master Plan'!E117)</f>
        <v/>
      </c>
      <c r="D120" s="63" t="str">
        <f aca="false">IF('01_WBS &amp; Master Plan'!H117="","",'01_WBS &amp; Master Plan'!H117)</f>
        <v/>
      </c>
      <c r="E120" s="63" t="str">
        <f aca="false">IF('01_WBS &amp; Master Plan'!I117="","",'01_WBS &amp; Master Plan'!I117)</f>
        <v/>
      </c>
      <c r="F120" s="65" t="str">
        <f aca="false">IF(B120="","",IF('01_WBS &amp; Master Plan'!K117="Done",1,IF('01_WBS &amp; Master Plan'!L117="",0,'01_WBS &amp; Master Plan'!L117)))</f>
        <v/>
      </c>
      <c r="G120" s="63" t="str">
        <f aca="false">IF('01_WBS &amp; Master Plan'!K117="","",'01_WBS &amp; Master Plan'!K117)</f>
        <v/>
      </c>
      <c r="H120" s="66" t="str">
        <f aca="false">IF(OR($D120="",$E120=""),"",IF(AND(H$5&gt;=$D120,H$5&lt;=$E120),IF(H$5-$D120+1&lt;=ROUND(($E120-$D120+1)*$F120,0),2,IF(H$5&lt;CFG_CurWeek,3,1)),""))</f>
        <v/>
      </c>
      <c r="I120" s="66" t="str">
        <f aca="false">IF(OR($D120="",$E120=""),"",IF(AND(I$5&gt;=$D120,I$5&lt;=$E120),IF(I$5-$D120+1&lt;=ROUND(($E120-$D120+1)*$F120,0),2,IF(I$5&lt;CFG_CurWeek,3,1)),""))</f>
        <v/>
      </c>
      <c r="J120" s="66" t="str">
        <f aca="false">IF(OR($D120="",$E120=""),"",IF(AND(J$5&gt;=$D120,J$5&lt;=$E120),IF(J$5-$D120+1&lt;=ROUND(($E120-$D120+1)*$F120,0),2,IF(J$5&lt;CFG_CurWeek,3,1)),""))</f>
        <v/>
      </c>
      <c r="K120" s="66" t="str">
        <f aca="false">IF(OR($D120="",$E120=""),"",IF(AND(K$5&gt;=$D120,K$5&lt;=$E120),IF(K$5-$D120+1&lt;=ROUND(($E120-$D120+1)*$F120,0),2,IF(K$5&lt;CFG_CurWeek,3,1)),""))</f>
        <v/>
      </c>
      <c r="L120" s="66" t="str">
        <f aca="false">IF(OR($D120="",$E120=""),"",IF(AND(L$5&gt;=$D120,L$5&lt;=$E120),IF(L$5-$D120+1&lt;=ROUND(($E120-$D120+1)*$F120,0),2,IF(L$5&lt;CFG_CurWeek,3,1)),""))</f>
        <v/>
      </c>
      <c r="M120" s="66" t="str">
        <f aca="false">IF(OR($D120="",$E120=""),"",IF(AND(M$5&gt;=$D120,M$5&lt;=$E120),IF(M$5-$D120+1&lt;=ROUND(($E120-$D120+1)*$F120,0),2,IF(M$5&lt;CFG_CurWeek,3,1)),""))</f>
        <v/>
      </c>
      <c r="N120" s="66" t="str">
        <f aca="false">IF(OR($D120="",$E120=""),"",IF(AND(N$5&gt;=$D120,N$5&lt;=$E120),IF(N$5-$D120+1&lt;=ROUND(($E120-$D120+1)*$F120,0),2,IF(N$5&lt;CFG_CurWeek,3,1)),""))</f>
        <v/>
      </c>
      <c r="O120" s="66" t="str">
        <f aca="false">IF(OR($D120="",$E120=""),"",IF(AND(O$5&gt;=$D120,O$5&lt;=$E120),IF(O$5-$D120+1&lt;=ROUND(($E120-$D120+1)*$F120,0),2,IF(O$5&lt;CFG_CurWeek,3,1)),""))</f>
        <v/>
      </c>
      <c r="P120" s="66" t="str">
        <f aca="false">IF(OR($D120="",$E120=""),"",IF(AND(P$5&gt;=$D120,P$5&lt;=$E120),IF(P$5-$D120+1&lt;=ROUND(($E120-$D120+1)*$F120,0),2,IF(P$5&lt;CFG_CurWeek,3,1)),""))</f>
        <v/>
      </c>
      <c r="Q120" s="66" t="str">
        <f aca="false">IF(OR($D120="",$E120=""),"",IF(AND(Q$5&gt;=$D120,Q$5&lt;=$E120),IF(Q$5-$D120+1&lt;=ROUND(($E120-$D120+1)*$F120,0),2,IF(Q$5&lt;CFG_CurWeek,3,1)),""))</f>
        <v/>
      </c>
      <c r="R120" s="66" t="str">
        <f aca="false">IF(OR($D120="",$E120=""),"",IF(AND(R$5&gt;=$D120,R$5&lt;=$E120),IF(R$5-$D120+1&lt;=ROUND(($E120-$D120+1)*$F120,0),2,IF(R$5&lt;CFG_CurWeek,3,1)),""))</f>
        <v/>
      </c>
      <c r="S120" s="66" t="str">
        <f aca="false">IF(OR($D120="",$E120=""),"",IF(AND(S$5&gt;=$D120,S$5&lt;=$E120),IF(S$5-$D120+1&lt;=ROUND(($E120-$D120+1)*$F120,0),2,IF(S$5&lt;CFG_CurWeek,3,1)),""))</f>
        <v/>
      </c>
      <c r="T120" s="66" t="str">
        <f aca="false">IF(OR($D120="",$E120=""),"",IF(AND(T$5&gt;=$D120,T$5&lt;=$E120),IF(T$5-$D120+1&lt;=ROUND(($E120-$D120+1)*$F120,0),2,IF(T$5&lt;CFG_CurWeek,3,1)),""))</f>
        <v/>
      </c>
      <c r="U120" s="66" t="str">
        <f aca="false">IF(OR($D120="",$E120=""),"",IF(AND(U$5&gt;=$D120,U$5&lt;=$E120),IF(U$5-$D120+1&lt;=ROUND(($E120-$D120+1)*$F120,0),2,IF(U$5&lt;CFG_CurWeek,3,1)),""))</f>
        <v/>
      </c>
      <c r="V120" s="66" t="str">
        <f aca="false">IF(OR($D120="",$E120=""),"",IF(AND(V$5&gt;=$D120,V$5&lt;=$E120),IF(V$5-$D120+1&lt;=ROUND(($E120-$D120+1)*$F120,0),2,IF(V$5&lt;CFG_CurWeek,3,1)),""))</f>
        <v/>
      </c>
      <c r="W120" s="66" t="str">
        <f aca="false">IF(OR($D120="",$E120=""),"",IF(AND(W$5&gt;=$D120,W$5&lt;=$E120),IF(W$5-$D120+1&lt;=ROUND(($E120-$D120+1)*$F120,0),2,IF(W$5&lt;CFG_CurWeek,3,1)),""))</f>
        <v/>
      </c>
      <c r="X120" s="66" t="str">
        <f aca="false">IF(OR($D120="",$E120=""),"",IF(AND(X$5&gt;=$D120,X$5&lt;=$E120),IF(X$5-$D120+1&lt;=ROUND(($E120-$D120+1)*$F120,0),2,IF(X$5&lt;CFG_CurWeek,3,1)),""))</f>
        <v/>
      </c>
      <c r="Y120" s="66" t="str">
        <f aca="false">IF(OR($D120="",$E120=""),"",IF(AND(Y$5&gt;=$D120,Y$5&lt;=$E120),IF(Y$5-$D120+1&lt;=ROUND(($E120-$D120+1)*$F120,0),2,IF(Y$5&lt;CFG_CurWeek,3,1)),""))</f>
        <v/>
      </c>
      <c r="Z120" s="66" t="str">
        <f aca="false">IF(OR($D120="",$E120=""),"",IF(AND(Z$5&gt;=$D120,Z$5&lt;=$E120),IF(Z$5-$D120+1&lt;=ROUND(($E120-$D120+1)*$F120,0),2,IF(Z$5&lt;CFG_CurWeek,3,1)),""))</f>
        <v/>
      </c>
      <c r="AA120" s="66" t="str">
        <f aca="false">IF(OR($D120="",$E120=""),"",IF(AND(AA$5&gt;=$D120,AA$5&lt;=$E120),IF(AA$5-$D120+1&lt;=ROUND(($E120-$D120+1)*$F120,0),2,IF(AA$5&lt;CFG_CurWeek,3,1)),""))</f>
        <v/>
      </c>
      <c r="AB120" s="66" t="str">
        <f aca="false">IF(OR($D120="",$E120=""),"",IF(AND(AB$5&gt;=$D120,AB$5&lt;=$E120),IF(AB$5-$D120+1&lt;=ROUND(($E120-$D120+1)*$F120,0),2,IF(AB$5&lt;CFG_CurWeek,3,1)),""))</f>
        <v/>
      </c>
      <c r="AC120" s="66" t="str">
        <f aca="false">IF(OR($D120="",$E120=""),"",IF(AND(AC$5&gt;=$D120,AC$5&lt;=$E120),IF(AC$5-$D120+1&lt;=ROUND(($E120-$D120+1)*$F120,0),2,IF(AC$5&lt;CFG_CurWeek,3,1)),""))</f>
        <v/>
      </c>
      <c r="AD120" s="66" t="str">
        <f aca="false">IF(OR($D120="",$E120=""),"",IF(AND(AD$5&gt;=$D120,AD$5&lt;=$E120),IF(AD$5-$D120+1&lt;=ROUND(($E120-$D120+1)*$F120,0),2,IF(AD$5&lt;CFG_CurWeek,3,1)),""))</f>
        <v/>
      </c>
      <c r="AE120" s="66" t="str">
        <f aca="false">IF(OR($D120="",$E120=""),"",IF(AND(AE$5&gt;=$D120,AE$5&lt;=$E120),IF(AE$5-$D120+1&lt;=ROUND(($E120-$D120+1)*$F120,0),2,IF(AE$5&lt;CFG_CurWeek,3,1)),""))</f>
        <v/>
      </c>
      <c r="AF120" s="66" t="str">
        <f aca="false">IF(OR($D120="",$E120=""),"",IF(AND(AF$5&gt;=$D120,AF$5&lt;=$E120),IF(AF$5-$D120+1&lt;=ROUND(($E120-$D120+1)*$F120,0),2,IF(AF$5&lt;CFG_CurWeek,3,1)),""))</f>
        <v/>
      </c>
      <c r="AG120" s="66" t="str">
        <f aca="false">IF(OR($D120="",$E120=""),"",IF(AND(AG$5&gt;=$D120,AG$5&lt;=$E120),IF(AG$5-$D120+1&lt;=ROUND(($E120-$D120+1)*$F120,0),2,IF(AG$5&lt;CFG_CurWeek,3,1)),""))</f>
        <v/>
      </c>
      <c r="AH120" s="66" t="str">
        <f aca="false">IF(OR($D120="",$E120=""),"",IF(AND(AH$5&gt;=$D120,AH$5&lt;=$E120),IF(AH$5-$D120+1&lt;=ROUND(($E120-$D120+1)*$F120,0),2,IF(AH$5&lt;CFG_CurWeek,3,1)),""))</f>
        <v/>
      </c>
      <c r="AI120" s="66" t="str">
        <f aca="false">IF(OR($D120="",$E120=""),"",IF(AND(AI$5&gt;=$D120,AI$5&lt;=$E120),IF(AI$5-$D120+1&lt;=ROUND(($E120-$D120+1)*$F120,0),2,IF(AI$5&lt;CFG_CurWeek,3,1)),""))</f>
        <v/>
      </c>
      <c r="AJ120" s="66" t="str">
        <f aca="false">IF(OR($D120="",$E120=""),"",IF(AND(AJ$5&gt;=$D120,AJ$5&lt;=$E120),IF(AJ$5-$D120+1&lt;=ROUND(($E120-$D120+1)*$F120,0),2,IF(AJ$5&lt;CFG_CurWeek,3,1)),""))</f>
        <v/>
      </c>
      <c r="AK120" s="66" t="str">
        <f aca="false">IF(OR($D120="",$E120=""),"",IF(AND(AK$5&gt;=$D120,AK$5&lt;=$E120),IF(AK$5-$D120+1&lt;=ROUND(($E120-$D120+1)*$F120,0),2,IF(AK$5&lt;CFG_CurWeek,3,1)),""))</f>
        <v/>
      </c>
      <c r="AL120" s="66" t="str">
        <f aca="false">IF(OR($D120="",$E120=""),"",IF(AND(AL$5&gt;=$D120,AL$5&lt;=$E120),IF(AL$5-$D120+1&lt;=ROUND(($E120-$D120+1)*$F120,0),2,IF(AL$5&lt;CFG_CurWeek,3,1)),""))</f>
        <v/>
      </c>
      <c r="AM120" s="66" t="str">
        <f aca="false">IF(OR($D120="",$E120=""),"",IF(AND(AM$5&gt;=$D120,AM$5&lt;=$E120),IF(AM$5-$D120+1&lt;=ROUND(($E120-$D120+1)*$F120,0),2,IF(AM$5&lt;CFG_CurWeek,3,1)),""))</f>
        <v/>
      </c>
      <c r="AN120" s="66" t="str">
        <f aca="false">IF(OR($D120="",$E120=""),"",IF(AND(AN$5&gt;=$D120,AN$5&lt;=$E120),IF(AN$5-$D120+1&lt;=ROUND(($E120-$D120+1)*$F120,0),2,IF(AN$5&lt;CFG_CurWeek,3,1)),""))</f>
        <v/>
      </c>
      <c r="AO120" s="66" t="str">
        <f aca="false">IF(OR($D120="",$E120=""),"",IF(AND(AO$5&gt;=$D120,AO$5&lt;=$E120),IF(AO$5-$D120+1&lt;=ROUND(($E120-$D120+1)*$F120,0),2,IF(AO$5&lt;CFG_CurWeek,3,1)),""))</f>
        <v/>
      </c>
    </row>
    <row r="121" customFormat="false" ht="15" hidden="false" customHeight="false" outlineLevel="0" collapsed="false">
      <c r="A121" s="63" t="str">
        <f aca="false">IF('01_WBS &amp; Master Plan'!A118="","",'01_WBS &amp; Master Plan'!A118)</f>
        <v/>
      </c>
      <c r="B121" s="64" t="str">
        <f aca="false">IF('01_WBS &amp; Master Plan'!D118="","",'01_WBS &amp; Master Plan'!D118)</f>
        <v/>
      </c>
      <c r="C121" s="63" t="str">
        <f aca="false">IF('01_WBS &amp; Master Plan'!E118="","",'01_WBS &amp; Master Plan'!E118)</f>
        <v/>
      </c>
      <c r="D121" s="63" t="str">
        <f aca="false">IF('01_WBS &amp; Master Plan'!H118="","",'01_WBS &amp; Master Plan'!H118)</f>
        <v/>
      </c>
      <c r="E121" s="63" t="str">
        <f aca="false">IF('01_WBS &amp; Master Plan'!I118="","",'01_WBS &amp; Master Plan'!I118)</f>
        <v/>
      </c>
      <c r="F121" s="65" t="str">
        <f aca="false">IF(B121="","",IF('01_WBS &amp; Master Plan'!K118="Done",1,IF('01_WBS &amp; Master Plan'!L118="",0,'01_WBS &amp; Master Plan'!L118)))</f>
        <v/>
      </c>
      <c r="G121" s="63" t="str">
        <f aca="false">IF('01_WBS &amp; Master Plan'!K118="","",'01_WBS &amp; Master Plan'!K118)</f>
        <v/>
      </c>
      <c r="H121" s="66" t="str">
        <f aca="false">IF(OR($D121="",$E121=""),"",IF(AND(H$5&gt;=$D121,H$5&lt;=$E121),IF(H$5-$D121+1&lt;=ROUND(($E121-$D121+1)*$F121,0),2,IF(H$5&lt;CFG_CurWeek,3,1)),""))</f>
        <v/>
      </c>
      <c r="I121" s="66" t="str">
        <f aca="false">IF(OR($D121="",$E121=""),"",IF(AND(I$5&gt;=$D121,I$5&lt;=$E121),IF(I$5-$D121+1&lt;=ROUND(($E121-$D121+1)*$F121,0),2,IF(I$5&lt;CFG_CurWeek,3,1)),""))</f>
        <v/>
      </c>
      <c r="J121" s="66" t="str">
        <f aca="false">IF(OR($D121="",$E121=""),"",IF(AND(J$5&gt;=$D121,J$5&lt;=$E121),IF(J$5-$D121+1&lt;=ROUND(($E121-$D121+1)*$F121,0),2,IF(J$5&lt;CFG_CurWeek,3,1)),""))</f>
        <v/>
      </c>
      <c r="K121" s="66" t="str">
        <f aca="false">IF(OR($D121="",$E121=""),"",IF(AND(K$5&gt;=$D121,K$5&lt;=$E121),IF(K$5-$D121+1&lt;=ROUND(($E121-$D121+1)*$F121,0),2,IF(K$5&lt;CFG_CurWeek,3,1)),""))</f>
        <v/>
      </c>
      <c r="L121" s="66" t="str">
        <f aca="false">IF(OR($D121="",$E121=""),"",IF(AND(L$5&gt;=$D121,L$5&lt;=$E121),IF(L$5-$D121+1&lt;=ROUND(($E121-$D121+1)*$F121,0),2,IF(L$5&lt;CFG_CurWeek,3,1)),""))</f>
        <v/>
      </c>
      <c r="M121" s="66" t="str">
        <f aca="false">IF(OR($D121="",$E121=""),"",IF(AND(M$5&gt;=$D121,M$5&lt;=$E121),IF(M$5-$D121+1&lt;=ROUND(($E121-$D121+1)*$F121,0),2,IF(M$5&lt;CFG_CurWeek,3,1)),""))</f>
        <v/>
      </c>
      <c r="N121" s="66" t="str">
        <f aca="false">IF(OR($D121="",$E121=""),"",IF(AND(N$5&gt;=$D121,N$5&lt;=$E121),IF(N$5-$D121+1&lt;=ROUND(($E121-$D121+1)*$F121,0),2,IF(N$5&lt;CFG_CurWeek,3,1)),""))</f>
        <v/>
      </c>
      <c r="O121" s="66" t="str">
        <f aca="false">IF(OR($D121="",$E121=""),"",IF(AND(O$5&gt;=$D121,O$5&lt;=$E121),IF(O$5-$D121+1&lt;=ROUND(($E121-$D121+1)*$F121,0),2,IF(O$5&lt;CFG_CurWeek,3,1)),""))</f>
        <v/>
      </c>
      <c r="P121" s="66" t="str">
        <f aca="false">IF(OR($D121="",$E121=""),"",IF(AND(P$5&gt;=$D121,P$5&lt;=$E121),IF(P$5-$D121+1&lt;=ROUND(($E121-$D121+1)*$F121,0),2,IF(P$5&lt;CFG_CurWeek,3,1)),""))</f>
        <v/>
      </c>
      <c r="Q121" s="66" t="str">
        <f aca="false">IF(OR($D121="",$E121=""),"",IF(AND(Q$5&gt;=$D121,Q$5&lt;=$E121),IF(Q$5-$D121+1&lt;=ROUND(($E121-$D121+1)*$F121,0),2,IF(Q$5&lt;CFG_CurWeek,3,1)),""))</f>
        <v/>
      </c>
      <c r="R121" s="66" t="str">
        <f aca="false">IF(OR($D121="",$E121=""),"",IF(AND(R$5&gt;=$D121,R$5&lt;=$E121),IF(R$5-$D121+1&lt;=ROUND(($E121-$D121+1)*$F121,0),2,IF(R$5&lt;CFG_CurWeek,3,1)),""))</f>
        <v/>
      </c>
      <c r="S121" s="66" t="str">
        <f aca="false">IF(OR($D121="",$E121=""),"",IF(AND(S$5&gt;=$D121,S$5&lt;=$E121),IF(S$5-$D121+1&lt;=ROUND(($E121-$D121+1)*$F121,0),2,IF(S$5&lt;CFG_CurWeek,3,1)),""))</f>
        <v/>
      </c>
      <c r="T121" s="66" t="str">
        <f aca="false">IF(OR($D121="",$E121=""),"",IF(AND(T$5&gt;=$D121,T$5&lt;=$E121),IF(T$5-$D121+1&lt;=ROUND(($E121-$D121+1)*$F121,0),2,IF(T$5&lt;CFG_CurWeek,3,1)),""))</f>
        <v/>
      </c>
      <c r="U121" s="66" t="str">
        <f aca="false">IF(OR($D121="",$E121=""),"",IF(AND(U$5&gt;=$D121,U$5&lt;=$E121),IF(U$5-$D121+1&lt;=ROUND(($E121-$D121+1)*$F121,0),2,IF(U$5&lt;CFG_CurWeek,3,1)),""))</f>
        <v/>
      </c>
      <c r="V121" s="66" t="str">
        <f aca="false">IF(OR($D121="",$E121=""),"",IF(AND(V$5&gt;=$D121,V$5&lt;=$E121),IF(V$5-$D121+1&lt;=ROUND(($E121-$D121+1)*$F121,0),2,IF(V$5&lt;CFG_CurWeek,3,1)),""))</f>
        <v/>
      </c>
      <c r="W121" s="66" t="str">
        <f aca="false">IF(OR($D121="",$E121=""),"",IF(AND(W$5&gt;=$D121,W$5&lt;=$E121),IF(W$5-$D121+1&lt;=ROUND(($E121-$D121+1)*$F121,0),2,IF(W$5&lt;CFG_CurWeek,3,1)),""))</f>
        <v/>
      </c>
      <c r="X121" s="66" t="str">
        <f aca="false">IF(OR($D121="",$E121=""),"",IF(AND(X$5&gt;=$D121,X$5&lt;=$E121),IF(X$5-$D121+1&lt;=ROUND(($E121-$D121+1)*$F121,0),2,IF(X$5&lt;CFG_CurWeek,3,1)),""))</f>
        <v/>
      </c>
      <c r="Y121" s="66" t="str">
        <f aca="false">IF(OR($D121="",$E121=""),"",IF(AND(Y$5&gt;=$D121,Y$5&lt;=$E121),IF(Y$5-$D121+1&lt;=ROUND(($E121-$D121+1)*$F121,0),2,IF(Y$5&lt;CFG_CurWeek,3,1)),""))</f>
        <v/>
      </c>
      <c r="Z121" s="66" t="str">
        <f aca="false">IF(OR($D121="",$E121=""),"",IF(AND(Z$5&gt;=$D121,Z$5&lt;=$E121),IF(Z$5-$D121+1&lt;=ROUND(($E121-$D121+1)*$F121,0),2,IF(Z$5&lt;CFG_CurWeek,3,1)),""))</f>
        <v/>
      </c>
      <c r="AA121" s="66" t="str">
        <f aca="false">IF(OR($D121="",$E121=""),"",IF(AND(AA$5&gt;=$D121,AA$5&lt;=$E121),IF(AA$5-$D121+1&lt;=ROUND(($E121-$D121+1)*$F121,0),2,IF(AA$5&lt;CFG_CurWeek,3,1)),""))</f>
        <v/>
      </c>
      <c r="AB121" s="66" t="str">
        <f aca="false">IF(OR($D121="",$E121=""),"",IF(AND(AB$5&gt;=$D121,AB$5&lt;=$E121),IF(AB$5-$D121+1&lt;=ROUND(($E121-$D121+1)*$F121,0),2,IF(AB$5&lt;CFG_CurWeek,3,1)),""))</f>
        <v/>
      </c>
      <c r="AC121" s="66" t="str">
        <f aca="false">IF(OR($D121="",$E121=""),"",IF(AND(AC$5&gt;=$D121,AC$5&lt;=$E121),IF(AC$5-$D121+1&lt;=ROUND(($E121-$D121+1)*$F121,0),2,IF(AC$5&lt;CFG_CurWeek,3,1)),""))</f>
        <v/>
      </c>
      <c r="AD121" s="66" t="str">
        <f aca="false">IF(OR($D121="",$E121=""),"",IF(AND(AD$5&gt;=$D121,AD$5&lt;=$E121),IF(AD$5-$D121+1&lt;=ROUND(($E121-$D121+1)*$F121,0),2,IF(AD$5&lt;CFG_CurWeek,3,1)),""))</f>
        <v/>
      </c>
      <c r="AE121" s="66" t="str">
        <f aca="false">IF(OR($D121="",$E121=""),"",IF(AND(AE$5&gt;=$D121,AE$5&lt;=$E121),IF(AE$5-$D121+1&lt;=ROUND(($E121-$D121+1)*$F121,0),2,IF(AE$5&lt;CFG_CurWeek,3,1)),""))</f>
        <v/>
      </c>
      <c r="AF121" s="66" t="str">
        <f aca="false">IF(OR($D121="",$E121=""),"",IF(AND(AF$5&gt;=$D121,AF$5&lt;=$E121),IF(AF$5-$D121+1&lt;=ROUND(($E121-$D121+1)*$F121,0),2,IF(AF$5&lt;CFG_CurWeek,3,1)),""))</f>
        <v/>
      </c>
      <c r="AG121" s="66" t="str">
        <f aca="false">IF(OR($D121="",$E121=""),"",IF(AND(AG$5&gt;=$D121,AG$5&lt;=$E121),IF(AG$5-$D121+1&lt;=ROUND(($E121-$D121+1)*$F121,0),2,IF(AG$5&lt;CFG_CurWeek,3,1)),""))</f>
        <v/>
      </c>
      <c r="AH121" s="66" t="str">
        <f aca="false">IF(OR($D121="",$E121=""),"",IF(AND(AH$5&gt;=$D121,AH$5&lt;=$E121),IF(AH$5-$D121+1&lt;=ROUND(($E121-$D121+1)*$F121,0),2,IF(AH$5&lt;CFG_CurWeek,3,1)),""))</f>
        <v/>
      </c>
      <c r="AI121" s="66" t="str">
        <f aca="false">IF(OR($D121="",$E121=""),"",IF(AND(AI$5&gt;=$D121,AI$5&lt;=$E121),IF(AI$5-$D121+1&lt;=ROUND(($E121-$D121+1)*$F121,0),2,IF(AI$5&lt;CFG_CurWeek,3,1)),""))</f>
        <v/>
      </c>
      <c r="AJ121" s="66" t="str">
        <f aca="false">IF(OR($D121="",$E121=""),"",IF(AND(AJ$5&gt;=$D121,AJ$5&lt;=$E121),IF(AJ$5-$D121+1&lt;=ROUND(($E121-$D121+1)*$F121,0),2,IF(AJ$5&lt;CFG_CurWeek,3,1)),""))</f>
        <v/>
      </c>
      <c r="AK121" s="66" t="str">
        <f aca="false">IF(OR($D121="",$E121=""),"",IF(AND(AK$5&gt;=$D121,AK$5&lt;=$E121),IF(AK$5-$D121+1&lt;=ROUND(($E121-$D121+1)*$F121,0),2,IF(AK$5&lt;CFG_CurWeek,3,1)),""))</f>
        <v/>
      </c>
      <c r="AL121" s="66" t="str">
        <f aca="false">IF(OR($D121="",$E121=""),"",IF(AND(AL$5&gt;=$D121,AL$5&lt;=$E121),IF(AL$5-$D121+1&lt;=ROUND(($E121-$D121+1)*$F121,0),2,IF(AL$5&lt;CFG_CurWeek,3,1)),""))</f>
        <v/>
      </c>
      <c r="AM121" s="66" t="str">
        <f aca="false">IF(OR($D121="",$E121=""),"",IF(AND(AM$5&gt;=$D121,AM$5&lt;=$E121),IF(AM$5-$D121+1&lt;=ROUND(($E121-$D121+1)*$F121,0),2,IF(AM$5&lt;CFG_CurWeek,3,1)),""))</f>
        <v/>
      </c>
      <c r="AN121" s="66" t="str">
        <f aca="false">IF(OR($D121="",$E121=""),"",IF(AND(AN$5&gt;=$D121,AN$5&lt;=$E121),IF(AN$5-$D121+1&lt;=ROUND(($E121-$D121+1)*$F121,0),2,IF(AN$5&lt;CFG_CurWeek,3,1)),""))</f>
        <v/>
      </c>
      <c r="AO121" s="66" t="str">
        <f aca="false">IF(OR($D121="",$E121=""),"",IF(AND(AO$5&gt;=$D121,AO$5&lt;=$E121),IF(AO$5-$D121+1&lt;=ROUND(($E121-$D121+1)*$F121,0),2,IF(AO$5&lt;CFG_CurWeek,3,1)),""))</f>
        <v/>
      </c>
    </row>
    <row r="122" customFormat="false" ht="15" hidden="false" customHeight="false" outlineLevel="0" collapsed="false">
      <c r="A122" s="63" t="str">
        <f aca="false">IF('01_WBS &amp; Master Plan'!A119="","",'01_WBS &amp; Master Plan'!A119)</f>
        <v/>
      </c>
      <c r="B122" s="64" t="str">
        <f aca="false">IF('01_WBS &amp; Master Plan'!D119="","",'01_WBS &amp; Master Plan'!D119)</f>
        <v/>
      </c>
      <c r="C122" s="63" t="str">
        <f aca="false">IF('01_WBS &amp; Master Plan'!E119="","",'01_WBS &amp; Master Plan'!E119)</f>
        <v/>
      </c>
      <c r="D122" s="63" t="str">
        <f aca="false">IF('01_WBS &amp; Master Plan'!H119="","",'01_WBS &amp; Master Plan'!H119)</f>
        <v/>
      </c>
      <c r="E122" s="63" t="str">
        <f aca="false">IF('01_WBS &amp; Master Plan'!I119="","",'01_WBS &amp; Master Plan'!I119)</f>
        <v/>
      </c>
      <c r="F122" s="65" t="str">
        <f aca="false">IF(B122="","",IF('01_WBS &amp; Master Plan'!K119="Done",1,IF('01_WBS &amp; Master Plan'!L119="",0,'01_WBS &amp; Master Plan'!L119)))</f>
        <v/>
      </c>
      <c r="G122" s="63" t="str">
        <f aca="false">IF('01_WBS &amp; Master Plan'!K119="","",'01_WBS &amp; Master Plan'!K119)</f>
        <v/>
      </c>
      <c r="H122" s="66" t="str">
        <f aca="false">IF(OR($D122="",$E122=""),"",IF(AND(H$5&gt;=$D122,H$5&lt;=$E122),IF(H$5-$D122+1&lt;=ROUND(($E122-$D122+1)*$F122,0),2,IF(H$5&lt;CFG_CurWeek,3,1)),""))</f>
        <v/>
      </c>
      <c r="I122" s="66" t="str">
        <f aca="false">IF(OR($D122="",$E122=""),"",IF(AND(I$5&gt;=$D122,I$5&lt;=$E122),IF(I$5-$D122+1&lt;=ROUND(($E122-$D122+1)*$F122,0),2,IF(I$5&lt;CFG_CurWeek,3,1)),""))</f>
        <v/>
      </c>
      <c r="J122" s="66" t="str">
        <f aca="false">IF(OR($D122="",$E122=""),"",IF(AND(J$5&gt;=$D122,J$5&lt;=$E122),IF(J$5-$D122+1&lt;=ROUND(($E122-$D122+1)*$F122,0),2,IF(J$5&lt;CFG_CurWeek,3,1)),""))</f>
        <v/>
      </c>
      <c r="K122" s="66" t="str">
        <f aca="false">IF(OR($D122="",$E122=""),"",IF(AND(K$5&gt;=$D122,K$5&lt;=$E122),IF(K$5-$D122+1&lt;=ROUND(($E122-$D122+1)*$F122,0),2,IF(K$5&lt;CFG_CurWeek,3,1)),""))</f>
        <v/>
      </c>
      <c r="L122" s="66" t="str">
        <f aca="false">IF(OR($D122="",$E122=""),"",IF(AND(L$5&gt;=$D122,L$5&lt;=$E122),IF(L$5-$D122+1&lt;=ROUND(($E122-$D122+1)*$F122,0),2,IF(L$5&lt;CFG_CurWeek,3,1)),""))</f>
        <v/>
      </c>
      <c r="M122" s="66" t="str">
        <f aca="false">IF(OR($D122="",$E122=""),"",IF(AND(M$5&gt;=$D122,M$5&lt;=$E122),IF(M$5-$D122+1&lt;=ROUND(($E122-$D122+1)*$F122,0),2,IF(M$5&lt;CFG_CurWeek,3,1)),""))</f>
        <v/>
      </c>
      <c r="N122" s="66" t="str">
        <f aca="false">IF(OR($D122="",$E122=""),"",IF(AND(N$5&gt;=$D122,N$5&lt;=$E122),IF(N$5-$D122+1&lt;=ROUND(($E122-$D122+1)*$F122,0),2,IF(N$5&lt;CFG_CurWeek,3,1)),""))</f>
        <v/>
      </c>
      <c r="O122" s="66" t="str">
        <f aca="false">IF(OR($D122="",$E122=""),"",IF(AND(O$5&gt;=$D122,O$5&lt;=$E122),IF(O$5-$D122+1&lt;=ROUND(($E122-$D122+1)*$F122,0),2,IF(O$5&lt;CFG_CurWeek,3,1)),""))</f>
        <v/>
      </c>
      <c r="P122" s="66" t="str">
        <f aca="false">IF(OR($D122="",$E122=""),"",IF(AND(P$5&gt;=$D122,P$5&lt;=$E122),IF(P$5-$D122+1&lt;=ROUND(($E122-$D122+1)*$F122,0),2,IF(P$5&lt;CFG_CurWeek,3,1)),""))</f>
        <v/>
      </c>
      <c r="Q122" s="66" t="str">
        <f aca="false">IF(OR($D122="",$E122=""),"",IF(AND(Q$5&gt;=$D122,Q$5&lt;=$E122),IF(Q$5-$D122+1&lt;=ROUND(($E122-$D122+1)*$F122,0),2,IF(Q$5&lt;CFG_CurWeek,3,1)),""))</f>
        <v/>
      </c>
      <c r="R122" s="66" t="str">
        <f aca="false">IF(OR($D122="",$E122=""),"",IF(AND(R$5&gt;=$D122,R$5&lt;=$E122),IF(R$5-$D122+1&lt;=ROUND(($E122-$D122+1)*$F122,0),2,IF(R$5&lt;CFG_CurWeek,3,1)),""))</f>
        <v/>
      </c>
      <c r="S122" s="66" t="str">
        <f aca="false">IF(OR($D122="",$E122=""),"",IF(AND(S$5&gt;=$D122,S$5&lt;=$E122),IF(S$5-$D122+1&lt;=ROUND(($E122-$D122+1)*$F122,0),2,IF(S$5&lt;CFG_CurWeek,3,1)),""))</f>
        <v/>
      </c>
      <c r="T122" s="66" t="str">
        <f aca="false">IF(OR($D122="",$E122=""),"",IF(AND(T$5&gt;=$D122,T$5&lt;=$E122),IF(T$5-$D122+1&lt;=ROUND(($E122-$D122+1)*$F122,0),2,IF(T$5&lt;CFG_CurWeek,3,1)),""))</f>
        <v/>
      </c>
      <c r="U122" s="66" t="str">
        <f aca="false">IF(OR($D122="",$E122=""),"",IF(AND(U$5&gt;=$D122,U$5&lt;=$E122),IF(U$5-$D122+1&lt;=ROUND(($E122-$D122+1)*$F122,0),2,IF(U$5&lt;CFG_CurWeek,3,1)),""))</f>
        <v/>
      </c>
      <c r="V122" s="66" t="str">
        <f aca="false">IF(OR($D122="",$E122=""),"",IF(AND(V$5&gt;=$D122,V$5&lt;=$E122),IF(V$5-$D122+1&lt;=ROUND(($E122-$D122+1)*$F122,0),2,IF(V$5&lt;CFG_CurWeek,3,1)),""))</f>
        <v/>
      </c>
      <c r="W122" s="66" t="str">
        <f aca="false">IF(OR($D122="",$E122=""),"",IF(AND(W$5&gt;=$D122,W$5&lt;=$E122),IF(W$5-$D122+1&lt;=ROUND(($E122-$D122+1)*$F122,0),2,IF(W$5&lt;CFG_CurWeek,3,1)),""))</f>
        <v/>
      </c>
      <c r="X122" s="66" t="str">
        <f aca="false">IF(OR($D122="",$E122=""),"",IF(AND(X$5&gt;=$D122,X$5&lt;=$E122),IF(X$5-$D122+1&lt;=ROUND(($E122-$D122+1)*$F122,0),2,IF(X$5&lt;CFG_CurWeek,3,1)),""))</f>
        <v/>
      </c>
      <c r="Y122" s="66" t="str">
        <f aca="false">IF(OR($D122="",$E122=""),"",IF(AND(Y$5&gt;=$D122,Y$5&lt;=$E122),IF(Y$5-$D122+1&lt;=ROUND(($E122-$D122+1)*$F122,0),2,IF(Y$5&lt;CFG_CurWeek,3,1)),""))</f>
        <v/>
      </c>
      <c r="Z122" s="66" t="str">
        <f aca="false">IF(OR($D122="",$E122=""),"",IF(AND(Z$5&gt;=$D122,Z$5&lt;=$E122),IF(Z$5-$D122+1&lt;=ROUND(($E122-$D122+1)*$F122,0),2,IF(Z$5&lt;CFG_CurWeek,3,1)),""))</f>
        <v/>
      </c>
      <c r="AA122" s="66" t="str">
        <f aca="false">IF(OR($D122="",$E122=""),"",IF(AND(AA$5&gt;=$D122,AA$5&lt;=$E122),IF(AA$5-$D122+1&lt;=ROUND(($E122-$D122+1)*$F122,0),2,IF(AA$5&lt;CFG_CurWeek,3,1)),""))</f>
        <v/>
      </c>
      <c r="AB122" s="66" t="str">
        <f aca="false">IF(OR($D122="",$E122=""),"",IF(AND(AB$5&gt;=$D122,AB$5&lt;=$E122),IF(AB$5-$D122+1&lt;=ROUND(($E122-$D122+1)*$F122,0),2,IF(AB$5&lt;CFG_CurWeek,3,1)),""))</f>
        <v/>
      </c>
      <c r="AC122" s="66" t="str">
        <f aca="false">IF(OR($D122="",$E122=""),"",IF(AND(AC$5&gt;=$D122,AC$5&lt;=$E122),IF(AC$5-$D122+1&lt;=ROUND(($E122-$D122+1)*$F122,0),2,IF(AC$5&lt;CFG_CurWeek,3,1)),""))</f>
        <v/>
      </c>
      <c r="AD122" s="66" t="str">
        <f aca="false">IF(OR($D122="",$E122=""),"",IF(AND(AD$5&gt;=$D122,AD$5&lt;=$E122),IF(AD$5-$D122+1&lt;=ROUND(($E122-$D122+1)*$F122,0),2,IF(AD$5&lt;CFG_CurWeek,3,1)),""))</f>
        <v/>
      </c>
      <c r="AE122" s="66" t="str">
        <f aca="false">IF(OR($D122="",$E122=""),"",IF(AND(AE$5&gt;=$D122,AE$5&lt;=$E122),IF(AE$5-$D122+1&lt;=ROUND(($E122-$D122+1)*$F122,0),2,IF(AE$5&lt;CFG_CurWeek,3,1)),""))</f>
        <v/>
      </c>
      <c r="AF122" s="66" t="str">
        <f aca="false">IF(OR($D122="",$E122=""),"",IF(AND(AF$5&gt;=$D122,AF$5&lt;=$E122),IF(AF$5-$D122+1&lt;=ROUND(($E122-$D122+1)*$F122,0),2,IF(AF$5&lt;CFG_CurWeek,3,1)),""))</f>
        <v/>
      </c>
      <c r="AG122" s="66" t="str">
        <f aca="false">IF(OR($D122="",$E122=""),"",IF(AND(AG$5&gt;=$D122,AG$5&lt;=$E122),IF(AG$5-$D122+1&lt;=ROUND(($E122-$D122+1)*$F122,0),2,IF(AG$5&lt;CFG_CurWeek,3,1)),""))</f>
        <v/>
      </c>
      <c r="AH122" s="66" t="str">
        <f aca="false">IF(OR($D122="",$E122=""),"",IF(AND(AH$5&gt;=$D122,AH$5&lt;=$E122),IF(AH$5-$D122+1&lt;=ROUND(($E122-$D122+1)*$F122,0),2,IF(AH$5&lt;CFG_CurWeek,3,1)),""))</f>
        <v/>
      </c>
      <c r="AI122" s="66" t="str">
        <f aca="false">IF(OR($D122="",$E122=""),"",IF(AND(AI$5&gt;=$D122,AI$5&lt;=$E122),IF(AI$5-$D122+1&lt;=ROUND(($E122-$D122+1)*$F122,0),2,IF(AI$5&lt;CFG_CurWeek,3,1)),""))</f>
        <v/>
      </c>
      <c r="AJ122" s="66" t="str">
        <f aca="false">IF(OR($D122="",$E122=""),"",IF(AND(AJ$5&gt;=$D122,AJ$5&lt;=$E122),IF(AJ$5-$D122+1&lt;=ROUND(($E122-$D122+1)*$F122,0),2,IF(AJ$5&lt;CFG_CurWeek,3,1)),""))</f>
        <v/>
      </c>
      <c r="AK122" s="66" t="str">
        <f aca="false">IF(OR($D122="",$E122=""),"",IF(AND(AK$5&gt;=$D122,AK$5&lt;=$E122),IF(AK$5-$D122+1&lt;=ROUND(($E122-$D122+1)*$F122,0),2,IF(AK$5&lt;CFG_CurWeek,3,1)),""))</f>
        <v/>
      </c>
      <c r="AL122" s="66" t="str">
        <f aca="false">IF(OR($D122="",$E122=""),"",IF(AND(AL$5&gt;=$D122,AL$5&lt;=$E122),IF(AL$5-$D122+1&lt;=ROUND(($E122-$D122+1)*$F122,0),2,IF(AL$5&lt;CFG_CurWeek,3,1)),""))</f>
        <v/>
      </c>
      <c r="AM122" s="66" t="str">
        <f aca="false">IF(OR($D122="",$E122=""),"",IF(AND(AM$5&gt;=$D122,AM$5&lt;=$E122),IF(AM$5-$D122+1&lt;=ROUND(($E122-$D122+1)*$F122,0),2,IF(AM$5&lt;CFG_CurWeek,3,1)),""))</f>
        <v/>
      </c>
      <c r="AN122" s="66" t="str">
        <f aca="false">IF(OR($D122="",$E122=""),"",IF(AND(AN$5&gt;=$D122,AN$5&lt;=$E122),IF(AN$5-$D122+1&lt;=ROUND(($E122-$D122+1)*$F122,0),2,IF(AN$5&lt;CFG_CurWeek,3,1)),""))</f>
        <v/>
      </c>
      <c r="AO122" s="66" t="str">
        <f aca="false">IF(OR($D122="",$E122=""),"",IF(AND(AO$5&gt;=$D122,AO$5&lt;=$E122),IF(AO$5-$D122+1&lt;=ROUND(($E122-$D122+1)*$F122,0),2,IF(AO$5&lt;CFG_CurWeek,3,1)),""))</f>
        <v/>
      </c>
    </row>
    <row r="123" customFormat="false" ht="15" hidden="false" customHeight="false" outlineLevel="0" collapsed="false">
      <c r="A123" s="63" t="str">
        <f aca="false">IF('01_WBS &amp; Master Plan'!A120="","",'01_WBS &amp; Master Plan'!A120)</f>
        <v/>
      </c>
      <c r="B123" s="64" t="str">
        <f aca="false">IF('01_WBS &amp; Master Plan'!D120="","",'01_WBS &amp; Master Plan'!D120)</f>
        <v/>
      </c>
      <c r="C123" s="63" t="str">
        <f aca="false">IF('01_WBS &amp; Master Plan'!E120="","",'01_WBS &amp; Master Plan'!E120)</f>
        <v/>
      </c>
      <c r="D123" s="63" t="str">
        <f aca="false">IF('01_WBS &amp; Master Plan'!H120="","",'01_WBS &amp; Master Plan'!H120)</f>
        <v/>
      </c>
      <c r="E123" s="63" t="str">
        <f aca="false">IF('01_WBS &amp; Master Plan'!I120="","",'01_WBS &amp; Master Plan'!I120)</f>
        <v/>
      </c>
      <c r="F123" s="65" t="str">
        <f aca="false">IF(B123="","",IF('01_WBS &amp; Master Plan'!K120="Done",1,IF('01_WBS &amp; Master Plan'!L120="",0,'01_WBS &amp; Master Plan'!L120)))</f>
        <v/>
      </c>
      <c r="G123" s="63" t="str">
        <f aca="false">IF('01_WBS &amp; Master Plan'!K120="","",'01_WBS &amp; Master Plan'!K120)</f>
        <v/>
      </c>
      <c r="H123" s="66" t="str">
        <f aca="false">IF(OR($D123="",$E123=""),"",IF(AND(H$5&gt;=$D123,H$5&lt;=$E123),IF(H$5-$D123+1&lt;=ROUND(($E123-$D123+1)*$F123,0),2,IF(H$5&lt;CFG_CurWeek,3,1)),""))</f>
        <v/>
      </c>
      <c r="I123" s="66" t="str">
        <f aca="false">IF(OR($D123="",$E123=""),"",IF(AND(I$5&gt;=$D123,I$5&lt;=$E123),IF(I$5-$D123+1&lt;=ROUND(($E123-$D123+1)*$F123,0),2,IF(I$5&lt;CFG_CurWeek,3,1)),""))</f>
        <v/>
      </c>
      <c r="J123" s="66" t="str">
        <f aca="false">IF(OR($D123="",$E123=""),"",IF(AND(J$5&gt;=$D123,J$5&lt;=$E123),IF(J$5-$D123+1&lt;=ROUND(($E123-$D123+1)*$F123,0),2,IF(J$5&lt;CFG_CurWeek,3,1)),""))</f>
        <v/>
      </c>
      <c r="K123" s="66" t="str">
        <f aca="false">IF(OR($D123="",$E123=""),"",IF(AND(K$5&gt;=$D123,K$5&lt;=$E123),IF(K$5-$D123+1&lt;=ROUND(($E123-$D123+1)*$F123,0),2,IF(K$5&lt;CFG_CurWeek,3,1)),""))</f>
        <v/>
      </c>
      <c r="L123" s="66" t="str">
        <f aca="false">IF(OR($D123="",$E123=""),"",IF(AND(L$5&gt;=$D123,L$5&lt;=$E123),IF(L$5-$D123+1&lt;=ROUND(($E123-$D123+1)*$F123,0),2,IF(L$5&lt;CFG_CurWeek,3,1)),""))</f>
        <v/>
      </c>
      <c r="M123" s="66" t="str">
        <f aca="false">IF(OR($D123="",$E123=""),"",IF(AND(M$5&gt;=$D123,M$5&lt;=$E123),IF(M$5-$D123+1&lt;=ROUND(($E123-$D123+1)*$F123,0),2,IF(M$5&lt;CFG_CurWeek,3,1)),""))</f>
        <v/>
      </c>
      <c r="N123" s="66" t="str">
        <f aca="false">IF(OR($D123="",$E123=""),"",IF(AND(N$5&gt;=$D123,N$5&lt;=$E123),IF(N$5-$D123+1&lt;=ROUND(($E123-$D123+1)*$F123,0),2,IF(N$5&lt;CFG_CurWeek,3,1)),""))</f>
        <v/>
      </c>
      <c r="O123" s="66" t="str">
        <f aca="false">IF(OR($D123="",$E123=""),"",IF(AND(O$5&gt;=$D123,O$5&lt;=$E123),IF(O$5-$D123+1&lt;=ROUND(($E123-$D123+1)*$F123,0),2,IF(O$5&lt;CFG_CurWeek,3,1)),""))</f>
        <v/>
      </c>
      <c r="P123" s="66" t="str">
        <f aca="false">IF(OR($D123="",$E123=""),"",IF(AND(P$5&gt;=$D123,P$5&lt;=$E123),IF(P$5-$D123+1&lt;=ROUND(($E123-$D123+1)*$F123,0),2,IF(P$5&lt;CFG_CurWeek,3,1)),""))</f>
        <v/>
      </c>
      <c r="Q123" s="66" t="str">
        <f aca="false">IF(OR($D123="",$E123=""),"",IF(AND(Q$5&gt;=$D123,Q$5&lt;=$E123),IF(Q$5-$D123+1&lt;=ROUND(($E123-$D123+1)*$F123,0),2,IF(Q$5&lt;CFG_CurWeek,3,1)),""))</f>
        <v/>
      </c>
      <c r="R123" s="66" t="str">
        <f aca="false">IF(OR($D123="",$E123=""),"",IF(AND(R$5&gt;=$D123,R$5&lt;=$E123),IF(R$5-$D123+1&lt;=ROUND(($E123-$D123+1)*$F123,0),2,IF(R$5&lt;CFG_CurWeek,3,1)),""))</f>
        <v/>
      </c>
      <c r="S123" s="66" t="str">
        <f aca="false">IF(OR($D123="",$E123=""),"",IF(AND(S$5&gt;=$D123,S$5&lt;=$E123),IF(S$5-$D123+1&lt;=ROUND(($E123-$D123+1)*$F123,0),2,IF(S$5&lt;CFG_CurWeek,3,1)),""))</f>
        <v/>
      </c>
      <c r="T123" s="66" t="str">
        <f aca="false">IF(OR($D123="",$E123=""),"",IF(AND(T$5&gt;=$D123,T$5&lt;=$E123),IF(T$5-$D123+1&lt;=ROUND(($E123-$D123+1)*$F123,0),2,IF(T$5&lt;CFG_CurWeek,3,1)),""))</f>
        <v/>
      </c>
      <c r="U123" s="66" t="str">
        <f aca="false">IF(OR($D123="",$E123=""),"",IF(AND(U$5&gt;=$D123,U$5&lt;=$E123),IF(U$5-$D123+1&lt;=ROUND(($E123-$D123+1)*$F123,0),2,IF(U$5&lt;CFG_CurWeek,3,1)),""))</f>
        <v/>
      </c>
      <c r="V123" s="66" t="str">
        <f aca="false">IF(OR($D123="",$E123=""),"",IF(AND(V$5&gt;=$D123,V$5&lt;=$E123),IF(V$5-$D123+1&lt;=ROUND(($E123-$D123+1)*$F123,0),2,IF(V$5&lt;CFG_CurWeek,3,1)),""))</f>
        <v/>
      </c>
      <c r="W123" s="66" t="str">
        <f aca="false">IF(OR($D123="",$E123=""),"",IF(AND(W$5&gt;=$D123,W$5&lt;=$E123),IF(W$5-$D123+1&lt;=ROUND(($E123-$D123+1)*$F123,0),2,IF(W$5&lt;CFG_CurWeek,3,1)),""))</f>
        <v/>
      </c>
      <c r="X123" s="66" t="str">
        <f aca="false">IF(OR($D123="",$E123=""),"",IF(AND(X$5&gt;=$D123,X$5&lt;=$E123),IF(X$5-$D123+1&lt;=ROUND(($E123-$D123+1)*$F123,0),2,IF(X$5&lt;CFG_CurWeek,3,1)),""))</f>
        <v/>
      </c>
      <c r="Y123" s="66" t="str">
        <f aca="false">IF(OR($D123="",$E123=""),"",IF(AND(Y$5&gt;=$D123,Y$5&lt;=$E123),IF(Y$5-$D123+1&lt;=ROUND(($E123-$D123+1)*$F123,0),2,IF(Y$5&lt;CFG_CurWeek,3,1)),""))</f>
        <v/>
      </c>
      <c r="Z123" s="66" t="str">
        <f aca="false">IF(OR($D123="",$E123=""),"",IF(AND(Z$5&gt;=$D123,Z$5&lt;=$E123),IF(Z$5-$D123+1&lt;=ROUND(($E123-$D123+1)*$F123,0),2,IF(Z$5&lt;CFG_CurWeek,3,1)),""))</f>
        <v/>
      </c>
      <c r="AA123" s="66" t="str">
        <f aca="false">IF(OR($D123="",$E123=""),"",IF(AND(AA$5&gt;=$D123,AA$5&lt;=$E123),IF(AA$5-$D123+1&lt;=ROUND(($E123-$D123+1)*$F123,0),2,IF(AA$5&lt;CFG_CurWeek,3,1)),""))</f>
        <v/>
      </c>
      <c r="AB123" s="66" t="str">
        <f aca="false">IF(OR($D123="",$E123=""),"",IF(AND(AB$5&gt;=$D123,AB$5&lt;=$E123),IF(AB$5-$D123+1&lt;=ROUND(($E123-$D123+1)*$F123,0),2,IF(AB$5&lt;CFG_CurWeek,3,1)),""))</f>
        <v/>
      </c>
      <c r="AC123" s="66" t="str">
        <f aca="false">IF(OR($D123="",$E123=""),"",IF(AND(AC$5&gt;=$D123,AC$5&lt;=$E123),IF(AC$5-$D123+1&lt;=ROUND(($E123-$D123+1)*$F123,0),2,IF(AC$5&lt;CFG_CurWeek,3,1)),""))</f>
        <v/>
      </c>
      <c r="AD123" s="66" t="str">
        <f aca="false">IF(OR($D123="",$E123=""),"",IF(AND(AD$5&gt;=$D123,AD$5&lt;=$E123),IF(AD$5-$D123+1&lt;=ROUND(($E123-$D123+1)*$F123,0),2,IF(AD$5&lt;CFG_CurWeek,3,1)),""))</f>
        <v/>
      </c>
      <c r="AE123" s="66" t="str">
        <f aca="false">IF(OR($D123="",$E123=""),"",IF(AND(AE$5&gt;=$D123,AE$5&lt;=$E123),IF(AE$5-$D123+1&lt;=ROUND(($E123-$D123+1)*$F123,0),2,IF(AE$5&lt;CFG_CurWeek,3,1)),""))</f>
        <v/>
      </c>
      <c r="AF123" s="66" t="str">
        <f aca="false">IF(OR($D123="",$E123=""),"",IF(AND(AF$5&gt;=$D123,AF$5&lt;=$E123),IF(AF$5-$D123+1&lt;=ROUND(($E123-$D123+1)*$F123,0),2,IF(AF$5&lt;CFG_CurWeek,3,1)),""))</f>
        <v/>
      </c>
      <c r="AG123" s="66" t="str">
        <f aca="false">IF(OR($D123="",$E123=""),"",IF(AND(AG$5&gt;=$D123,AG$5&lt;=$E123),IF(AG$5-$D123+1&lt;=ROUND(($E123-$D123+1)*$F123,0),2,IF(AG$5&lt;CFG_CurWeek,3,1)),""))</f>
        <v/>
      </c>
      <c r="AH123" s="66" t="str">
        <f aca="false">IF(OR($D123="",$E123=""),"",IF(AND(AH$5&gt;=$D123,AH$5&lt;=$E123),IF(AH$5-$D123+1&lt;=ROUND(($E123-$D123+1)*$F123,0),2,IF(AH$5&lt;CFG_CurWeek,3,1)),""))</f>
        <v/>
      </c>
      <c r="AI123" s="66" t="str">
        <f aca="false">IF(OR($D123="",$E123=""),"",IF(AND(AI$5&gt;=$D123,AI$5&lt;=$E123),IF(AI$5-$D123+1&lt;=ROUND(($E123-$D123+1)*$F123,0),2,IF(AI$5&lt;CFG_CurWeek,3,1)),""))</f>
        <v/>
      </c>
      <c r="AJ123" s="66" t="str">
        <f aca="false">IF(OR($D123="",$E123=""),"",IF(AND(AJ$5&gt;=$D123,AJ$5&lt;=$E123),IF(AJ$5-$D123+1&lt;=ROUND(($E123-$D123+1)*$F123,0),2,IF(AJ$5&lt;CFG_CurWeek,3,1)),""))</f>
        <v/>
      </c>
      <c r="AK123" s="66" t="str">
        <f aca="false">IF(OR($D123="",$E123=""),"",IF(AND(AK$5&gt;=$D123,AK$5&lt;=$E123),IF(AK$5-$D123+1&lt;=ROUND(($E123-$D123+1)*$F123,0),2,IF(AK$5&lt;CFG_CurWeek,3,1)),""))</f>
        <v/>
      </c>
      <c r="AL123" s="66" t="str">
        <f aca="false">IF(OR($D123="",$E123=""),"",IF(AND(AL$5&gt;=$D123,AL$5&lt;=$E123),IF(AL$5-$D123+1&lt;=ROUND(($E123-$D123+1)*$F123,0),2,IF(AL$5&lt;CFG_CurWeek,3,1)),""))</f>
        <v/>
      </c>
      <c r="AM123" s="66" t="str">
        <f aca="false">IF(OR($D123="",$E123=""),"",IF(AND(AM$5&gt;=$D123,AM$5&lt;=$E123),IF(AM$5-$D123+1&lt;=ROUND(($E123-$D123+1)*$F123,0),2,IF(AM$5&lt;CFG_CurWeek,3,1)),""))</f>
        <v/>
      </c>
      <c r="AN123" s="66" t="str">
        <f aca="false">IF(OR($D123="",$E123=""),"",IF(AND(AN$5&gt;=$D123,AN$5&lt;=$E123),IF(AN$5-$D123+1&lt;=ROUND(($E123-$D123+1)*$F123,0),2,IF(AN$5&lt;CFG_CurWeek,3,1)),""))</f>
        <v/>
      </c>
      <c r="AO123" s="66" t="str">
        <f aca="false">IF(OR($D123="",$E123=""),"",IF(AND(AO$5&gt;=$D123,AO$5&lt;=$E123),IF(AO$5-$D123+1&lt;=ROUND(($E123-$D123+1)*$F123,0),2,IF(AO$5&lt;CFG_CurWeek,3,1)),""))</f>
        <v/>
      </c>
    </row>
    <row r="124" customFormat="false" ht="15" hidden="false" customHeight="false" outlineLevel="0" collapsed="false">
      <c r="A124" s="63" t="str">
        <f aca="false">IF('01_WBS &amp; Master Plan'!A121="","",'01_WBS &amp; Master Plan'!A121)</f>
        <v/>
      </c>
      <c r="B124" s="64" t="str">
        <f aca="false">IF('01_WBS &amp; Master Plan'!D121="","",'01_WBS &amp; Master Plan'!D121)</f>
        <v/>
      </c>
      <c r="C124" s="63" t="str">
        <f aca="false">IF('01_WBS &amp; Master Plan'!E121="","",'01_WBS &amp; Master Plan'!E121)</f>
        <v/>
      </c>
      <c r="D124" s="63" t="str">
        <f aca="false">IF('01_WBS &amp; Master Plan'!H121="","",'01_WBS &amp; Master Plan'!H121)</f>
        <v/>
      </c>
      <c r="E124" s="63" t="str">
        <f aca="false">IF('01_WBS &amp; Master Plan'!I121="","",'01_WBS &amp; Master Plan'!I121)</f>
        <v/>
      </c>
      <c r="F124" s="65" t="str">
        <f aca="false">IF(B124="","",IF('01_WBS &amp; Master Plan'!K121="Done",1,IF('01_WBS &amp; Master Plan'!L121="",0,'01_WBS &amp; Master Plan'!L121)))</f>
        <v/>
      </c>
      <c r="G124" s="63" t="str">
        <f aca="false">IF('01_WBS &amp; Master Plan'!K121="","",'01_WBS &amp; Master Plan'!K121)</f>
        <v/>
      </c>
      <c r="H124" s="66" t="str">
        <f aca="false">IF(OR($D124="",$E124=""),"",IF(AND(H$5&gt;=$D124,H$5&lt;=$E124),IF(H$5-$D124+1&lt;=ROUND(($E124-$D124+1)*$F124,0),2,IF(H$5&lt;CFG_CurWeek,3,1)),""))</f>
        <v/>
      </c>
      <c r="I124" s="66" t="str">
        <f aca="false">IF(OR($D124="",$E124=""),"",IF(AND(I$5&gt;=$D124,I$5&lt;=$E124),IF(I$5-$D124+1&lt;=ROUND(($E124-$D124+1)*$F124,0),2,IF(I$5&lt;CFG_CurWeek,3,1)),""))</f>
        <v/>
      </c>
      <c r="J124" s="66" t="str">
        <f aca="false">IF(OR($D124="",$E124=""),"",IF(AND(J$5&gt;=$D124,J$5&lt;=$E124),IF(J$5-$D124+1&lt;=ROUND(($E124-$D124+1)*$F124,0),2,IF(J$5&lt;CFG_CurWeek,3,1)),""))</f>
        <v/>
      </c>
      <c r="K124" s="66" t="str">
        <f aca="false">IF(OR($D124="",$E124=""),"",IF(AND(K$5&gt;=$D124,K$5&lt;=$E124),IF(K$5-$D124+1&lt;=ROUND(($E124-$D124+1)*$F124,0),2,IF(K$5&lt;CFG_CurWeek,3,1)),""))</f>
        <v/>
      </c>
      <c r="L124" s="66" t="str">
        <f aca="false">IF(OR($D124="",$E124=""),"",IF(AND(L$5&gt;=$D124,L$5&lt;=$E124),IF(L$5-$D124+1&lt;=ROUND(($E124-$D124+1)*$F124,0),2,IF(L$5&lt;CFG_CurWeek,3,1)),""))</f>
        <v/>
      </c>
      <c r="M124" s="66" t="str">
        <f aca="false">IF(OR($D124="",$E124=""),"",IF(AND(M$5&gt;=$D124,M$5&lt;=$E124),IF(M$5-$D124+1&lt;=ROUND(($E124-$D124+1)*$F124,0),2,IF(M$5&lt;CFG_CurWeek,3,1)),""))</f>
        <v/>
      </c>
      <c r="N124" s="66" t="str">
        <f aca="false">IF(OR($D124="",$E124=""),"",IF(AND(N$5&gt;=$D124,N$5&lt;=$E124),IF(N$5-$D124+1&lt;=ROUND(($E124-$D124+1)*$F124,0),2,IF(N$5&lt;CFG_CurWeek,3,1)),""))</f>
        <v/>
      </c>
      <c r="O124" s="66" t="str">
        <f aca="false">IF(OR($D124="",$E124=""),"",IF(AND(O$5&gt;=$D124,O$5&lt;=$E124),IF(O$5-$D124+1&lt;=ROUND(($E124-$D124+1)*$F124,0),2,IF(O$5&lt;CFG_CurWeek,3,1)),""))</f>
        <v/>
      </c>
      <c r="P124" s="66" t="str">
        <f aca="false">IF(OR($D124="",$E124=""),"",IF(AND(P$5&gt;=$D124,P$5&lt;=$E124),IF(P$5-$D124+1&lt;=ROUND(($E124-$D124+1)*$F124,0),2,IF(P$5&lt;CFG_CurWeek,3,1)),""))</f>
        <v/>
      </c>
      <c r="Q124" s="66" t="str">
        <f aca="false">IF(OR($D124="",$E124=""),"",IF(AND(Q$5&gt;=$D124,Q$5&lt;=$E124),IF(Q$5-$D124+1&lt;=ROUND(($E124-$D124+1)*$F124,0),2,IF(Q$5&lt;CFG_CurWeek,3,1)),""))</f>
        <v/>
      </c>
      <c r="R124" s="66" t="str">
        <f aca="false">IF(OR($D124="",$E124=""),"",IF(AND(R$5&gt;=$D124,R$5&lt;=$E124),IF(R$5-$D124+1&lt;=ROUND(($E124-$D124+1)*$F124,0),2,IF(R$5&lt;CFG_CurWeek,3,1)),""))</f>
        <v/>
      </c>
      <c r="S124" s="66" t="str">
        <f aca="false">IF(OR($D124="",$E124=""),"",IF(AND(S$5&gt;=$D124,S$5&lt;=$E124),IF(S$5-$D124+1&lt;=ROUND(($E124-$D124+1)*$F124,0),2,IF(S$5&lt;CFG_CurWeek,3,1)),""))</f>
        <v/>
      </c>
      <c r="T124" s="66" t="str">
        <f aca="false">IF(OR($D124="",$E124=""),"",IF(AND(T$5&gt;=$D124,T$5&lt;=$E124),IF(T$5-$D124+1&lt;=ROUND(($E124-$D124+1)*$F124,0),2,IF(T$5&lt;CFG_CurWeek,3,1)),""))</f>
        <v/>
      </c>
      <c r="U124" s="66" t="str">
        <f aca="false">IF(OR($D124="",$E124=""),"",IF(AND(U$5&gt;=$D124,U$5&lt;=$E124),IF(U$5-$D124+1&lt;=ROUND(($E124-$D124+1)*$F124,0),2,IF(U$5&lt;CFG_CurWeek,3,1)),""))</f>
        <v/>
      </c>
      <c r="V124" s="66" t="str">
        <f aca="false">IF(OR($D124="",$E124=""),"",IF(AND(V$5&gt;=$D124,V$5&lt;=$E124),IF(V$5-$D124+1&lt;=ROUND(($E124-$D124+1)*$F124,0),2,IF(V$5&lt;CFG_CurWeek,3,1)),""))</f>
        <v/>
      </c>
      <c r="W124" s="66" t="str">
        <f aca="false">IF(OR($D124="",$E124=""),"",IF(AND(W$5&gt;=$D124,W$5&lt;=$E124),IF(W$5-$D124+1&lt;=ROUND(($E124-$D124+1)*$F124,0),2,IF(W$5&lt;CFG_CurWeek,3,1)),""))</f>
        <v/>
      </c>
      <c r="X124" s="66" t="str">
        <f aca="false">IF(OR($D124="",$E124=""),"",IF(AND(X$5&gt;=$D124,X$5&lt;=$E124),IF(X$5-$D124+1&lt;=ROUND(($E124-$D124+1)*$F124,0),2,IF(X$5&lt;CFG_CurWeek,3,1)),""))</f>
        <v/>
      </c>
      <c r="Y124" s="66" t="str">
        <f aca="false">IF(OR($D124="",$E124=""),"",IF(AND(Y$5&gt;=$D124,Y$5&lt;=$E124),IF(Y$5-$D124+1&lt;=ROUND(($E124-$D124+1)*$F124,0),2,IF(Y$5&lt;CFG_CurWeek,3,1)),""))</f>
        <v/>
      </c>
      <c r="Z124" s="66" t="str">
        <f aca="false">IF(OR($D124="",$E124=""),"",IF(AND(Z$5&gt;=$D124,Z$5&lt;=$E124),IF(Z$5-$D124+1&lt;=ROUND(($E124-$D124+1)*$F124,0),2,IF(Z$5&lt;CFG_CurWeek,3,1)),""))</f>
        <v/>
      </c>
      <c r="AA124" s="66" t="str">
        <f aca="false">IF(OR($D124="",$E124=""),"",IF(AND(AA$5&gt;=$D124,AA$5&lt;=$E124),IF(AA$5-$D124+1&lt;=ROUND(($E124-$D124+1)*$F124,0),2,IF(AA$5&lt;CFG_CurWeek,3,1)),""))</f>
        <v/>
      </c>
      <c r="AB124" s="66" t="str">
        <f aca="false">IF(OR($D124="",$E124=""),"",IF(AND(AB$5&gt;=$D124,AB$5&lt;=$E124),IF(AB$5-$D124+1&lt;=ROUND(($E124-$D124+1)*$F124,0),2,IF(AB$5&lt;CFG_CurWeek,3,1)),""))</f>
        <v/>
      </c>
      <c r="AC124" s="66" t="str">
        <f aca="false">IF(OR($D124="",$E124=""),"",IF(AND(AC$5&gt;=$D124,AC$5&lt;=$E124),IF(AC$5-$D124+1&lt;=ROUND(($E124-$D124+1)*$F124,0),2,IF(AC$5&lt;CFG_CurWeek,3,1)),""))</f>
        <v/>
      </c>
      <c r="AD124" s="66" t="str">
        <f aca="false">IF(OR($D124="",$E124=""),"",IF(AND(AD$5&gt;=$D124,AD$5&lt;=$E124),IF(AD$5-$D124+1&lt;=ROUND(($E124-$D124+1)*$F124,0),2,IF(AD$5&lt;CFG_CurWeek,3,1)),""))</f>
        <v/>
      </c>
      <c r="AE124" s="66" t="str">
        <f aca="false">IF(OR($D124="",$E124=""),"",IF(AND(AE$5&gt;=$D124,AE$5&lt;=$E124),IF(AE$5-$D124+1&lt;=ROUND(($E124-$D124+1)*$F124,0),2,IF(AE$5&lt;CFG_CurWeek,3,1)),""))</f>
        <v/>
      </c>
      <c r="AF124" s="66" t="str">
        <f aca="false">IF(OR($D124="",$E124=""),"",IF(AND(AF$5&gt;=$D124,AF$5&lt;=$E124),IF(AF$5-$D124+1&lt;=ROUND(($E124-$D124+1)*$F124,0),2,IF(AF$5&lt;CFG_CurWeek,3,1)),""))</f>
        <v/>
      </c>
      <c r="AG124" s="66" t="str">
        <f aca="false">IF(OR($D124="",$E124=""),"",IF(AND(AG$5&gt;=$D124,AG$5&lt;=$E124),IF(AG$5-$D124+1&lt;=ROUND(($E124-$D124+1)*$F124,0),2,IF(AG$5&lt;CFG_CurWeek,3,1)),""))</f>
        <v/>
      </c>
      <c r="AH124" s="66" t="str">
        <f aca="false">IF(OR($D124="",$E124=""),"",IF(AND(AH$5&gt;=$D124,AH$5&lt;=$E124),IF(AH$5-$D124+1&lt;=ROUND(($E124-$D124+1)*$F124,0),2,IF(AH$5&lt;CFG_CurWeek,3,1)),""))</f>
        <v/>
      </c>
      <c r="AI124" s="66" t="str">
        <f aca="false">IF(OR($D124="",$E124=""),"",IF(AND(AI$5&gt;=$D124,AI$5&lt;=$E124),IF(AI$5-$D124+1&lt;=ROUND(($E124-$D124+1)*$F124,0),2,IF(AI$5&lt;CFG_CurWeek,3,1)),""))</f>
        <v/>
      </c>
      <c r="AJ124" s="66" t="str">
        <f aca="false">IF(OR($D124="",$E124=""),"",IF(AND(AJ$5&gt;=$D124,AJ$5&lt;=$E124),IF(AJ$5-$D124+1&lt;=ROUND(($E124-$D124+1)*$F124,0),2,IF(AJ$5&lt;CFG_CurWeek,3,1)),""))</f>
        <v/>
      </c>
      <c r="AK124" s="66" t="str">
        <f aca="false">IF(OR($D124="",$E124=""),"",IF(AND(AK$5&gt;=$D124,AK$5&lt;=$E124),IF(AK$5-$D124+1&lt;=ROUND(($E124-$D124+1)*$F124,0),2,IF(AK$5&lt;CFG_CurWeek,3,1)),""))</f>
        <v/>
      </c>
      <c r="AL124" s="66" t="str">
        <f aca="false">IF(OR($D124="",$E124=""),"",IF(AND(AL$5&gt;=$D124,AL$5&lt;=$E124),IF(AL$5-$D124+1&lt;=ROUND(($E124-$D124+1)*$F124,0),2,IF(AL$5&lt;CFG_CurWeek,3,1)),""))</f>
        <v/>
      </c>
      <c r="AM124" s="66" t="str">
        <f aca="false">IF(OR($D124="",$E124=""),"",IF(AND(AM$5&gt;=$D124,AM$5&lt;=$E124),IF(AM$5-$D124+1&lt;=ROUND(($E124-$D124+1)*$F124,0),2,IF(AM$5&lt;CFG_CurWeek,3,1)),""))</f>
        <v/>
      </c>
      <c r="AN124" s="66" t="str">
        <f aca="false">IF(OR($D124="",$E124=""),"",IF(AND(AN$5&gt;=$D124,AN$5&lt;=$E124),IF(AN$5-$D124+1&lt;=ROUND(($E124-$D124+1)*$F124,0),2,IF(AN$5&lt;CFG_CurWeek,3,1)),""))</f>
        <v/>
      </c>
      <c r="AO124" s="66" t="str">
        <f aca="false">IF(OR($D124="",$E124=""),"",IF(AND(AO$5&gt;=$D124,AO$5&lt;=$E124),IF(AO$5-$D124+1&lt;=ROUND(($E124-$D124+1)*$F124,0),2,IF(AO$5&lt;CFG_CurWeek,3,1)),""))</f>
        <v/>
      </c>
    </row>
    <row r="125" customFormat="false" ht="15" hidden="false" customHeight="false" outlineLevel="0" collapsed="false">
      <c r="A125" s="63" t="str">
        <f aca="false">IF('01_WBS &amp; Master Plan'!A122="","",'01_WBS &amp; Master Plan'!A122)</f>
        <v/>
      </c>
      <c r="B125" s="64" t="str">
        <f aca="false">IF('01_WBS &amp; Master Plan'!D122="","",'01_WBS &amp; Master Plan'!D122)</f>
        <v/>
      </c>
      <c r="C125" s="63" t="str">
        <f aca="false">IF('01_WBS &amp; Master Plan'!E122="","",'01_WBS &amp; Master Plan'!E122)</f>
        <v/>
      </c>
      <c r="D125" s="63" t="str">
        <f aca="false">IF('01_WBS &amp; Master Plan'!H122="","",'01_WBS &amp; Master Plan'!H122)</f>
        <v/>
      </c>
      <c r="E125" s="63" t="str">
        <f aca="false">IF('01_WBS &amp; Master Plan'!I122="","",'01_WBS &amp; Master Plan'!I122)</f>
        <v/>
      </c>
      <c r="F125" s="65" t="str">
        <f aca="false">IF(B125="","",IF('01_WBS &amp; Master Plan'!K122="Done",1,IF('01_WBS &amp; Master Plan'!L122="",0,'01_WBS &amp; Master Plan'!L122)))</f>
        <v/>
      </c>
      <c r="G125" s="63" t="str">
        <f aca="false">IF('01_WBS &amp; Master Plan'!K122="","",'01_WBS &amp; Master Plan'!K122)</f>
        <v/>
      </c>
      <c r="H125" s="66" t="str">
        <f aca="false">IF(OR($D125="",$E125=""),"",IF(AND(H$5&gt;=$D125,H$5&lt;=$E125),IF(H$5-$D125+1&lt;=ROUND(($E125-$D125+1)*$F125,0),2,IF(H$5&lt;CFG_CurWeek,3,1)),""))</f>
        <v/>
      </c>
      <c r="I125" s="66" t="str">
        <f aca="false">IF(OR($D125="",$E125=""),"",IF(AND(I$5&gt;=$D125,I$5&lt;=$E125),IF(I$5-$D125+1&lt;=ROUND(($E125-$D125+1)*$F125,0),2,IF(I$5&lt;CFG_CurWeek,3,1)),""))</f>
        <v/>
      </c>
      <c r="J125" s="66" t="str">
        <f aca="false">IF(OR($D125="",$E125=""),"",IF(AND(J$5&gt;=$D125,J$5&lt;=$E125),IF(J$5-$D125+1&lt;=ROUND(($E125-$D125+1)*$F125,0),2,IF(J$5&lt;CFG_CurWeek,3,1)),""))</f>
        <v/>
      </c>
      <c r="K125" s="66" t="str">
        <f aca="false">IF(OR($D125="",$E125=""),"",IF(AND(K$5&gt;=$D125,K$5&lt;=$E125),IF(K$5-$D125+1&lt;=ROUND(($E125-$D125+1)*$F125,0),2,IF(K$5&lt;CFG_CurWeek,3,1)),""))</f>
        <v/>
      </c>
      <c r="L125" s="66" t="str">
        <f aca="false">IF(OR($D125="",$E125=""),"",IF(AND(L$5&gt;=$D125,L$5&lt;=$E125),IF(L$5-$D125+1&lt;=ROUND(($E125-$D125+1)*$F125,0),2,IF(L$5&lt;CFG_CurWeek,3,1)),""))</f>
        <v/>
      </c>
      <c r="M125" s="66" t="str">
        <f aca="false">IF(OR($D125="",$E125=""),"",IF(AND(M$5&gt;=$D125,M$5&lt;=$E125),IF(M$5-$D125+1&lt;=ROUND(($E125-$D125+1)*$F125,0),2,IF(M$5&lt;CFG_CurWeek,3,1)),""))</f>
        <v/>
      </c>
      <c r="N125" s="66" t="str">
        <f aca="false">IF(OR($D125="",$E125=""),"",IF(AND(N$5&gt;=$D125,N$5&lt;=$E125),IF(N$5-$D125+1&lt;=ROUND(($E125-$D125+1)*$F125,0),2,IF(N$5&lt;CFG_CurWeek,3,1)),""))</f>
        <v/>
      </c>
      <c r="O125" s="66" t="str">
        <f aca="false">IF(OR($D125="",$E125=""),"",IF(AND(O$5&gt;=$D125,O$5&lt;=$E125),IF(O$5-$D125+1&lt;=ROUND(($E125-$D125+1)*$F125,0),2,IF(O$5&lt;CFG_CurWeek,3,1)),""))</f>
        <v/>
      </c>
      <c r="P125" s="66" t="str">
        <f aca="false">IF(OR($D125="",$E125=""),"",IF(AND(P$5&gt;=$D125,P$5&lt;=$E125),IF(P$5-$D125+1&lt;=ROUND(($E125-$D125+1)*$F125,0),2,IF(P$5&lt;CFG_CurWeek,3,1)),""))</f>
        <v/>
      </c>
      <c r="Q125" s="66" t="str">
        <f aca="false">IF(OR($D125="",$E125=""),"",IF(AND(Q$5&gt;=$D125,Q$5&lt;=$E125),IF(Q$5-$D125+1&lt;=ROUND(($E125-$D125+1)*$F125,0),2,IF(Q$5&lt;CFG_CurWeek,3,1)),""))</f>
        <v/>
      </c>
      <c r="R125" s="66" t="str">
        <f aca="false">IF(OR($D125="",$E125=""),"",IF(AND(R$5&gt;=$D125,R$5&lt;=$E125),IF(R$5-$D125+1&lt;=ROUND(($E125-$D125+1)*$F125,0),2,IF(R$5&lt;CFG_CurWeek,3,1)),""))</f>
        <v/>
      </c>
      <c r="S125" s="66" t="str">
        <f aca="false">IF(OR($D125="",$E125=""),"",IF(AND(S$5&gt;=$D125,S$5&lt;=$E125),IF(S$5-$D125+1&lt;=ROUND(($E125-$D125+1)*$F125,0),2,IF(S$5&lt;CFG_CurWeek,3,1)),""))</f>
        <v/>
      </c>
      <c r="T125" s="66" t="str">
        <f aca="false">IF(OR($D125="",$E125=""),"",IF(AND(T$5&gt;=$D125,T$5&lt;=$E125),IF(T$5-$D125+1&lt;=ROUND(($E125-$D125+1)*$F125,0),2,IF(T$5&lt;CFG_CurWeek,3,1)),""))</f>
        <v/>
      </c>
      <c r="U125" s="66" t="str">
        <f aca="false">IF(OR($D125="",$E125=""),"",IF(AND(U$5&gt;=$D125,U$5&lt;=$E125),IF(U$5-$D125+1&lt;=ROUND(($E125-$D125+1)*$F125,0),2,IF(U$5&lt;CFG_CurWeek,3,1)),""))</f>
        <v/>
      </c>
      <c r="V125" s="66" t="str">
        <f aca="false">IF(OR($D125="",$E125=""),"",IF(AND(V$5&gt;=$D125,V$5&lt;=$E125),IF(V$5-$D125+1&lt;=ROUND(($E125-$D125+1)*$F125,0),2,IF(V$5&lt;CFG_CurWeek,3,1)),""))</f>
        <v/>
      </c>
      <c r="W125" s="66" t="str">
        <f aca="false">IF(OR($D125="",$E125=""),"",IF(AND(W$5&gt;=$D125,W$5&lt;=$E125),IF(W$5-$D125+1&lt;=ROUND(($E125-$D125+1)*$F125,0),2,IF(W$5&lt;CFG_CurWeek,3,1)),""))</f>
        <v/>
      </c>
      <c r="X125" s="66" t="str">
        <f aca="false">IF(OR($D125="",$E125=""),"",IF(AND(X$5&gt;=$D125,X$5&lt;=$E125),IF(X$5-$D125+1&lt;=ROUND(($E125-$D125+1)*$F125,0),2,IF(X$5&lt;CFG_CurWeek,3,1)),""))</f>
        <v/>
      </c>
      <c r="Y125" s="66" t="str">
        <f aca="false">IF(OR($D125="",$E125=""),"",IF(AND(Y$5&gt;=$D125,Y$5&lt;=$E125),IF(Y$5-$D125+1&lt;=ROUND(($E125-$D125+1)*$F125,0),2,IF(Y$5&lt;CFG_CurWeek,3,1)),""))</f>
        <v/>
      </c>
      <c r="Z125" s="66" t="str">
        <f aca="false">IF(OR($D125="",$E125=""),"",IF(AND(Z$5&gt;=$D125,Z$5&lt;=$E125),IF(Z$5-$D125+1&lt;=ROUND(($E125-$D125+1)*$F125,0),2,IF(Z$5&lt;CFG_CurWeek,3,1)),""))</f>
        <v/>
      </c>
      <c r="AA125" s="66" t="str">
        <f aca="false">IF(OR($D125="",$E125=""),"",IF(AND(AA$5&gt;=$D125,AA$5&lt;=$E125),IF(AA$5-$D125+1&lt;=ROUND(($E125-$D125+1)*$F125,0),2,IF(AA$5&lt;CFG_CurWeek,3,1)),""))</f>
        <v/>
      </c>
      <c r="AB125" s="66" t="str">
        <f aca="false">IF(OR($D125="",$E125=""),"",IF(AND(AB$5&gt;=$D125,AB$5&lt;=$E125),IF(AB$5-$D125+1&lt;=ROUND(($E125-$D125+1)*$F125,0),2,IF(AB$5&lt;CFG_CurWeek,3,1)),""))</f>
        <v/>
      </c>
      <c r="AC125" s="66" t="str">
        <f aca="false">IF(OR($D125="",$E125=""),"",IF(AND(AC$5&gt;=$D125,AC$5&lt;=$E125),IF(AC$5-$D125+1&lt;=ROUND(($E125-$D125+1)*$F125,0),2,IF(AC$5&lt;CFG_CurWeek,3,1)),""))</f>
        <v/>
      </c>
      <c r="AD125" s="66" t="str">
        <f aca="false">IF(OR($D125="",$E125=""),"",IF(AND(AD$5&gt;=$D125,AD$5&lt;=$E125),IF(AD$5-$D125+1&lt;=ROUND(($E125-$D125+1)*$F125,0),2,IF(AD$5&lt;CFG_CurWeek,3,1)),""))</f>
        <v/>
      </c>
      <c r="AE125" s="66" t="str">
        <f aca="false">IF(OR($D125="",$E125=""),"",IF(AND(AE$5&gt;=$D125,AE$5&lt;=$E125),IF(AE$5-$D125+1&lt;=ROUND(($E125-$D125+1)*$F125,0),2,IF(AE$5&lt;CFG_CurWeek,3,1)),""))</f>
        <v/>
      </c>
      <c r="AF125" s="66" t="str">
        <f aca="false">IF(OR($D125="",$E125=""),"",IF(AND(AF$5&gt;=$D125,AF$5&lt;=$E125),IF(AF$5-$D125+1&lt;=ROUND(($E125-$D125+1)*$F125,0),2,IF(AF$5&lt;CFG_CurWeek,3,1)),""))</f>
        <v/>
      </c>
      <c r="AG125" s="66" t="str">
        <f aca="false">IF(OR($D125="",$E125=""),"",IF(AND(AG$5&gt;=$D125,AG$5&lt;=$E125),IF(AG$5-$D125+1&lt;=ROUND(($E125-$D125+1)*$F125,0),2,IF(AG$5&lt;CFG_CurWeek,3,1)),""))</f>
        <v/>
      </c>
      <c r="AH125" s="66" t="str">
        <f aca="false">IF(OR($D125="",$E125=""),"",IF(AND(AH$5&gt;=$D125,AH$5&lt;=$E125),IF(AH$5-$D125+1&lt;=ROUND(($E125-$D125+1)*$F125,0),2,IF(AH$5&lt;CFG_CurWeek,3,1)),""))</f>
        <v/>
      </c>
      <c r="AI125" s="66" t="str">
        <f aca="false">IF(OR($D125="",$E125=""),"",IF(AND(AI$5&gt;=$D125,AI$5&lt;=$E125),IF(AI$5-$D125+1&lt;=ROUND(($E125-$D125+1)*$F125,0),2,IF(AI$5&lt;CFG_CurWeek,3,1)),""))</f>
        <v/>
      </c>
      <c r="AJ125" s="66" t="str">
        <f aca="false">IF(OR($D125="",$E125=""),"",IF(AND(AJ$5&gt;=$D125,AJ$5&lt;=$E125),IF(AJ$5-$D125+1&lt;=ROUND(($E125-$D125+1)*$F125,0),2,IF(AJ$5&lt;CFG_CurWeek,3,1)),""))</f>
        <v/>
      </c>
      <c r="AK125" s="66" t="str">
        <f aca="false">IF(OR($D125="",$E125=""),"",IF(AND(AK$5&gt;=$D125,AK$5&lt;=$E125),IF(AK$5-$D125+1&lt;=ROUND(($E125-$D125+1)*$F125,0),2,IF(AK$5&lt;CFG_CurWeek,3,1)),""))</f>
        <v/>
      </c>
      <c r="AL125" s="66" t="str">
        <f aca="false">IF(OR($D125="",$E125=""),"",IF(AND(AL$5&gt;=$D125,AL$5&lt;=$E125),IF(AL$5-$D125+1&lt;=ROUND(($E125-$D125+1)*$F125,0),2,IF(AL$5&lt;CFG_CurWeek,3,1)),""))</f>
        <v/>
      </c>
      <c r="AM125" s="66" t="str">
        <f aca="false">IF(OR($D125="",$E125=""),"",IF(AND(AM$5&gt;=$D125,AM$5&lt;=$E125),IF(AM$5-$D125+1&lt;=ROUND(($E125-$D125+1)*$F125,0),2,IF(AM$5&lt;CFG_CurWeek,3,1)),""))</f>
        <v/>
      </c>
      <c r="AN125" s="66" t="str">
        <f aca="false">IF(OR($D125="",$E125=""),"",IF(AND(AN$5&gt;=$D125,AN$5&lt;=$E125),IF(AN$5-$D125+1&lt;=ROUND(($E125-$D125+1)*$F125,0),2,IF(AN$5&lt;CFG_CurWeek,3,1)),""))</f>
        <v/>
      </c>
      <c r="AO125" s="66" t="str">
        <f aca="false">IF(OR($D125="",$E125=""),"",IF(AND(AO$5&gt;=$D125,AO$5&lt;=$E125),IF(AO$5-$D125+1&lt;=ROUND(($E125-$D125+1)*$F125,0),2,IF(AO$5&lt;CFG_CurWeek,3,1)),""))</f>
        <v/>
      </c>
    </row>
    <row r="126" customFormat="false" ht="15" hidden="false" customHeight="false" outlineLevel="0" collapsed="false">
      <c r="A126" s="63" t="str">
        <f aca="false">IF('01_WBS &amp; Master Plan'!A123="","",'01_WBS &amp; Master Plan'!A123)</f>
        <v/>
      </c>
      <c r="B126" s="64" t="str">
        <f aca="false">IF('01_WBS &amp; Master Plan'!D123="","",'01_WBS &amp; Master Plan'!D123)</f>
        <v/>
      </c>
      <c r="C126" s="63" t="str">
        <f aca="false">IF('01_WBS &amp; Master Plan'!E123="","",'01_WBS &amp; Master Plan'!E123)</f>
        <v/>
      </c>
      <c r="D126" s="63" t="str">
        <f aca="false">IF('01_WBS &amp; Master Plan'!H123="","",'01_WBS &amp; Master Plan'!H123)</f>
        <v/>
      </c>
      <c r="E126" s="63" t="str">
        <f aca="false">IF('01_WBS &amp; Master Plan'!I123="","",'01_WBS &amp; Master Plan'!I123)</f>
        <v/>
      </c>
      <c r="F126" s="65" t="str">
        <f aca="false">IF(B126="","",IF('01_WBS &amp; Master Plan'!K123="Done",1,IF('01_WBS &amp; Master Plan'!L123="",0,'01_WBS &amp; Master Plan'!L123)))</f>
        <v/>
      </c>
      <c r="G126" s="63" t="str">
        <f aca="false">IF('01_WBS &amp; Master Plan'!K123="","",'01_WBS &amp; Master Plan'!K123)</f>
        <v/>
      </c>
      <c r="H126" s="66" t="str">
        <f aca="false">IF(OR($D126="",$E126=""),"",IF(AND(H$5&gt;=$D126,H$5&lt;=$E126),IF(H$5-$D126+1&lt;=ROUND(($E126-$D126+1)*$F126,0),2,IF(H$5&lt;CFG_CurWeek,3,1)),""))</f>
        <v/>
      </c>
      <c r="I126" s="66" t="str">
        <f aca="false">IF(OR($D126="",$E126=""),"",IF(AND(I$5&gt;=$D126,I$5&lt;=$E126),IF(I$5-$D126+1&lt;=ROUND(($E126-$D126+1)*$F126,0),2,IF(I$5&lt;CFG_CurWeek,3,1)),""))</f>
        <v/>
      </c>
      <c r="J126" s="66" t="str">
        <f aca="false">IF(OR($D126="",$E126=""),"",IF(AND(J$5&gt;=$D126,J$5&lt;=$E126),IF(J$5-$D126+1&lt;=ROUND(($E126-$D126+1)*$F126,0),2,IF(J$5&lt;CFG_CurWeek,3,1)),""))</f>
        <v/>
      </c>
      <c r="K126" s="66" t="str">
        <f aca="false">IF(OR($D126="",$E126=""),"",IF(AND(K$5&gt;=$D126,K$5&lt;=$E126),IF(K$5-$D126+1&lt;=ROUND(($E126-$D126+1)*$F126,0),2,IF(K$5&lt;CFG_CurWeek,3,1)),""))</f>
        <v/>
      </c>
      <c r="L126" s="66" t="str">
        <f aca="false">IF(OR($D126="",$E126=""),"",IF(AND(L$5&gt;=$D126,L$5&lt;=$E126),IF(L$5-$D126+1&lt;=ROUND(($E126-$D126+1)*$F126,0),2,IF(L$5&lt;CFG_CurWeek,3,1)),""))</f>
        <v/>
      </c>
      <c r="M126" s="66" t="str">
        <f aca="false">IF(OR($D126="",$E126=""),"",IF(AND(M$5&gt;=$D126,M$5&lt;=$E126),IF(M$5-$D126+1&lt;=ROUND(($E126-$D126+1)*$F126,0),2,IF(M$5&lt;CFG_CurWeek,3,1)),""))</f>
        <v/>
      </c>
      <c r="N126" s="66" t="str">
        <f aca="false">IF(OR($D126="",$E126=""),"",IF(AND(N$5&gt;=$D126,N$5&lt;=$E126),IF(N$5-$D126+1&lt;=ROUND(($E126-$D126+1)*$F126,0),2,IF(N$5&lt;CFG_CurWeek,3,1)),""))</f>
        <v/>
      </c>
      <c r="O126" s="66" t="str">
        <f aca="false">IF(OR($D126="",$E126=""),"",IF(AND(O$5&gt;=$D126,O$5&lt;=$E126),IF(O$5-$D126+1&lt;=ROUND(($E126-$D126+1)*$F126,0),2,IF(O$5&lt;CFG_CurWeek,3,1)),""))</f>
        <v/>
      </c>
      <c r="P126" s="66" t="str">
        <f aca="false">IF(OR($D126="",$E126=""),"",IF(AND(P$5&gt;=$D126,P$5&lt;=$E126),IF(P$5-$D126+1&lt;=ROUND(($E126-$D126+1)*$F126,0),2,IF(P$5&lt;CFG_CurWeek,3,1)),""))</f>
        <v/>
      </c>
      <c r="Q126" s="66" t="str">
        <f aca="false">IF(OR($D126="",$E126=""),"",IF(AND(Q$5&gt;=$D126,Q$5&lt;=$E126),IF(Q$5-$D126+1&lt;=ROUND(($E126-$D126+1)*$F126,0),2,IF(Q$5&lt;CFG_CurWeek,3,1)),""))</f>
        <v/>
      </c>
      <c r="R126" s="66" t="str">
        <f aca="false">IF(OR($D126="",$E126=""),"",IF(AND(R$5&gt;=$D126,R$5&lt;=$E126),IF(R$5-$D126+1&lt;=ROUND(($E126-$D126+1)*$F126,0),2,IF(R$5&lt;CFG_CurWeek,3,1)),""))</f>
        <v/>
      </c>
      <c r="S126" s="66" t="str">
        <f aca="false">IF(OR($D126="",$E126=""),"",IF(AND(S$5&gt;=$D126,S$5&lt;=$E126),IF(S$5-$D126+1&lt;=ROUND(($E126-$D126+1)*$F126,0),2,IF(S$5&lt;CFG_CurWeek,3,1)),""))</f>
        <v/>
      </c>
      <c r="T126" s="66" t="str">
        <f aca="false">IF(OR($D126="",$E126=""),"",IF(AND(T$5&gt;=$D126,T$5&lt;=$E126),IF(T$5-$D126+1&lt;=ROUND(($E126-$D126+1)*$F126,0),2,IF(T$5&lt;CFG_CurWeek,3,1)),""))</f>
        <v/>
      </c>
      <c r="U126" s="66" t="str">
        <f aca="false">IF(OR($D126="",$E126=""),"",IF(AND(U$5&gt;=$D126,U$5&lt;=$E126),IF(U$5-$D126+1&lt;=ROUND(($E126-$D126+1)*$F126,0),2,IF(U$5&lt;CFG_CurWeek,3,1)),""))</f>
        <v/>
      </c>
      <c r="V126" s="66" t="str">
        <f aca="false">IF(OR($D126="",$E126=""),"",IF(AND(V$5&gt;=$D126,V$5&lt;=$E126),IF(V$5-$D126+1&lt;=ROUND(($E126-$D126+1)*$F126,0),2,IF(V$5&lt;CFG_CurWeek,3,1)),""))</f>
        <v/>
      </c>
      <c r="W126" s="66" t="str">
        <f aca="false">IF(OR($D126="",$E126=""),"",IF(AND(W$5&gt;=$D126,W$5&lt;=$E126),IF(W$5-$D126+1&lt;=ROUND(($E126-$D126+1)*$F126,0),2,IF(W$5&lt;CFG_CurWeek,3,1)),""))</f>
        <v/>
      </c>
      <c r="X126" s="66" t="str">
        <f aca="false">IF(OR($D126="",$E126=""),"",IF(AND(X$5&gt;=$D126,X$5&lt;=$E126),IF(X$5-$D126+1&lt;=ROUND(($E126-$D126+1)*$F126,0),2,IF(X$5&lt;CFG_CurWeek,3,1)),""))</f>
        <v/>
      </c>
      <c r="Y126" s="66" t="str">
        <f aca="false">IF(OR($D126="",$E126=""),"",IF(AND(Y$5&gt;=$D126,Y$5&lt;=$E126),IF(Y$5-$D126+1&lt;=ROUND(($E126-$D126+1)*$F126,0),2,IF(Y$5&lt;CFG_CurWeek,3,1)),""))</f>
        <v/>
      </c>
      <c r="Z126" s="66" t="str">
        <f aca="false">IF(OR($D126="",$E126=""),"",IF(AND(Z$5&gt;=$D126,Z$5&lt;=$E126),IF(Z$5-$D126+1&lt;=ROUND(($E126-$D126+1)*$F126,0),2,IF(Z$5&lt;CFG_CurWeek,3,1)),""))</f>
        <v/>
      </c>
      <c r="AA126" s="66" t="str">
        <f aca="false">IF(OR($D126="",$E126=""),"",IF(AND(AA$5&gt;=$D126,AA$5&lt;=$E126),IF(AA$5-$D126+1&lt;=ROUND(($E126-$D126+1)*$F126,0),2,IF(AA$5&lt;CFG_CurWeek,3,1)),""))</f>
        <v/>
      </c>
      <c r="AB126" s="66" t="str">
        <f aca="false">IF(OR($D126="",$E126=""),"",IF(AND(AB$5&gt;=$D126,AB$5&lt;=$E126),IF(AB$5-$D126+1&lt;=ROUND(($E126-$D126+1)*$F126,0),2,IF(AB$5&lt;CFG_CurWeek,3,1)),""))</f>
        <v/>
      </c>
      <c r="AC126" s="66" t="str">
        <f aca="false">IF(OR($D126="",$E126=""),"",IF(AND(AC$5&gt;=$D126,AC$5&lt;=$E126),IF(AC$5-$D126+1&lt;=ROUND(($E126-$D126+1)*$F126,0),2,IF(AC$5&lt;CFG_CurWeek,3,1)),""))</f>
        <v/>
      </c>
      <c r="AD126" s="66" t="str">
        <f aca="false">IF(OR($D126="",$E126=""),"",IF(AND(AD$5&gt;=$D126,AD$5&lt;=$E126),IF(AD$5-$D126+1&lt;=ROUND(($E126-$D126+1)*$F126,0),2,IF(AD$5&lt;CFG_CurWeek,3,1)),""))</f>
        <v/>
      </c>
      <c r="AE126" s="66" t="str">
        <f aca="false">IF(OR($D126="",$E126=""),"",IF(AND(AE$5&gt;=$D126,AE$5&lt;=$E126),IF(AE$5-$D126+1&lt;=ROUND(($E126-$D126+1)*$F126,0),2,IF(AE$5&lt;CFG_CurWeek,3,1)),""))</f>
        <v/>
      </c>
      <c r="AF126" s="66" t="str">
        <f aca="false">IF(OR($D126="",$E126=""),"",IF(AND(AF$5&gt;=$D126,AF$5&lt;=$E126),IF(AF$5-$D126+1&lt;=ROUND(($E126-$D126+1)*$F126,0),2,IF(AF$5&lt;CFG_CurWeek,3,1)),""))</f>
        <v/>
      </c>
      <c r="AG126" s="66" t="str">
        <f aca="false">IF(OR($D126="",$E126=""),"",IF(AND(AG$5&gt;=$D126,AG$5&lt;=$E126),IF(AG$5-$D126+1&lt;=ROUND(($E126-$D126+1)*$F126,0),2,IF(AG$5&lt;CFG_CurWeek,3,1)),""))</f>
        <v/>
      </c>
      <c r="AH126" s="66" t="str">
        <f aca="false">IF(OR($D126="",$E126=""),"",IF(AND(AH$5&gt;=$D126,AH$5&lt;=$E126),IF(AH$5-$D126+1&lt;=ROUND(($E126-$D126+1)*$F126,0),2,IF(AH$5&lt;CFG_CurWeek,3,1)),""))</f>
        <v/>
      </c>
      <c r="AI126" s="66" t="str">
        <f aca="false">IF(OR($D126="",$E126=""),"",IF(AND(AI$5&gt;=$D126,AI$5&lt;=$E126),IF(AI$5-$D126+1&lt;=ROUND(($E126-$D126+1)*$F126,0),2,IF(AI$5&lt;CFG_CurWeek,3,1)),""))</f>
        <v/>
      </c>
      <c r="AJ126" s="66" t="str">
        <f aca="false">IF(OR($D126="",$E126=""),"",IF(AND(AJ$5&gt;=$D126,AJ$5&lt;=$E126),IF(AJ$5-$D126+1&lt;=ROUND(($E126-$D126+1)*$F126,0),2,IF(AJ$5&lt;CFG_CurWeek,3,1)),""))</f>
        <v/>
      </c>
      <c r="AK126" s="66" t="str">
        <f aca="false">IF(OR($D126="",$E126=""),"",IF(AND(AK$5&gt;=$D126,AK$5&lt;=$E126),IF(AK$5-$D126+1&lt;=ROUND(($E126-$D126+1)*$F126,0),2,IF(AK$5&lt;CFG_CurWeek,3,1)),""))</f>
        <v/>
      </c>
      <c r="AL126" s="66" t="str">
        <f aca="false">IF(OR($D126="",$E126=""),"",IF(AND(AL$5&gt;=$D126,AL$5&lt;=$E126),IF(AL$5-$D126+1&lt;=ROUND(($E126-$D126+1)*$F126,0),2,IF(AL$5&lt;CFG_CurWeek,3,1)),""))</f>
        <v/>
      </c>
      <c r="AM126" s="66" t="str">
        <f aca="false">IF(OR($D126="",$E126=""),"",IF(AND(AM$5&gt;=$D126,AM$5&lt;=$E126),IF(AM$5-$D126+1&lt;=ROUND(($E126-$D126+1)*$F126,0),2,IF(AM$5&lt;CFG_CurWeek,3,1)),""))</f>
        <v/>
      </c>
      <c r="AN126" s="66" t="str">
        <f aca="false">IF(OR($D126="",$E126=""),"",IF(AND(AN$5&gt;=$D126,AN$5&lt;=$E126),IF(AN$5-$D126+1&lt;=ROUND(($E126-$D126+1)*$F126,0),2,IF(AN$5&lt;CFG_CurWeek,3,1)),""))</f>
        <v/>
      </c>
      <c r="AO126" s="66" t="str">
        <f aca="false">IF(OR($D126="",$E126=""),"",IF(AND(AO$5&gt;=$D126,AO$5&lt;=$E126),IF(AO$5-$D126+1&lt;=ROUND(($E126-$D126+1)*$F126,0),2,IF(AO$5&lt;CFG_CurWeek,3,1)),""))</f>
        <v/>
      </c>
    </row>
    <row r="127" customFormat="false" ht="15" hidden="false" customHeight="false" outlineLevel="0" collapsed="false">
      <c r="A127" s="63" t="str">
        <f aca="false">IF('01_WBS &amp; Master Plan'!A124="","",'01_WBS &amp; Master Plan'!A124)</f>
        <v/>
      </c>
      <c r="B127" s="64" t="str">
        <f aca="false">IF('01_WBS &amp; Master Plan'!D124="","",'01_WBS &amp; Master Plan'!D124)</f>
        <v/>
      </c>
      <c r="C127" s="63" t="str">
        <f aca="false">IF('01_WBS &amp; Master Plan'!E124="","",'01_WBS &amp; Master Plan'!E124)</f>
        <v/>
      </c>
      <c r="D127" s="63" t="str">
        <f aca="false">IF('01_WBS &amp; Master Plan'!H124="","",'01_WBS &amp; Master Plan'!H124)</f>
        <v/>
      </c>
      <c r="E127" s="63" t="str">
        <f aca="false">IF('01_WBS &amp; Master Plan'!I124="","",'01_WBS &amp; Master Plan'!I124)</f>
        <v/>
      </c>
      <c r="F127" s="65" t="str">
        <f aca="false">IF(B127="","",IF('01_WBS &amp; Master Plan'!K124="Done",1,IF('01_WBS &amp; Master Plan'!L124="",0,'01_WBS &amp; Master Plan'!L124)))</f>
        <v/>
      </c>
      <c r="G127" s="63" t="str">
        <f aca="false">IF('01_WBS &amp; Master Plan'!K124="","",'01_WBS &amp; Master Plan'!K124)</f>
        <v/>
      </c>
      <c r="H127" s="66" t="str">
        <f aca="false">IF(OR($D127="",$E127=""),"",IF(AND(H$5&gt;=$D127,H$5&lt;=$E127),IF(H$5-$D127+1&lt;=ROUND(($E127-$D127+1)*$F127,0),2,IF(H$5&lt;CFG_CurWeek,3,1)),""))</f>
        <v/>
      </c>
      <c r="I127" s="66" t="str">
        <f aca="false">IF(OR($D127="",$E127=""),"",IF(AND(I$5&gt;=$D127,I$5&lt;=$E127),IF(I$5-$D127+1&lt;=ROUND(($E127-$D127+1)*$F127,0),2,IF(I$5&lt;CFG_CurWeek,3,1)),""))</f>
        <v/>
      </c>
      <c r="J127" s="66" t="str">
        <f aca="false">IF(OR($D127="",$E127=""),"",IF(AND(J$5&gt;=$D127,J$5&lt;=$E127),IF(J$5-$D127+1&lt;=ROUND(($E127-$D127+1)*$F127,0),2,IF(J$5&lt;CFG_CurWeek,3,1)),""))</f>
        <v/>
      </c>
      <c r="K127" s="66" t="str">
        <f aca="false">IF(OR($D127="",$E127=""),"",IF(AND(K$5&gt;=$D127,K$5&lt;=$E127),IF(K$5-$D127+1&lt;=ROUND(($E127-$D127+1)*$F127,0),2,IF(K$5&lt;CFG_CurWeek,3,1)),""))</f>
        <v/>
      </c>
      <c r="L127" s="66" t="str">
        <f aca="false">IF(OR($D127="",$E127=""),"",IF(AND(L$5&gt;=$D127,L$5&lt;=$E127),IF(L$5-$D127+1&lt;=ROUND(($E127-$D127+1)*$F127,0),2,IF(L$5&lt;CFG_CurWeek,3,1)),""))</f>
        <v/>
      </c>
      <c r="M127" s="66" t="str">
        <f aca="false">IF(OR($D127="",$E127=""),"",IF(AND(M$5&gt;=$D127,M$5&lt;=$E127),IF(M$5-$D127+1&lt;=ROUND(($E127-$D127+1)*$F127,0),2,IF(M$5&lt;CFG_CurWeek,3,1)),""))</f>
        <v/>
      </c>
      <c r="N127" s="66" t="str">
        <f aca="false">IF(OR($D127="",$E127=""),"",IF(AND(N$5&gt;=$D127,N$5&lt;=$E127),IF(N$5-$D127+1&lt;=ROUND(($E127-$D127+1)*$F127,0),2,IF(N$5&lt;CFG_CurWeek,3,1)),""))</f>
        <v/>
      </c>
      <c r="O127" s="66" t="str">
        <f aca="false">IF(OR($D127="",$E127=""),"",IF(AND(O$5&gt;=$D127,O$5&lt;=$E127),IF(O$5-$D127+1&lt;=ROUND(($E127-$D127+1)*$F127,0),2,IF(O$5&lt;CFG_CurWeek,3,1)),""))</f>
        <v/>
      </c>
      <c r="P127" s="66" t="str">
        <f aca="false">IF(OR($D127="",$E127=""),"",IF(AND(P$5&gt;=$D127,P$5&lt;=$E127),IF(P$5-$D127+1&lt;=ROUND(($E127-$D127+1)*$F127,0),2,IF(P$5&lt;CFG_CurWeek,3,1)),""))</f>
        <v/>
      </c>
      <c r="Q127" s="66" t="str">
        <f aca="false">IF(OR($D127="",$E127=""),"",IF(AND(Q$5&gt;=$D127,Q$5&lt;=$E127),IF(Q$5-$D127+1&lt;=ROUND(($E127-$D127+1)*$F127,0),2,IF(Q$5&lt;CFG_CurWeek,3,1)),""))</f>
        <v/>
      </c>
      <c r="R127" s="66" t="str">
        <f aca="false">IF(OR($D127="",$E127=""),"",IF(AND(R$5&gt;=$D127,R$5&lt;=$E127),IF(R$5-$D127+1&lt;=ROUND(($E127-$D127+1)*$F127,0),2,IF(R$5&lt;CFG_CurWeek,3,1)),""))</f>
        <v/>
      </c>
      <c r="S127" s="66" t="str">
        <f aca="false">IF(OR($D127="",$E127=""),"",IF(AND(S$5&gt;=$D127,S$5&lt;=$E127),IF(S$5-$D127+1&lt;=ROUND(($E127-$D127+1)*$F127,0),2,IF(S$5&lt;CFG_CurWeek,3,1)),""))</f>
        <v/>
      </c>
      <c r="T127" s="66" t="str">
        <f aca="false">IF(OR($D127="",$E127=""),"",IF(AND(T$5&gt;=$D127,T$5&lt;=$E127),IF(T$5-$D127+1&lt;=ROUND(($E127-$D127+1)*$F127,0),2,IF(T$5&lt;CFG_CurWeek,3,1)),""))</f>
        <v/>
      </c>
      <c r="U127" s="66" t="str">
        <f aca="false">IF(OR($D127="",$E127=""),"",IF(AND(U$5&gt;=$D127,U$5&lt;=$E127),IF(U$5-$D127+1&lt;=ROUND(($E127-$D127+1)*$F127,0),2,IF(U$5&lt;CFG_CurWeek,3,1)),""))</f>
        <v/>
      </c>
      <c r="V127" s="66" t="str">
        <f aca="false">IF(OR($D127="",$E127=""),"",IF(AND(V$5&gt;=$D127,V$5&lt;=$E127),IF(V$5-$D127+1&lt;=ROUND(($E127-$D127+1)*$F127,0),2,IF(V$5&lt;CFG_CurWeek,3,1)),""))</f>
        <v/>
      </c>
      <c r="W127" s="66" t="str">
        <f aca="false">IF(OR($D127="",$E127=""),"",IF(AND(W$5&gt;=$D127,W$5&lt;=$E127),IF(W$5-$D127+1&lt;=ROUND(($E127-$D127+1)*$F127,0),2,IF(W$5&lt;CFG_CurWeek,3,1)),""))</f>
        <v/>
      </c>
      <c r="X127" s="66" t="str">
        <f aca="false">IF(OR($D127="",$E127=""),"",IF(AND(X$5&gt;=$D127,X$5&lt;=$E127),IF(X$5-$D127+1&lt;=ROUND(($E127-$D127+1)*$F127,0),2,IF(X$5&lt;CFG_CurWeek,3,1)),""))</f>
        <v/>
      </c>
      <c r="Y127" s="66" t="str">
        <f aca="false">IF(OR($D127="",$E127=""),"",IF(AND(Y$5&gt;=$D127,Y$5&lt;=$E127),IF(Y$5-$D127+1&lt;=ROUND(($E127-$D127+1)*$F127,0),2,IF(Y$5&lt;CFG_CurWeek,3,1)),""))</f>
        <v/>
      </c>
      <c r="Z127" s="66" t="str">
        <f aca="false">IF(OR($D127="",$E127=""),"",IF(AND(Z$5&gt;=$D127,Z$5&lt;=$E127),IF(Z$5-$D127+1&lt;=ROUND(($E127-$D127+1)*$F127,0),2,IF(Z$5&lt;CFG_CurWeek,3,1)),""))</f>
        <v/>
      </c>
      <c r="AA127" s="66" t="str">
        <f aca="false">IF(OR($D127="",$E127=""),"",IF(AND(AA$5&gt;=$D127,AA$5&lt;=$E127),IF(AA$5-$D127+1&lt;=ROUND(($E127-$D127+1)*$F127,0),2,IF(AA$5&lt;CFG_CurWeek,3,1)),""))</f>
        <v/>
      </c>
      <c r="AB127" s="66" t="str">
        <f aca="false">IF(OR($D127="",$E127=""),"",IF(AND(AB$5&gt;=$D127,AB$5&lt;=$E127),IF(AB$5-$D127+1&lt;=ROUND(($E127-$D127+1)*$F127,0),2,IF(AB$5&lt;CFG_CurWeek,3,1)),""))</f>
        <v/>
      </c>
      <c r="AC127" s="66" t="str">
        <f aca="false">IF(OR($D127="",$E127=""),"",IF(AND(AC$5&gt;=$D127,AC$5&lt;=$E127),IF(AC$5-$D127+1&lt;=ROUND(($E127-$D127+1)*$F127,0),2,IF(AC$5&lt;CFG_CurWeek,3,1)),""))</f>
        <v/>
      </c>
      <c r="AD127" s="66" t="str">
        <f aca="false">IF(OR($D127="",$E127=""),"",IF(AND(AD$5&gt;=$D127,AD$5&lt;=$E127),IF(AD$5-$D127+1&lt;=ROUND(($E127-$D127+1)*$F127,0),2,IF(AD$5&lt;CFG_CurWeek,3,1)),""))</f>
        <v/>
      </c>
      <c r="AE127" s="66" t="str">
        <f aca="false">IF(OR($D127="",$E127=""),"",IF(AND(AE$5&gt;=$D127,AE$5&lt;=$E127),IF(AE$5-$D127+1&lt;=ROUND(($E127-$D127+1)*$F127,0),2,IF(AE$5&lt;CFG_CurWeek,3,1)),""))</f>
        <v/>
      </c>
      <c r="AF127" s="66" t="str">
        <f aca="false">IF(OR($D127="",$E127=""),"",IF(AND(AF$5&gt;=$D127,AF$5&lt;=$E127),IF(AF$5-$D127+1&lt;=ROUND(($E127-$D127+1)*$F127,0),2,IF(AF$5&lt;CFG_CurWeek,3,1)),""))</f>
        <v/>
      </c>
      <c r="AG127" s="66" t="str">
        <f aca="false">IF(OR($D127="",$E127=""),"",IF(AND(AG$5&gt;=$D127,AG$5&lt;=$E127),IF(AG$5-$D127+1&lt;=ROUND(($E127-$D127+1)*$F127,0),2,IF(AG$5&lt;CFG_CurWeek,3,1)),""))</f>
        <v/>
      </c>
      <c r="AH127" s="66" t="str">
        <f aca="false">IF(OR($D127="",$E127=""),"",IF(AND(AH$5&gt;=$D127,AH$5&lt;=$E127),IF(AH$5-$D127+1&lt;=ROUND(($E127-$D127+1)*$F127,0),2,IF(AH$5&lt;CFG_CurWeek,3,1)),""))</f>
        <v/>
      </c>
      <c r="AI127" s="66" t="str">
        <f aca="false">IF(OR($D127="",$E127=""),"",IF(AND(AI$5&gt;=$D127,AI$5&lt;=$E127),IF(AI$5-$D127+1&lt;=ROUND(($E127-$D127+1)*$F127,0),2,IF(AI$5&lt;CFG_CurWeek,3,1)),""))</f>
        <v/>
      </c>
      <c r="AJ127" s="66" t="str">
        <f aca="false">IF(OR($D127="",$E127=""),"",IF(AND(AJ$5&gt;=$D127,AJ$5&lt;=$E127),IF(AJ$5-$D127+1&lt;=ROUND(($E127-$D127+1)*$F127,0),2,IF(AJ$5&lt;CFG_CurWeek,3,1)),""))</f>
        <v/>
      </c>
      <c r="AK127" s="66" t="str">
        <f aca="false">IF(OR($D127="",$E127=""),"",IF(AND(AK$5&gt;=$D127,AK$5&lt;=$E127),IF(AK$5-$D127+1&lt;=ROUND(($E127-$D127+1)*$F127,0),2,IF(AK$5&lt;CFG_CurWeek,3,1)),""))</f>
        <v/>
      </c>
      <c r="AL127" s="66" t="str">
        <f aca="false">IF(OR($D127="",$E127=""),"",IF(AND(AL$5&gt;=$D127,AL$5&lt;=$E127),IF(AL$5-$D127+1&lt;=ROUND(($E127-$D127+1)*$F127,0),2,IF(AL$5&lt;CFG_CurWeek,3,1)),""))</f>
        <v/>
      </c>
      <c r="AM127" s="66" t="str">
        <f aca="false">IF(OR($D127="",$E127=""),"",IF(AND(AM$5&gt;=$D127,AM$5&lt;=$E127),IF(AM$5-$D127+1&lt;=ROUND(($E127-$D127+1)*$F127,0),2,IF(AM$5&lt;CFG_CurWeek,3,1)),""))</f>
        <v/>
      </c>
      <c r="AN127" s="66" t="str">
        <f aca="false">IF(OR($D127="",$E127=""),"",IF(AND(AN$5&gt;=$D127,AN$5&lt;=$E127),IF(AN$5-$D127+1&lt;=ROUND(($E127-$D127+1)*$F127,0),2,IF(AN$5&lt;CFG_CurWeek,3,1)),""))</f>
        <v/>
      </c>
      <c r="AO127" s="66" t="str">
        <f aca="false">IF(OR($D127="",$E127=""),"",IF(AND(AO$5&gt;=$D127,AO$5&lt;=$E127),IF(AO$5-$D127+1&lt;=ROUND(($E127-$D127+1)*$F127,0),2,IF(AO$5&lt;CFG_CurWeek,3,1)),""))</f>
        <v/>
      </c>
    </row>
    <row r="128" customFormat="false" ht="15" hidden="false" customHeight="false" outlineLevel="0" collapsed="false">
      <c r="A128" s="63" t="str">
        <f aca="false">IF('01_WBS &amp; Master Plan'!A125="","",'01_WBS &amp; Master Plan'!A125)</f>
        <v/>
      </c>
      <c r="B128" s="64" t="str">
        <f aca="false">IF('01_WBS &amp; Master Plan'!D125="","",'01_WBS &amp; Master Plan'!D125)</f>
        <v/>
      </c>
      <c r="C128" s="63" t="str">
        <f aca="false">IF('01_WBS &amp; Master Plan'!E125="","",'01_WBS &amp; Master Plan'!E125)</f>
        <v/>
      </c>
      <c r="D128" s="63" t="str">
        <f aca="false">IF('01_WBS &amp; Master Plan'!H125="","",'01_WBS &amp; Master Plan'!H125)</f>
        <v/>
      </c>
      <c r="E128" s="63" t="str">
        <f aca="false">IF('01_WBS &amp; Master Plan'!I125="","",'01_WBS &amp; Master Plan'!I125)</f>
        <v/>
      </c>
      <c r="F128" s="65" t="str">
        <f aca="false">IF(B128="","",IF('01_WBS &amp; Master Plan'!K125="Done",1,IF('01_WBS &amp; Master Plan'!L125="",0,'01_WBS &amp; Master Plan'!L125)))</f>
        <v/>
      </c>
      <c r="G128" s="63" t="str">
        <f aca="false">IF('01_WBS &amp; Master Plan'!K125="","",'01_WBS &amp; Master Plan'!K125)</f>
        <v/>
      </c>
      <c r="H128" s="66" t="str">
        <f aca="false">IF(OR($D128="",$E128=""),"",IF(AND(H$5&gt;=$D128,H$5&lt;=$E128),IF(H$5-$D128+1&lt;=ROUND(($E128-$D128+1)*$F128,0),2,IF(H$5&lt;CFG_CurWeek,3,1)),""))</f>
        <v/>
      </c>
      <c r="I128" s="66" t="str">
        <f aca="false">IF(OR($D128="",$E128=""),"",IF(AND(I$5&gt;=$D128,I$5&lt;=$E128),IF(I$5-$D128+1&lt;=ROUND(($E128-$D128+1)*$F128,0),2,IF(I$5&lt;CFG_CurWeek,3,1)),""))</f>
        <v/>
      </c>
      <c r="J128" s="66" t="str">
        <f aca="false">IF(OR($D128="",$E128=""),"",IF(AND(J$5&gt;=$D128,J$5&lt;=$E128),IF(J$5-$D128+1&lt;=ROUND(($E128-$D128+1)*$F128,0),2,IF(J$5&lt;CFG_CurWeek,3,1)),""))</f>
        <v/>
      </c>
      <c r="K128" s="66" t="str">
        <f aca="false">IF(OR($D128="",$E128=""),"",IF(AND(K$5&gt;=$D128,K$5&lt;=$E128),IF(K$5-$D128+1&lt;=ROUND(($E128-$D128+1)*$F128,0),2,IF(K$5&lt;CFG_CurWeek,3,1)),""))</f>
        <v/>
      </c>
      <c r="L128" s="66" t="str">
        <f aca="false">IF(OR($D128="",$E128=""),"",IF(AND(L$5&gt;=$D128,L$5&lt;=$E128),IF(L$5-$D128+1&lt;=ROUND(($E128-$D128+1)*$F128,0),2,IF(L$5&lt;CFG_CurWeek,3,1)),""))</f>
        <v/>
      </c>
      <c r="M128" s="66" t="str">
        <f aca="false">IF(OR($D128="",$E128=""),"",IF(AND(M$5&gt;=$D128,M$5&lt;=$E128),IF(M$5-$D128+1&lt;=ROUND(($E128-$D128+1)*$F128,0),2,IF(M$5&lt;CFG_CurWeek,3,1)),""))</f>
        <v/>
      </c>
      <c r="N128" s="66" t="str">
        <f aca="false">IF(OR($D128="",$E128=""),"",IF(AND(N$5&gt;=$D128,N$5&lt;=$E128),IF(N$5-$D128+1&lt;=ROUND(($E128-$D128+1)*$F128,0),2,IF(N$5&lt;CFG_CurWeek,3,1)),""))</f>
        <v/>
      </c>
      <c r="O128" s="66" t="str">
        <f aca="false">IF(OR($D128="",$E128=""),"",IF(AND(O$5&gt;=$D128,O$5&lt;=$E128),IF(O$5-$D128+1&lt;=ROUND(($E128-$D128+1)*$F128,0),2,IF(O$5&lt;CFG_CurWeek,3,1)),""))</f>
        <v/>
      </c>
      <c r="P128" s="66" t="str">
        <f aca="false">IF(OR($D128="",$E128=""),"",IF(AND(P$5&gt;=$D128,P$5&lt;=$E128),IF(P$5-$D128+1&lt;=ROUND(($E128-$D128+1)*$F128,0),2,IF(P$5&lt;CFG_CurWeek,3,1)),""))</f>
        <v/>
      </c>
      <c r="Q128" s="66" t="str">
        <f aca="false">IF(OR($D128="",$E128=""),"",IF(AND(Q$5&gt;=$D128,Q$5&lt;=$E128),IF(Q$5-$D128+1&lt;=ROUND(($E128-$D128+1)*$F128,0),2,IF(Q$5&lt;CFG_CurWeek,3,1)),""))</f>
        <v/>
      </c>
      <c r="R128" s="66" t="str">
        <f aca="false">IF(OR($D128="",$E128=""),"",IF(AND(R$5&gt;=$D128,R$5&lt;=$E128),IF(R$5-$D128+1&lt;=ROUND(($E128-$D128+1)*$F128,0),2,IF(R$5&lt;CFG_CurWeek,3,1)),""))</f>
        <v/>
      </c>
      <c r="S128" s="66" t="str">
        <f aca="false">IF(OR($D128="",$E128=""),"",IF(AND(S$5&gt;=$D128,S$5&lt;=$E128),IF(S$5-$D128+1&lt;=ROUND(($E128-$D128+1)*$F128,0),2,IF(S$5&lt;CFG_CurWeek,3,1)),""))</f>
        <v/>
      </c>
      <c r="T128" s="66" t="str">
        <f aca="false">IF(OR($D128="",$E128=""),"",IF(AND(T$5&gt;=$D128,T$5&lt;=$E128),IF(T$5-$D128+1&lt;=ROUND(($E128-$D128+1)*$F128,0),2,IF(T$5&lt;CFG_CurWeek,3,1)),""))</f>
        <v/>
      </c>
      <c r="U128" s="66" t="str">
        <f aca="false">IF(OR($D128="",$E128=""),"",IF(AND(U$5&gt;=$D128,U$5&lt;=$E128),IF(U$5-$D128+1&lt;=ROUND(($E128-$D128+1)*$F128,0),2,IF(U$5&lt;CFG_CurWeek,3,1)),""))</f>
        <v/>
      </c>
      <c r="V128" s="66" t="str">
        <f aca="false">IF(OR($D128="",$E128=""),"",IF(AND(V$5&gt;=$D128,V$5&lt;=$E128),IF(V$5-$D128+1&lt;=ROUND(($E128-$D128+1)*$F128,0),2,IF(V$5&lt;CFG_CurWeek,3,1)),""))</f>
        <v/>
      </c>
      <c r="W128" s="66" t="str">
        <f aca="false">IF(OR($D128="",$E128=""),"",IF(AND(W$5&gt;=$D128,W$5&lt;=$E128),IF(W$5-$D128+1&lt;=ROUND(($E128-$D128+1)*$F128,0),2,IF(W$5&lt;CFG_CurWeek,3,1)),""))</f>
        <v/>
      </c>
      <c r="X128" s="66" t="str">
        <f aca="false">IF(OR($D128="",$E128=""),"",IF(AND(X$5&gt;=$D128,X$5&lt;=$E128),IF(X$5-$D128+1&lt;=ROUND(($E128-$D128+1)*$F128,0),2,IF(X$5&lt;CFG_CurWeek,3,1)),""))</f>
        <v/>
      </c>
      <c r="Y128" s="66" t="str">
        <f aca="false">IF(OR($D128="",$E128=""),"",IF(AND(Y$5&gt;=$D128,Y$5&lt;=$E128),IF(Y$5-$D128+1&lt;=ROUND(($E128-$D128+1)*$F128,0),2,IF(Y$5&lt;CFG_CurWeek,3,1)),""))</f>
        <v/>
      </c>
      <c r="Z128" s="66" t="str">
        <f aca="false">IF(OR($D128="",$E128=""),"",IF(AND(Z$5&gt;=$D128,Z$5&lt;=$E128),IF(Z$5-$D128+1&lt;=ROUND(($E128-$D128+1)*$F128,0),2,IF(Z$5&lt;CFG_CurWeek,3,1)),""))</f>
        <v/>
      </c>
      <c r="AA128" s="66" t="str">
        <f aca="false">IF(OR($D128="",$E128=""),"",IF(AND(AA$5&gt;=$D128,AA$5&lt;=$E128),IF(AA$5-$D128+1&lt;=ROUND(($E128-$D128+1)*$F128,0),2,IF(AA$5&lt;CFG_CurWeek,3,1)),""))</f>
        <v/>
      </c>
      <c r="AB128" s="66" t="str">
        <f aca="false">IF(OR($D128="",$E128=""),"",IF(AND(AB$5&gt;=$D128,AB$5&lt;=$E128),IF(AB$5-$D128+1&lt;=ROUND(($E128-$D128+1)*$F128,0),2,IF(AB$5&lt;CFG_CurWeek,3,1)),""))</f>
        <v/>
      </c>
      <c r="AC128" s="66" t="str">
        <f aca="false">IF(OR($D128="",$E128=""),"",IF(AND(AC$5&gt;=$D128,AC$5&lt;=$E128),IF(AC$5-$D128+1&lt;=ROUND(($E128-$D128+1)*$F128,0),2,IF(AC$5&lt;CFG_CurWeek,3,1)),""))</f>
        <v/>
      </c>
      <c r="AD128" s="66" t="str">
        <f aca="false">IF(OR($D128="",$E128=""),"",IF(AND(AD$5&gt;=$D128,AD$5&lt;=$E128),IF(AD$5-$D128+1&lt;=ROUND(($E128-$D128+1)*$F128,0),2,IF(AD$5&lt;CFG_CurWeek,3,1)),""))</f>
        <v/>
      </c>
      <c r="AE128" s="66" t="str">
        <f aca="false">IF(OR($D128="",$E128=""),"",IF(AND(AE$5&gt;=$D128,AE$5&lt;=$E128),IF(AE$5-$D128+1&lt;=ROUND(($E128-$D128+1)*$F128,0),2,IF(AE$5&lt;CFG_CurWeek,3,1)),""))</f>
        <v/>
      </c>
      <c r="AF128" s="66" t="str">
        <f aca="false">IF(OR($D128="",$E128=""),"",IF(AND(AF$5&gt;=$D128,AF$5&lt;=$E128),IF(AF$5-$D128+1&lt;=ROUND(($E128-$D128+1)*$F128,0),2,IF(AF$5&lt;CFG_CurWeek,3,1)),""))</f>
        <v/>
      </c>
      <c r="AG128" s="66" t="str">
        <f aca="false">IF(OR($D128="",$E128=""),"",IF(AND(AG$5&gt;=$D128,AG$5&lt;=$E128),IF(AG$5-$D128+1&lt;=ROUND(($E128-$D128+1)*$F128,0),2,IF(AG$5&lt;CFG_CurWeek,3,1)),""))</f>
        <v/>
      </c>
      <c r="AH128" s="66" t="str">
        <f aca="false">IF(OR($D128="",$E128=""),"",IF(AND(AH$5&gt;=$D128,AH$5&lt;=$E128),IF(AH$5-$D128+1&lt;=ROUND(($E128-$D128+1)*$F128,0),2,IF(AH$5&lt;CFG_CurWeek,3,1)),""))</f>
        <v/>
      </c>
      <c r="AI128" s="66" t="str">
        <f aca="false">IF(OR($D128="",$E128=""),"",IF(AND(AI$5&gt;=$D128,AI$5&lt;=$E128),IF(AI$5-$D128+1&lt;=ROUND(($E128-$D128+1)*$F128,0),2,IF(AI$5&lt;CFG_CurWeek,3,1)),""))</f>
        <v/>
      </c>
      <c r="AJ128" s="66" t="str">
        <f aca="false">IF(OR($D128="",$E128=""),"",IF(AND(AJ$5&gt;=$D128,AJ$5&lt;=$E128),IF(AJ$5-$D128+1&lt;=ROUND(($E128-$D128+1)*$F128,0),2,IF(AJ$5&lt;CFG_CurWeek,3,1)),""))</f>
        <v/>
      </c>
      <c r="AK128" s="66" t="str">
        <f aca="false">IF(OR($D128="",$E128=""),"",IF(AND(AK$5&gt;=$D128,AK$5&lt;=$E128),IF(AK$5-$D128+1&lt;=ROUND(($E128-$D128+1)*$F128,0),2,IF(AK$5&lt;CFG_CurWeek,3,1)),""))</f>
        <v/>
      </c>
      <c r="AL128" s="66" t="str">
        <f aca="false">IF(OR($D128="",$E128=""),"",IF(AND(AL$5&gt;=$D128,AL$5&lt;=$E128),IF(AL$5-$D128+1&lt;=ROUND(($E128-$D128+1)*$F128,0),2,IF(AL$5&lt;CFG_CurWeek,3,1)),""))</f>
        <v/>
      </c>
      <c r="AM128" s="66" t="str">
        <f aca="false">IF(OR($D128="",$E128=""),"",IF(AND(AM$5&gt;=$D128,AM$5&lt;=$E128),IF(AM$5-$D128+1&lt;=ROUND(($E128-$D128+1)*$F128,0),2,IF(AM$5&lt;CFG_CurWeek,3,1)),""))</f>
        <v/>
      </c>
      <c r="AN128" s="66" t="str">
        <f aca="false">IF(OR($D128="",$E128=""),"",IF(AND(AN$5&gt;=$D128,AN$5&lt;=$E128),IF(AN$5-$D128+1&lt;=ROUND(($E128-$D128+1)*$F128,0),2,IF(AN$5&lt;CFG_CurWeek,3,1)),""))</f>
        <v/>
      </c>
      <c r="AO128" s="66" t="str">
        <f aca="false">IF(OR($D128="",$E128=""),"",IF(AND(AO$5&gt;=$D128,AO$5&lt;=$E128),IF(AO$5-$D128+1&lt;=ROUND(($E128-$D128+1)*$F128,0),2,IF(AO$5&lt;CFG_CurWeek,3,1)),""))</f>
        <v/>
      </c>
    </row>
    <row r="129" customFormat="false" ht="15" hidden="false" customHeight="false" outlineLevel="0" collapsed="false">
      <c r="A129" s="63" t="str">
        <f aca="false">IF('01_WBS &amp; Master Plan'!A126="","",'01_WBS &amp; Master Plan'!A126)</f>
        <v/>
      </c>
      <c r="B129" s="64" t="str">
        <f aca="false">IF('01_WBS &amp; Master Plan'!D126="","",'01_WBS &amp; Master Plan'!D126)</f>
        <v/>
      </c>
      <c r="C129" s="63" t="str">
        <f aca="false">IF('01_WBS &amp; Master Plan'!E126="","",'01_WBS &amp; Master Plan'!E126)</f>
        <v/>
      </c>
      <c r="D129" s="63" t="str">
        <f aca="false">IF('01_WBS &amp; Master Plan'!H126="","",'01_WBS &amp; Master Plan'!H126)</f>
        <v/>
      </c>
      <c r="E129" s="63" t="str">
        <f aca="false">IF('01_WBS &amp; Master Plan'!I126="","",'01_WBS &amp; Master Plan'!I126)</f>
        <v/>
      </c>
      <c r="F129" s="65" t="str">
        <f aca="false">IF(B129="","",IF('01_WBS &amp; Master Plan'!K126="Done",1,IF('01_WBS &amp; Master Plan'!L126="",0,'01_WBS &amp; Master Plan'!L126)))</f>
        <v/>
      </c>
      <c r="G129" s="63" t="str">
        <f aca="false">IF('01_WBS &amp; Master Plan'!K126="","",'01_WBS &amp; Master Plan'!K126)</f>
        <v/>
      </c>
      <c r="H129" s="66" t="str">
        <f aca="false">IF(OR($D129="",$E129=""),"",IF(AND(H$5&gt;=$D129,H$5&lt;=$E129),IF(H$5-$D129+1&lt;=ROUND(($E129-$D129+1)*$F129,0),2,IF(H$5&lt;CFG_CurWeek,3,1)),""))</f>
        <v/>
      </c>
      <c r="I129" s="66" t="str">
        <f aca="false">IF(OR($D129="",$E129=""),"",IF(AND(I$5&gt;=$D129,I$5&lt;=$E129),IF(I$5-$D129+1&lt;=ROUND(($E129-$D129+1)*$F129,0),2,IF(I$5&lt;CFG_CurWeek,3,1)),""))</f>
        <v/>
      </c>
      <c r="J129" s="66" t="str">
        <f aca="false">IF(OR($D129="",$E129=""),"",IF(AND(J$5&gt;=$D129,J$5&lt;=$E129),IF(J$5-$D129+1&lt;=ROUND(($E129-$D129+1)*$F129,0),2,IF(J$5&lt;CFG_CurWeek,3,1)),""))</f>
        <v/>
      </c>
      <c r="K129" s="66" t="str">
        <f aca="false">IF(OR($D129="",$E129=""),"",IF(AND(K$5&gt;=$D129,K$5&lt;=$E129),IF(K$5-$D129+1&lt;=ROUND(($E129-$D129+1)*$F129,0),2,IF(K$5&lt;CFG_CurWeek,3,1)),""))</f>
        <v/>
      </c>
      <c r="L129" s="66" t="str">
        <f aca="false">IF(OR($D129="",$E129=""),"",IF(AND(L$5&gt;=$D129,L$5&lt;=$E129),IF(L$5-$D129+1&lt;=ROUND(($E129-$D129+1)*$F129,0),2,IF(L$5&lt;CFG_CurWeek,3,1)),""))</f>
        <v/>
      </c>
      <c r="M129" s="66" t="str">
        <f aca="false">IF(OR($D129="",$E129=""),"",IF(AND(M$5&gt;=$D129,M$5&lt;=$E129),IF(M$5-$D129+1&lt;=ROUND(($E129-$D129+1)*$F129,0),2,IF(M$5&lt;CFG_CurWeek,3,1)),""))</f>
        <v/>
      </c>
      <c r="N129" s="66" t="str">
        <f aca="false">IF(OR($D129="",$E129=""),"",IF(AND(N$5&gt;=$D129,N$5&lt;=$E129),IF(N$5-$D129+1&lt;=ROUND(($E129-$D129+1)*$F129,0),2,IF(N$5&lt;CFG_CurWeek,3,1)),""))</f>
        <v/>
      </c>
      <c r="O129" s="66" t="str">
        <f aca="false">IF(OR($D129="",$E129=""),"",IF(AND(O$5&gt;=$D129,O$5&lt;=$E129),IF(O$5-$D129+1&lt;=ROUND(($E129-$D129+1)*$F129,0),2,IF(O$5&lt;CFG_CurWeek,3,1)),""))</f>
        <v/>
      </c>
      <c r="P129" s="66" t="str">
        <f aca="false">IF(OR($D129="",$E129=""),"",IF(AND(P$5&gt;=$D129,P$5&lt;=$E129),IF(P$5-$D129+1&lt;=ROUND(($E129-$D129+1)*$F129,0),2,IF(P$5&lt;CFG_CurWeek,3,1)),""))</f>
        <v/>
      </c>
      <c r="Q129" s="66" t="str">
        <f aca="false">IF(OR($D129="",$E129=""),"",IF(AND(Q$5&gt;=$D129,Q$5&lt;=$E129),IF(Q$5-$D129+1&lt;=ROUND(($E129-$D129+1)*$F129,0),2,IF(Q$5&lt;CFG_CurWeek,3,1)),""))</f>
        <v/>
      </c>
      <c r="R129" s="66" t="str">
        <f aca="false">IF(OR($D129="",$E129=""),"",IF(AND(R$5&gt;=$D129,R$5&lt;=$E129),IF(R$5-$D129+1&lt;=ROUND(($E129-$D129+1)*$F129,0),2,IF(R$5&lt;CFG_CurWeek,3,1)),""))</f>
        <v/>
      </c>
      <c r="S129" s="66" t="str">
        <f aca="false">IF(OR($D129="",$E129=""),"",IF(AND(S$5&gt;=$D129,S$5&lt;=$E129),IF(S$5-$D129+1&lt;=ROUND(($E129-$D129+1)*$F129,0),2,IF(S$5&lt;CFG_CurWeek,3,1)),""))</f>
        <v/>
      </c>
      <c r="T129" s="66" t="str">
        <f aca="false">IF(OR($D129="",$E129=""),"",IF(AND(T$5&gt;=$D129,T$5&lt;=$E129),IF(T$5-$D129+1&lt;=ROUND(($E129-$D129+1)*$F129,0),2,IF(T$5&lt;CFG_CurWeek,3,1)),""))</f>
        <v/>
      </c>
      <c r="U129" s="66" t="str">
        <f aca="false">IF(OR($D129="",$E129=""),"",IF(AND(U$5&gt;=$D129,U$5&lt;=$E129),IF(U$5-$D129+1&lt;=ROUND(($E129-$D129+1)*$F129,0),2,IF(U$5&lt;CFG_CurWeek,3,1)),""))</f>
        <v/>
      </c>
      <c r="V129" s="66" t="str">
        <f aca="false">IF(OR($D129="",$E129=""),"",IF(AND(V$5&gt;=$D129,V$5&lt;=$E129),IF(V$5-$D129+1&lt;=ROUND(($E129-$D129+1)*$F129,0),2,IF(V$5&lt;CFG_CurWeek,3,1)),""))</f>
        <v/>
      </c>
      <c r="W129" s="66" t="str">
        <f aca="false">IF(OR($D129="",$E129=""),"",IF(AND(W$5&gt;=$D129,W$5&lt;=$E129),IF(W$5-$D129+1&lt;=ROUND(($E129-$D129+1)*$F129,0),2,IF(W$5&lt;CFG_CurWeek,3,1)),""))</f>
        <v/>
      </c>
      <c r="X129" s="66" t="str">
        <f aca="false">IF(OR($D129="",$E129=""),"",IF(AND(X$5&gt;=$D129,X$5&lt;=$E129),IF(X$5-$D129+1&lt;=ROUND(($E129-$D129+1)*$F129,0),2,IF(X$5&lt;CFG_CurWeek,3,1)),""))</f>
        <v/>
      </c>
      <c r="Y129" s="66" t="str">
        <f aca="false">IF(OR($D129="",$E129=""),"",IF(AND(Y$5&gt;=$D129,Y$5&lt;=$E129),IF(Y$5-$D129+1&lt;=ROUND(($E129-$D129+1)*$F129,0),2,IF(Y$5&lt;CFG_CurWeek,3,1)),""))</f>
        <v/>
      </c>
      <c r="Z129" s="66" t="str">
        <f aca="false">IF(OR($D129="",$E129=""),"",IF(AND(Z$5&gt;=$D129,Z$5&lt;=$E129),IF(Z$5-$D129+1&lt;=ROUND(($E129-$D129+1)*$F129,0),2,IF(Z$5&lt;CFG_CurWeek,3,1)),""))</f>
        <v/>
      </c>
      <c r="AA129" s="66" t="str">
        <f aca="false">IF(OR($D129="",$E129=""),"",IF(AND(AA$5&gt;=$D129,AA$5&lt;=$E129),IF(AA$5-$D129+1&lt;=ROUND(($E129-$D129+1)*$F129,0),2,IF(AA$5&lt;CFG_CurWeek,3,1)),""))</f>
        <v/>
      </c>
      <c r="AB129" s="66" t="str">
        <f aca="false">IF(OR($D129="",$E129=""),"",IF(AND(AB$5&gt;=$D129,AB$5&lt;=$E129),IF(AB$5-$D129+1&lt;=ROUND(($E129-$D129+1)*$F129,0),2,IF(AB$5&lt;CFG_CurWeek,3,1)),""))</f>
        <v/>
      </c>
      <c r="AC129" s="66" t="str">
        <f aca="false">IF(OR($D129="",$E129=""),"",IF(AND(AC$5&gt;=$D129,AC$5&lt;=$E129),IF(AC$5-$D129+1&lt;=ROUND(($E129-$D129+1)*$F129,0),2,IF(AC$5&lt;CFG_CurWeek,3,1)),""))</f>
        <v/>
      </c>
      <c r="AD129" s="66" t="str">
        <f aca="false">IF(OR($D129="",$E129=""),"",IF(AND(AD$5&gt;=$D129,AD$5&lt;=$E129),IF(AD$5-$D129+1&lt;=ROUND(($E129-$D129+1)*$F129,0),2,IF(AD$5&lt;CFG_CurWeek,3,1)),""))</f>
        <v/>
      </c>
      <c r="AE129" s="66" t="str">
        <f aca="false">IF(OR($D129="",$E129=""),"",IF(AND(AE$5&gt;=$D129,AE$5&lt;=$E129),IF(AE$5-$D129+1&lt;=ROUND(($E129-$D129+1)*$F129,0),2,IF(AE$5&lt;CFG_CurWeek,3,1)),""))</f>
        <v/>
      </c>
      <c r="AF129" s="66" t="str">
        <f aca="false">IF(OR($D129="",$E129=""),"",IF(AND(AF$5&gt;=$D129,AF$5&lt;=$E129),IF(AF$5-$D129+1&lt;=ROUND(($E129-$D129+1)*$F129,0),2,IF(AF$5&lt;CFG_CurWeek,3,1)),""))</f>
        <v/>
      </c>
      <c r="AG129" s="66" t="str">
        <f aca="false">IF(OR($D129="",$E129=""),"",IF(AND(AG$5&gt;=$D129,AG$5&lt;=$E129),IF(AG$5-$D129+1&lt;=ROUND(($E129-$D129+1)*$F129,0),2,IF(AG$5&lt;CFG_CurWeek,3,1)),""))</f>
        <v/>
      </c>
      <c r="AH129" s="66" t="str">
        <f aca="false">IF(OR($D129="",$E129=""),"",IF(AND(AH$5&gt;=$D129,AH$5&lt;=$E129),IF(AH$5-$D129+1&lt;=ROUND(($E129-$D129+1)*$F129,0),2,IF(AH$5&lt;CFG_CurWeek,3,1)),""))</f>
        <v/>
      </c>
      <c r="AI129" s="66" t="str">
        <f aca="false">IF(OR($D129="",$E129=""),"",IF(AND(AI$5&gt;=$D129,AI$5&lt;=$E129),IF(AI$5-$D129+1&lt;=ROUND(($E129-$D129+1)*$F129,0),2,IF(AI$5&lt;CFG_CurWeek,3,1)),""))</f>
        <v/>
      </c>
      <c r="AJ129" s="66" t="str">
        <f aca="false">IF(OR($D129="",$E129=""),"",IF(AND(AJ$5&gt;=$D129,AJ$5&lt;=$E129),IF(AJ$5-$D129+1&lt;=ROUND(($E129-$D129+1)*$F129,0),2,IF(AJ$5&lt;CFG_CurWeek,3,1)),""))</f>
        <v/>
      </c>
      <c r="AK129" s="66" t="str">
        <f aca="false">IF(OR($D129="",$E129=""),"",IF(AND(AK$5&gt;=$D129,AK$5&lt;=$E129),IF(AK$5-$D129+1&lt;=ROUND(($E129-$D129+1)*$F129,0),2,IF(AK$5&lt;CFG_CurWeek,3,1)),""))</f>
        <v/>
      </c>
      <c r="AL129" s="66" t="str">
        <f aca="false">IF(OR($D129="",$E129=""),"",IF(AND(AL$5&gt;=$D129,AL$5&lt;=$E129),IF(AL$5-$D129+1&lt;=ROUND(($E129-$D129+1)*$F129,0),2,IF(AL$5&lt;CFG_CurWeek,3,1)),""))</f>
        <v/>
      </c>
      <c r="AM129" s="66" t="str">
        <f aca="false">IF(OR($D129="",$E129=""),"",IF(AND(AM$5&gt;=$D129,AM$5&lt;=$E129),IF(AM$5-$D129+1&lt;=ROUND(($E129-$D129+1)*$F129,0),2,IF(AM$5&lt;CFG_CurWeek,3,1)),""))</f>
        <v/>
      </c>
      <c r="AN129" s="66" t="str">
        <f aca="false">IF(OR($D129="",$E129=""),"",IF(AND(AN$5&gt;=$D129,AN$5&lt;=$E129),IF(AN$5-$D129+1&lt;=ROUND(($E129-$D129+1)*$F129,0),2,IF(AN$5&lt;CFG_CurWeek,3,1)),""))</f>
        <v/>
      </c>
      <c r="AO129" s="66" t="str">
        <f aca="false">IF(OR($D129="",$E129=""),"",IF(AND(AO$5&gt;=$D129,AO$5&lt;=$E129),IF(AO$5-$D129+1&lt;=ROUND(($E129-$D129+1)*$F129,0),2,IF(AO$5&lt;CFG_CurWeek,3,1)),""))</f>
        <v/>
      </c>
    </row>
    <row r="130" customFormat="false" ht="15" hidden="false" customHeight="false" outlineLevel="0" collapsed="false">
      <c r="A130" s="63" t="str">
        <f aca="false">IF('01_WBS &amp; Master Plan'!A127="","",'01_WBS &amp; Master Plan'!A127)</f>
        <v/>
      </c>
      <c r="B130" s="64" t="str">
        <f aca="false">IF('01_WBS &amp; Master Plan'!D127="","",'01_WBS &amp; Master Plan'!D127)</f>
        <v/>
      </c>
      <c r="C130" s="63" t="str">
        <f aca="false">IF('01_WBS &amp; Master Plan'!E127="","",'01_WBS &amp; Master Plan'!E127)</f>
        <v/>
      </c>
      <c r="D130" s="63" t="str">
        <f aca="false">IF('01_WBS &amp; Master Plan'!H127="","",'01_WBS &amp; Master Plan'!H127)</f>
        <v/>
      </c>
      <c r="E130" s="63" t="str">
        <f aca="false">IF('01_WBS &amp; Master Plan'!I127="","",'01_WBS &amp; Master Plan'!I127)</f>
        <v/>
      </c>
      <c r="F130" s="65" t="str">
        <f aca="false">IF(B130="","",IF('01_WBS &amp; Master Plan'!K127="Done",1,IF('01_WBS &amp; Master Plan'!L127="",0,'01_WBS &amp; Master Plan'!L127)))</f>
        <v/>
      </c>
      <c r="G130" s="63" t="str">
        <f aca="false">IF('01_WBS &amp; Master Plan'!K127="","",'01_WBS &amp; Master Plan'!K127)</f>
        <v/>
      </c>
      <c r="H130" s="66" t="str">
        <f aca="false">IF(OR($D130="",$E130=""),"",IF(AND(H$5&gt;=$D130,H$5&lt;=$E130),IF(H$5-$D130+1&lt;=ROUND(($E130-$D130+1)*$F130,0),2,IF(H$5&lt;CFG_CurWeek,3,1)),""))</f>
        <v/>
      </c>
      <c r="I130" s="66" t="str">
        <f aca="false">IF(OR($D130="",$E130=""),"",IF(AND(I$5&gt;=$D130,I$5&lt;=$E130),IF(I$5-$D130+1&lt;=ROUND(($E130-$D130+1)*$F130,0),2,IF(I$5&lt;CFG_CurWeek,3,1)),""))</f>
        <v/>
      </c>
      <c r="J130" s="66" t="str">
        <f aca="false">IF(OR($D130="",$E130=""),"",IF(AND(J$5&gt;=$D130,J$5&lt;=$E130),IF(J$5-$D130+1&lt;=ROUND(($E130-$D130+1)*$F130,0),2,IF(J$5&lt;CFG_CurWeek,3,1)),""))</f>
        <v/>
      </c>
      <c r="K130" s="66" t="str">
        <f aca="false">IF(OR($D130="",$E130=""),"",IF(AND(K$5&gt;=$D130,K$5&lt;=$E130),IF(K$5-$D130+1&lt;=ROUND(($E130-$D130+1)*$F130,0),2,IF(K$5&lt;CFG_CurWeek,3,1)),""))</f>
        <v/>
      </c>
      <c r="L130" s="66" t="str">
        <f aca="false">IF(OR($D130="",$E130=""),"",IF(AND(L$5&gt;=$D130,L$5&lt;=$E130),IF(L$5-$D130+1&lt;=ROUND(($E130-$D130+1)*$F130,0),2,IF(L$5&lt;CFG_CurWeek,3,1)),""))</f>
        <v/>
      </c>
      <c r="M130" s="66" t="str">
        <f aca="false">IF(OR($D130="",$E130=""),"",IF(AND(M$5&gt;=$D130,M$5&lt;=$E130),IF(M$5-$D130+1&lt;=ROUND(($E130-$D130+1)*$F130,0),2,IF(M$5&lt;CFG_CurWeek,3,1)),""))</f>
        <v/>
      </c>
      <c r="N130" s="66" t="str">
        <f aca="false">IF(OR($D130="",$E130=""),"",IF(AND(N$5&gt;=$D130,N$5&lt;=$E130),IF(N$5-$D130+1&lt;=ROUND(($E130-$D130+1)*$F130,0),2,IF(N$5&lt;CFG_CurWeek,3,1)),""))</f>
        <v/>
      </c>
      <c r="O130" s="66" t="str">
        <f aca="false">IF(OR($D130="",$E130=""),"",IF(AND(O$5&gt;=$D130,O$5&lt;=$E130),IF(O$5-$D130+1&lt;=ROUND(($E130-$D130+1)*$F130,0),2,IF(O$5&lt;CFG_CurWeek,3,1)),""))</f>
        <v/>
      </c>
      <c r="P130" s="66" t="str">
        <f aca="false">IF(OR($D130="",$E130=""),"",IF(AND(P$5&gt;=$D130,P$5&lt;=$E130),IF(P$5-$D130+1&lt;=ROUND(($E130-$D130+1)*$F130,0),2,IF(P$5&lt;CFG_CurWeek,3,1)),""))</f>
        <v/>
      </c>
      <c r="Q130" s="66" t="str">
        <f aca="false">IF(OR($D130="",$E130=""),"",IF(AND(Q$5&gt;=$D130,Q$5&lt;=$E130),IF(Q$5-$D130+1&lt;=ROUND(($E130-$D130+1)*$F130,0),2,IF(Q$5&lt;CFG_CurWeek,3,1)),""))</f>
        <v/>
      </c>
      <c r="R130" s="66" t="str">
        <f aca="false">IF(OR($D130="",$E130=""),"",IF(AND(R$5&gt;=$D130,R$5&lt;=$E130),IF(R$5-$D130+1&lt;=ROUND(($E130-$D130+1)*$F130,0),2,IF(R$5&lt;CFG_CurWeek,3,1)),""))</f>
        <v/>
      </c>
      <c r="S130" s="66" t="str">
        <f aca="false">IF(OR($D130="",$E130=""),"",IF(AND(S$5&gt;=$D130,S$5&lt;=$E130),IF(S$5-$D130+1&lt;=ROUND(($E130-$D130+1)*$F130,0),2,IF(S$5&lt;CFG_CurWeek,3,1)),""))</f>
        <v/>
      </c>
      <c r="T130" s="66" t="str">
        <f aca="false">IF(OR($D130="",$E130=""),"",IF(AND(T$5&gt;=$D130,T$5&lt;=$E130),IF(T$5-$D130+1&lt;=ROUND(($E130-$D130+1)*$F130,0),2,IF(T$5&lt;CFG_CurWeek,3,1)),""))</f>
        <v/>
      </c>
      <c r="U130" s="66" t="str">
        <f aca="false">IF(OR($D130="",$E130=""),"",IF(AND(U$5&gt;=$D130,U$5&lt;=$E130),IF(U$5-$D130+1&lt;=ROUND(($E130-$D130+1)*$F130,0),2,IF(U$5&lt;CFG_CurWeek,3,1)),""))</f>
        <v/>
      </c>
      <c r="V130" s="66" t="str">
        <f aca="false">IF(OR($D130="",$E130=""),"",IF(AND(V$5&gt;=$D130,V$5&lt;=$E130),IF(V$5-$D130+1&lt;=ROUND(($E130-$D130+1)*$F130,0),2,IF(V$5&lt;CFG_CurWeek,3,1)),""))</f>
        <v/>
      </c>
      <c r="W130" s="66" t="str">
        <f aca="false">IF(OR($D130="",$E130=""),"",IF(AND(W$5&gt;=$D130,W$5&lt;=$E130),IF(W$5-$D130+1&lt;=ROUND(($E130-$D130+1)*$F130,0),2,IF(W$5&lt;CFG_CurWeek,3,1)),""))</f>
        <v/>
      </c>
      <c r="X130" s="66" t="str">
        <f aca="false">IF(OR($D130="",$E130=""),"",IF(AND(X$5&gt;=$D130,X$5&lt;=$E130),IF(X$5-$D130+1&lt;=ROUND(($E130-$D130+1)*$F130,0),2,IF(X$5&lt;CFG_CurWeek,3,1)),""))</f>
        <v/>
      </c>
      <c r="Y130" s="66" t="str">
        <f aca="false">IF(OR($D130="",$E130=""),"",IF(AND(Y$5&gt;=$D130,Y$5&lt;=$E130),IF(Y$5-$D130+1&lt;=ROUND(($E130-$D130+1)*$F130,0),2,IF(Y$5&lt;CFG_CurWeek,3,1)),""))</f>
        <v/>
      </c>
      <c r="Z130" s="66" t="str">
        <f aca="false">IF(OR($D130="",$E130=""),"",IF(AND(Z$5&gt;=$D130,Z$5&lt;=$E130),IF(Z$5-$D130+1&lt;=ROUND(($E130-$D130+1)*$F130,0),2,IF(Z$5&lt;CFG_CurWeek,3,1)),""))</f>
        <v/>
      </c>
      <c r="AA130" s="66" t="str">
        <f aca="false">IF(OR($D130="",$E130=""),"",IF(AND(AA$5&gt;=$D130,AA$5&lt;=$E130),IF(AA$5-$D130+1&lt;=ROUND(($E130-$D130+1)*$F130,0),2,IF(AA$5&lt;CFG_CurWeek,3,1)),""))</f>
        <v/>
      </c>
      <c r="AB130" s="66" t="str">
        <f aca="false">IF(OR($D130="",$E130=""),"",IF(AND(AB$5&gt;=$D130,AB$5&lt;=$E130),IF(AB$5-$D130+1&lt;=ROUND(($E130-$D130+1)*$F130,0),2,IF(AB$5&lt;CFG_CurWeek,3,1)),""))</f>
        <v/>
      </c>
      <c r="AC130" s="66" t="str">
        <f aca="false">IF(OR($D130="",$E130=""),"",IF(AND(AC$5&gt;=$D130,AC$5&lt;=$E130),IF(AC$5-$D130+1&lt;=ROUND(($E130-$D130+1)*$F130,0),2,IF(AC$5&lt;CFG_CurWeek,3,1)),""))</f>
        <v/>
      </c>
      <c r="AD130" s="66" t="str">
        <f aca="false">IF(OR($D130="",$E130=""),"",IF(AND(AD$5&gt;=$D130,AD$5&lt;=$E130),IF(AD$5-$D130+1&lt;=ROUND(($E130-$D130+1)*$F130,0),2,IF(AD$5&lt;CFG_CurWeek,3,1)),""))</f>
        <v/>
      </c>
      <c r="AE130" s="66" t="str">
        <f aca="false">IF(OR($D130="",$E130=""),"",IF(AND(AE$5&gt;=$D130,AE$5&lt;=$E130),IF(AE$5-$D130+1&lt;=ROUND(($E130-$D130+1)*$F130,0),2,IF(AE$5&lt;CFG_CurWeek,3,1)),""))</f>
        <v/>
      </c>
      <c r="AF130" s="66" t="str">
        <f aca="false">IF(OR($D130="",$E130=""),"",IF(AND(AF$5&gt;=$D130,AF$5&lt;=$E130),IF(AF$5-$D130+1&lt;=ROUND(($E130-$D130+1)*$F130,0),2,IF(AF$5&lt;CFG_CurWeek,3,1)),""))</f>
        <v/>
      </c>
      <c r="AG130" s="66" t="str">
        <f aca="false">IF(OR($D130="",$E130=""),"",IF(AND(AG$5&gt;=$D130,AG$5&lt;=$E130),IF(AG$5-$D130+1&lt;=ROUND(($E130-$D130+1)*$F130,0),2,IF(AG$5&lt;CFG_CurWeek,3,1)),""))</f>
        <v/>
      </c>
      <c r="AH130" s="66" t="str">
        <f aca="false">IF(OR($D130="",$E130=""),"",IF(AND(AH$5&gt;=$D130,AH$5&lt;=$E130),IF(AH$5-$D130+1&lt;=ROUND(($E130-$D130+1)*$F130,0),2,IF(AH$5&lt;CFG_CurWeek,3,1)),""))</f>
        <v/>
      </c>
      <c r="AI130" s="66" t="str">
        <f aca="false">IF(OR($D130="",$E130=""),"",IF(AND(AI$5&gt;=$D130,AI$5&lt;=$E130),IF(AI$5-$D130+1&lt;=ROUND(($E130-$D130+1)*$F130,0),2,IF(AI$5&lt;CFG_CurWeek,3,1)),""))</f>
        <v/>
      </c>
      <c r="AJ130" s="66" t="str">
        <f aca="false">IF(OR($D130="",$E130=""),"",IF(AND(AJ$5&gt;=$D130,AJ$5&lt;=$E130),IF(AJ$5-$D130+1&lt;=ROUND(($E130-$D130+1)*$F130,0),2,IF(AJ$5&lt;CFG_CurWeek,3,1)),""))</f>
        <v/>
      </c>
      <c r="AK130" s="66" t="str">
        <f aca="false">IF(OR($D130="",$E130=""),"",IF(AND(AK$5&gt;=$D130,AK$5&lt;=$E130),IF(AK$5-$D130+1&lt;=ROUND(($E130-$D130+1)*$F130,0),2,IF(AK$5&lt;CFG_CurWeek,3,1)),""))</f>
        <v/>
      </c>
      <c r="AL130" s="66" t="str">
        <f aca="false">IF(OR($D130="",$E130=""),"",IF(AND(AL$5&gt;=$D130,AL$5&lt;=$E130),IF(AL$5-$D130+1&lt;=ROUND(($E130-$D130+1)*$F130,0),2,IF(AL$5&lt;CFG_CurWeek,3,1)),""))</f>
        <v/>
      </c>
      <c r="AM130" s="66" t="str">
        <f aca="false">IF(OR($D130="",$E130=""),"",IF(AND(AM$5&gt;=$D130,AM$5&lt;=$E130),IF(AM$5-$D130+1&lt;=ROUND(($E130-$D130+1)*$F130,0),2,IF(AM$5&lt;CFG_CurWeek,3,1)),""))</f>
        <v/>
      </c>
      <c r="AN130" s="66" t="str">
        <f aca="false">IF(OR($D130="",$E130=""),"",IF(AND(AN$5&gt;=$D130,AN$5&lt;=$E130),IF(AN$5-$D130+1&lt;=ROUND(($E130-$D130+1)*$F130,0),2,IF(AN$5&lt;CFG_CurWeek,3,1)),""))</f>
        <v/>
      </c>
      <c r="AO130" s="66" t="str">
        <f aca="false">IF(OR($D130="",$E130=""),"",IF(AND(AO$5&gt;=$D130,AO$5&lt;=$E130),IF(AO$5-$D130+1&lt;=ROUND(($E130-$D130+1)*$F130,0),2,IF(AO$5&lt;CFG_CurWeek,3,1)),""))</f>
        <v/>
      </c>
    </row>
    <row r="131" customFormat="false" ht="15" hidden="false" customHeight="false" outlineLevel="0" collapsed="false">
      <c r="A131" s="63" t="str">
        <f aca="false">IF('01_WBS &amp; Master Plan'!A128="","",'01_WBS &amp; Master Plan'!A128)</f>
        <v/>
      </c>
      <c r="B131" s="64" t="str">
        <f aca="false">IF('01_WBS &amp; Master Plan'!D128="","",'01_WBS &amp; Master Plan'!D128)</f>
        <v/>
      </c>
      <c r="C131" s="63" t="str">
        <f aca="false">IF('01_WBS &amp; Master Plan'!E128="","",'01_WBS &amp; Master Plan'!E128)</f>
        <v/>
      </c>
      <c r="D131" s="63" t="str">
        <f aca="false">IF('01_WBS &amp; Master Plan'!H128="","",'01_WBS &amp; Master Plan'!H128)</f>
        <v/>
      </c>
      <c r="E131" s="63" t="str">
        <f aca="false">IF('01_WBS &amp; Master Plan'!I128="","",'01_WBS &amp; Master Plan'!I128)</f>
        <v/>
      </c>
      <c r="F131" s="65" t="str">
        <f aca="false">IF(B131="","",IF('01_WBS &amp; Master Plan'!K128="Done",1,IF('01_WBS &amp; Master Plan'!L128="",0,'01_WBS &amp; Master Plan'!L128)))</f>
        <v/>
      </c>
      <c r="G131" s="63" t="str">
        <f aca="false">IF('01_WBS &amp; Master Plan'!K128="","",'01_WBS &amp; Master Plan'!K128)</f>
        <v/>
      </c>
      <c r="H131" s="66" t="str">
        <f aca="false">IF(OR($D131="",$E131=""),"",IF(AND(H$5&gt;=$D131,H$5&lt;=$E131),IF(H$5-$D131+1&lt;=ROUND(($E131-$D131+1)*$F131,0),2,IF(H$5&lt;CFG_CurWeek,3,1)),""))</f>
        <v/>
      </c>
      <c r="I131" s="66" t="str">
        <f aca="false">IF(OR($D131="",$E131=""),"",IF(AND(I$5&gt;=$D131,I$5&lt;=$E131),IF(I$5-$D131+1&lt;=ROUND(($E131-$D131+1)*$F131,0),2,IF(I$5&lt;CFG_CurWeek,3,1)),""))</f>
        <v/>
      </c>
      <c r="J131" s="66" t="str">
        <f aca="false">IF(OR($D131="",$E131=""),"",IF(AND(J$5&gt;=$D131,J$5&lt;=$E131),IF(J$5-$D131+1&lt;=ROUND(($E131-$D131+1)*$F131,0),2,IF(J$5&lt;CFG_CurWeek,3,1)),""))</f>
        <v/>
      </c>
      <c r="K131" s="66" t="str">
        <f aca="false">IF(OR($D131="",$E131=""),"",IF(AND(K$5&gt;=$D131,K$5&lt;=$E131),IF(K$5-$D131+1&lt;=ROUND(($E131-$D131+1)*$F131,0),2,IF(K$5&lt;CFG_CurWeek,3,1)),""))</f>
        <v/>
      </c>
      <c r="L131" s="66" t="str">
        <f aca="false">IF(OR($D131="",$E131=""),"",IF(AND(L$5&gt;=$D131,L$5&lt;=$E131),IF(L$5-$D131+1&lt;=ROUND(($E131-$D131+1)*$F131,0),2,IF(L$5&lt;CFG_CurWeek,3,1)),""))</f>
        <v/>
      </c>
      <c r="M131" s="66" t="str">
        <f aca="false">IF(OR($D131="",$E131=""),"",IF(AND(M$5&gt;=$D131,M$5&lt;=$E131),IF(M$5-$D131+1&lt;=ROUND(($E131-$D131+1)*$F131,0),2,IF(M$5&lt;CFG_CurWeek,3,1)),""))</f>
        <v/>
      </c>
      <c r="N131" s="66" t="str">
        <f aca="false">IF(OR($D131="",$E131=""),"",IF(AND(N$5&gt;=$D131,N$5&lt;=$E131),IF(N$5-$D131+1&lt;=ROUND(($E131-$D131+1)*$F131,0),2,IF(N$5&lt;CFG_CurWeek,3,1)),""))</f>
        <v/>
      </c>
      <c r="O131" s="66" t="str">
        <f aca="false">IF(OR($D131="",$E131=""),"",IF(AND(O$5&gt;=$D131,O$5&lt;=$E131),IF(O$5-$D131+1&lt;=ROUND(($E131-$D131+1)*$F131,0),2,IF(O$5&lt;CFG_CurWeek,3,1)),""))</f>
        <v/>
      </c>
      <c r="P131" s="66" t="str">
        <f aca="false">IF(OR($D131="",$E131=""),"",IF(AND(P$5&gt;=$D131,P$5&lt;=$E131),IF(P$5-$D131+1&lt;=ROUND(($E131-$D131+1)*$F131,0),2,IF(P$5&lt;CFG_CurWeek,3,1)),""))</f>
        <v/>
      </c>
      <c r="Q131" s="66" t="str">
        <f aca="false">IF(OR($D131="",$E131=""),"",IF(AND(Q$5&gt;=$D131,Q$5&lt;=$E131),IF(Q$5-$D131+1&lt;=ROUND(($E131-$D131+1)*$F131,0),2,IF(Q$5&lt;CFG_CurWeek,3,1)),""))</f>
        <v/>
      </c>
      <c r="R131" s="66" t="str">
        <f aca="false">IF(OR($D131="",$E131=""),"",IF(AND(R$5&gt;=$D131,R$5&lt;=$E131),IF(R$5-$D131+1&lt;=ROUND(($E131-$D131+1)*$F131,0),2,IF(R$5&lt;CFG_CurWeek,3,1)),""))</f>
        <v/>
      </c>
      <c r="S131" s="66" t="str">
        <f aca="false">IF(OR($D131="",$E131=""),"",IF(AND(S$5&gt;=$D131,S$5&lt;=$E131),IF(S$5-$D131+1&lt;=ROUND(($E131-$D131+1)*$F131,0),2,IF(S$5&lt;CFG_CurWeek,3,1)),""))</f>
        <v/>
      </c>
      <c r="T131" s="66" t="str">
        <f aca="false">IF(OR($D131="",$E131=""),"",IF(AND(T$5&gt;=$D131,T$5&lt;=$E131),IF(T$5-$D131+1&lt;=ROUND(($E131-$D131+1)*$F131,0),2,IF(T$5&lt;CFG_CurWeek,3,1)),""))</f>
        <v/>
      </c>
      <c r="U131" s="66" t="str">
        <f aca="false">IF(OR($D131="",$E131=""),"",IF(AND(U$5&gt;=$D131,U$5&lt;=$E131),IF(U$5-$D131+1&lt;=ROUND(($E131-$D131+1)*$F131,0),2,IF(U$5&lt;CFG_CurWeek,3,1)),""))</f>
        <v/>
      </c>
      <c r="V131" s="66" t="str">
        <f aca="false">IF(OR($D131="",$E131=""),"",IF(AND(V$5&gt;=$D131,V$5&lt;=$E131),IF(V$5-$D131+1&lt;=ROUND(($E131-$D131+1)*$F131,0),2,IF(V$5&lt;CFG_CurWeek,3,1)),""))</f>
        <v/>
      </c>
      <c r="W131" s="66" t="str">
        <f aca="false">IF(OR($D131="",$E131=""),"",IF(AND(W$5&gt;=$D131,W$5&lt;=$E131),IF(W$5-$D131+1&lt;=ROUND(($E131-$D131+1)*$F131,0),2,IF(W$5&lt;CFG_CurWeek,3,1)),""))</f>
        <v/>
      </c>
      <c r="X131" s="66" t="str">
        <f aca="false">IF(OR($D131="",$E131=""),"",IF(AND(X$5&gt;=$D131,X$5&lt;=$E131),IF(X$5-$D131+1&lt;=ROUND(($E131-$D131+1)*$F131,0),2,IF(X$5&lt;CFG_CurWeek,3,1)),""))</f>
        <v/>
      </c>
      <c r="Y131" s="66" t="str">
        <f aca="false">IF(OR($D131="",$E131=""),"",IF(AND(Y$5&gt;=$D131,Y$5&lt;=$E131),IF(Y$5-$D131+1&lt;=ROUND(($E131-$D131+1)*$F131,0),2,IF(Y$5&lt;CFG_CurWeek,3,1)),""))</f>
        <v/>
      </c>
      <c r="Z131" s="66" t="str">
        <f aca="false">IF(OR($D131="",$E131=""),"",IF(AND(Z$5&gt;=$D131,Z$5&lt;=$E131),IF(Z$5-$D131+1&lt;=ROUND(($E131-$D131+1)*$F131,0),2,IF(Z$5&lt;CFG_CurWeek,3,1)),""))</f>
        <v/>
      </c>
      <c r="AA131" s="66" t="str">
        <f aca="false">IF(OR($D131="",$E131=""),"",IF(AND(AA$5&gt;=$D131,AA$5&lt;=$E131),IF(AA$5-$D131+1&lt;=ROUND(($E131-$D131+1)*$F131,0),2,IF(AA$5&lt;CFG_CurWeek,3,1)),""))</f>
        <v/>
      </c>
      <c r="AB131" s="66" t="str">
        <f aca="false">IF(OR($D131="",$E131=""),"",IF(AND(AB$5&gt;=$D131,AB$5&lt;=$E131),IF(AB$5-$D131+1&lt;=ROUND(($E131-$D131+1)*$F131,0),2,IF(AB$5&lt;CFG_CurWeek,3,1)),""))</f>
        <v/>
      </c>
      <c r="AC131" s="66" t="str">
        <f aca="false">IF(OR($D131="",$E131=""),"",IF(AND(AC$5&gt;=$D131,AC$5&lt;=$E131),IF(AC$5-$D131+1&lt;=ROUND(($E131-$D131+1)*$F131,0),2,IF(AC$5&lt;CFG_CurWeek,3,1)),""))</f>
        <v/>
      </c>
      <c r="AD131" s="66" t="str">
        <f aca="false">IF(OR($D131="",$E131=""),"",IF(AND(AD$5&gt;=$D131,AD$5&lt;=$E131),IF(AD$5-$D131+1&lt;=ROUND(($E131-$D131+1)*$F131,0),2,IF(AD$5&lt;CFG_CurWeek,3,1)),""))</f>
        <v/>
      </c>
      <c r="AE131" s="66" t="str">
        <f aca="false">IF(OR($D131="",$E131=""),"",IF(AND(AE$5&gt;=$D131,AE$5&lt;=$E131),IF(AE$5-$D131+1&lt;=ROUND(($E131-$D131+1)*$F131,0),2,IF(AE$5&lt;CFG_CurWeek,3,1)),""))</f>
        <v/>
      </c>
      <c r="AF131" s="66" t="str">
        <f aca="false">IF(OR($D131="",$E131=""),"",IF(AND(AF$5&gt;=$D131,AF$5&lt;=$E131),IF(AF$5-$D131+1&lt;=ROUND(($E131-$D131+1)*$F131,0),2,IF(AF$5&lt;CFG_CurWeek,3,1)),""))</f>
        <v/>
      </c>
      <c r="AG131" s="66" t="str">
        <f aca="false">IF(OR($D131="",$E131=""),"",IF(AND(AG$5&gt;=$D131,AG$5&lt;=$E131),IF(AG$5-$D131+1&lt;=ROUND(($E131-$D131+1)*$F131,0),2,IF(AG$5&lt;CFG_CurWeek,3,1)),""))</f>
        <v/>
      </c>
      <c r="AH131" s="66" t="str">
        <f aca="false">IF(OR($D131="",$E131=""),"",IF(AND(AH$5&gt;=$D131,AH$5&lt;=$E131),IF(AH$5-$D131+1&lt;=ROUND(($E131-$D131+1)*$F131,0),2,IF(AH$5&lt;CFG_CurWeek,3,1)),""))</f>
        <v/>
      </c>
      <c r="AI131" s="66" t="str">
        <f aca="false">IF(OR($D131="",$E131=""),"",IF(AND(AI$5&gt;=$D131,AI$5&lt;=$E131),IF(AI$5-$D131+1&lt;=ROUND(($E131-$D131+1)*$F131,0),2,IF(AI$5&lt;CFG_CurWeek,3,1)),""))</f>
        <v/>
      </c>
      <c r="AJ131" s="66" t="str">
        <f aca="false">IF(OR($D131="",$E131=""),"",IF(AND(AJ$5&gt;=$D131,AJ$5&lt;=$E131),IF(AJ$5-$D131+1&lt;=ROUND(($E131-$D131+1)*$F131,0),2,IF(AJ$5&lt;CFG_CurWeek,3,1)),""))</f>
        <v/>
      </c>
      <c r="AK131" s="66" t="str">
        <f aca="false">IF(OR($D131="",$E131=""),"",IF(AND(AK$5&gt;=$D131,AK$5&lt;=$E131),IF(AK$5-$D131+1&lt;=ROUND(($E131-$D131+1)*$F131,0),2,IF(AK$5&lt;CFG_CurWeek,3,1)),""))</f>
        <v/>
      </c>
      <c r="AL131" s="66" t="str">
        <f aca="false">IF(OR($D131="",$E131=""),"",IF(AND(AL$5&gt;=$D131,AL$5&lt;=$E131),IF(AL$5-$D131+1&lt;=ROUND(($E131-$D131+1)*$F131,0),2,IF(AL$5&lt;CFG_CurWeek,3,1)),""))</f>
        <v/>
      </c>
      <c r="AM131" s="66" t="str">
        <f aca="false">IF(OR($D131="",$E131=""),"",IF(AND(AM$5&gt;=$D131,AM$5&lt;=$E131),IF(AM$5-$D131+1&lt;=ROUND(($E131-$D131+1)*$F131,0),2,IF(AM$5&lt;CFG_CurWeek,3,1)),""))</f>
        <v/>
      </c>
      <c r="AN131" s="66" t="str">
        <f aca="false">IF(OR($D131="",$E131=""),"",IF(AND(AN$5&gt;=$D131,AN$5&lt;=$E131),IF(AN$5-$D131+1&lt;=ROUND(($E131-$D131+1)*$F131,0),2,IF(AN$5&lt;CFG_CurWeek,3,1)),""))</f>
        <v/>
      </c>
      <c r="AO131" s="66" t="str">
        <f aca="false">IF(OR($D131="",$E131=""),"",IF(AND(AO$5&gt;=$D131,AO$5&lt;=$E131),IF(AO$5-$D131+1&lt;=ROUND(($E131-$D131+1)*$F131,0),2,IF(AO$5&lt;CFG_CurWeek,3,1)),""))</f>
        <v/>
      </c>
    </row>
    <row r="132" customFormat="false" ht="15" hidden="false" customHeight="false" outlineLevel="0" collapsed="false">
      <c r="A132" s="63" t="str">
        <f aca="false">IF('01_WBS &amp; Master Plan'!A129="","",'01_WBS &amp; Master Plan'!A129)</f>
        <v/>
      </c>
      <c r="B132" s="64" t="str">
        <f aca="false">IF('01_WBS &amp; Master Plan'!D129="","",'01_WBS &amp; Master Plan'!D129)</f>
        <v/>
      </c>
      <c r="C132" s="63" t="str">
        <f aca="false">IF('01_WBS &amp; Master Plan'!E129="","",'01_WBS &amp; Master Plan'!E129)</f>
        <v/>
      </c>
      <c r="D132" s="63" t="str">
        <f aca="false">IF('01_WBS &amp; Master Plan'!H129="","",'01_WBS &amp; Master Plan'!H129)</f>
        <v/>
      </c>
      <c r="E132" s="63" t="str">
        <f aca="false">IF('01_WBS &amp; Master Plan'!I129="","",'01_WBS &amp; Master Plan'!I129)</f>
        <v/>
      </c>
      <c r="F132" s="65" t="str">
        <f aca="false">IF(B132="","",IF('01_WBS &amp; Master Plan'!K129="Done",1,IF('01_WBS &amp; Master Plan'!L129="",0,'01_WBS &amp; Master Plan'!L129)))</f>
        <v/>
      </c>
      <c r="G132" s="63" t="str">
        <f aca="false">IF('01_WBS &amp; Master Plan'!K129="","",'01_WBS &amp; Master Plan'!K129)</f>
        <v/>
      </c>
      <c r="H132" s="66" t="str">
        <f aca="false">IF(OR($D132="",$E132=""),"",IF(AND(H$5&gt;=$D132,H$5&lt;=$E132),IF(H$5-$D132+1&lt;=ROUND(($E132-$D132+1)*$F132,0),2,IF(H$5&lt;CFG_CurWeek,3,1)),""))</f>
        <v/>
      </c>
      <c r="I132" s="66" t="str">
        <f aca="false">IF(OR($D132="",$E132=""),"",IF(AND(I$5&gt;=$D132,I$5&lt;=$E132),IF(I$5-$D132+1&lt;=ROUND(($E132-$D132+1)*$F132,0),2,IF(I$5&lt;CFG_CurWeek,3,1)),""))</f>
        <v/>
      </c>
      <c r="J132" s="66" t="str">
        <f aca="false">IF(OR($D132="",$E132=""),"",IF(AND(J$5&gt;=$D132,J$5&lt;=$E132),IF(J$5-$D132+1&lt;=ROUND(($E132-$D132+1)*$F132,0),2,IF(J$5&lt;CFG_CurWeek,3,1)),""))</f>
        <v/>
      </c>
      <c r="K132" s="66" t="str">
        <f aca="false">IF(OR($D132="",$E132=""),"",IF(AND(K$5&gt;=$D132,K$5&lt;=$E132),IF(K$5-$D132+1&lt;=ROUND(($E132-$D132+1)*$F132,0),2,IF(K$5&lt;CFG_CurWeek,3,1)),""))</f>
        <v/>
      </c>
      <c r="L132" s="66" t="str">
        <f aca="false">IF(OR($D132="",$E132=""),"",IF(AND(L$5&gt;=$D132,L$5&lt;=$E132),IF(L$5-$D132+1&lt;=ROUND(($E132-$D132+1)*$F132,0),2,IF(L$5&lt;CFG_CurWeek,3,1)),""))</f>
        <v/>
      </c>
      <c r="M132" s="66" t="str">
        <f aca="false">IF(OR($D132="",$E132=""),"",IF(AND(M$5&gt;=$D132,M$5&lt;=$E132),IF(M$5-$D132+1&lt;=ROUND(($E132-$D132+1)*$F132,0),2,IF(M$5&lt;CFG_CurWeek,3,1)),""))</f>
        <v/>
      </c>
      <c r="N132" s="66" t="str">
        <f aca="false">IF(OR($D132="",$E132=""),"",IF(AND(N$5&gt;=$D132,N$5&lt;=$E132),IF(N$5-$D132+1&lt;=ROUND(($E132-$D132+1)*$F132,0),2,IF(N$5&lt;CFG_CurWeek,3,1)),""))</f>
        <v/>
      </c>
      <c r="O132" s="66" t="str">
        <f aca="false">IF(OR($D132="",$E132=""),"",IF(AND(O$5&gt;=$D132,O$5&lt;=$E132),IF(O$5-$D132+1&lt;=ROUND(($E132-$D132+1)*$F132,0),2,IF(O$5&lt;CFG_CurWeek,3,1)),""))</f>
        <v/>
      </c>
      <c r="P132" s="66" t="str">
        <f aca="false">IF(OR($D132="",$E132=""),"",IF(AND(P$5&gt;=$D132,P$5&lt;=$E132),IF(P$5-$D132+1&lt;=ROUND(($E132-$D132+1)*$F132,0),2,IF(P$5&lt;CFG_CurWeek,3,1)),""))</f>
        <v/>
      </c>
      <c r="Q132" s="66" t="str">
        <f aca="false">IF(OR($D132="",$E132=""),"",IF(AND(Q$5&gt;=$D132,Q$5&lt;=$E132),IF(Q$5-$D132+1&lt;=ROUND(($E132-$D132+1)*$F132,0),2,IF(Q$5&lt;CFG_CurWeek,3,1)),""))</f>
        <v/>
      </c>
      <c r="R132" s="66" t="str">
        <f aca="false">IF(OR($D132="",$E132=""),"",IF(AND(R$5&gt;=$D132,R$5&lt;=$E132),IF(R$5-$D132+1&lt;=ROUND(($E132-$D132+1)*$F132,0),2,IF(R$5&lt;CFG_CurWeek,3,1)),""))</f>
        <v/>
      </c>
      <c r="S132" s="66" t="str">
        <f aca="false">IF(OR($D132="",$E132=""),"",IF(AND(S$5&gt;=$D132,S$5&lt;=$E132),IF(S$5-$D132+1&lt;=ROUND(($E132-$D132+1)*$F132,0),2,IF(S$5&lt;CFG_CurWeek,3,1)),""))</f>
        <v/>
      </c>
      <c r="T132" s="66" t="str">
        <f aca="false">IF(OR($D132="",$E132=""),"",IF(AND(T$5&gt;=$D132,T$5&lt;=$E132),IF(T$5-$D132+1&lt;=ROUND(($E132-$D132+1)*$F132,0),2,IF(T$5&lt;CFG_CurWeek,3,1)),""))</f>
        <v/>
      </c>
      <c r="U132" s="66" t="str">
        <f aca="false">IF(OR($D132="",$E132=""),"",IF(AND(U$5&gt;=$D132,U$5&lt;=$E132),IF(U$5-$D132+1&lt;=ROUND(($E132-$D132+1)*$F132,0),2,IF(U$5&lt;CFG_CurWeek,3,1)),""))</f>
        <v/>
      </c>
      <c r="V132" s="66" t="str">
        <f aca="false">IF(OR($D132="",$E132=""),"",IF(AND(V$5&gt;=$D132,V$5&lt;=$E132),IF(V$5-$D132+1&lt;=ROUND(($E132-$D132+1)*$F132,0),2,IF(V$5&lt;CFG_CurWeek,3,1)),""))</f>
        <v/>
      </c>
      <c r="W132" s="66" t="str">
        <f aca="false">IF(OR($D132="",$E132=""),"",IF(AND(W$5&gt;=$D132,W$5&lt;=$E132),IF(W$5-$D132+1&lt;=ROUND(($E132-$D132+1)*$F132,0),2,IF(W$5&lt;CFG_CurWeek,3,1)),""))</f>
        <v/>
      </c>
      <c r="X132" s="66" t="str">
        <f aca="false">IF(OR($D132="",$E132=""),"",IF(AND(X$5&gt;=$D132,X$5&lt;=$E132),IF(X$5-$D132+1&lt;=ROUND(($E132-$D132+1)*$F132,0),2,IF(X$5&lt;CFG_CurWeek,3,1)),""))</f>
        <v/>
      </c>
      <c r="Y132" s="66" t="str">
        <f aca="false">IF(OR($D132="",$E132=""),"",IF(AND(Y$5&gt;=$D132,Y$5&lt;=$E132),IF(Y$5-$D132+1&lt;=ROUND(($E132-$D132+1)*$F132,0),2,IF(Y$5&lt;CFG_CurWeek,3,1)),""))</f>
        <v/>
      </c>
      <c r="Z132" s="66" t="str">
        <f aca="false">IF(OR($D132="",$E132=""),"",IF(AND(Z$5&gt;=$D132,Z$5&lt;=$E132),IF(Z$5-$D132+1&lt;=ROUND(($E132-$D132+1)*$F132,0),2,IF(Z$5&lt;CFG_CurWeek,3,1)),""))</f>
        <v/>
      </c>
      <c r="AA132" s="66" t="str">
        <f aca="false">IF(OR($D132="",$E132=""),"",IF(AND(AA$5&gt;=$D132,AA$5&lt;=$E132),IF(AA$5-$D132+1&lt;=ROUND(($E132-$D132+1)*$F132,0),2,IF(AA$5&lt;CFG_CurWeek,3,1)),""))</f>
        <v/>
      </c>
      <c r="AB132" s="66" t="str">
        <f aca="false">IF(OR($D132="",$E132=""),"",IF(AND(AB$5&gt;=$D132,AB$5&lt;=$E132),IF(AB$5-$D132+1&lt;=ROUND(($E132-$D132+1)*$F132,0),2,IF(AB$5&lt;CFG_CurWeek,3,1)),""))</f>
        <v/>
      </c>
      <c r="AC132" s="66" t="str">
        <f aca="false">IF(OR($D132="",$E132=""),"",IF(AND(AC$5&gt;=$D132,AC$5&lt;=$E132),IF(AC$5-$D132+1&lt;=ROUND(($E132-$D132+1)*$F132,0),2,IF(AC$5&lt;CFG_CurWeek,3,1)),""))</f>
        <v/>
      </c>
      <c r="AD132" s="66" t="str">
        <f aca="false">IF(OR($D132="",$E132=""),"",IF(AND(AD$5&gt;=$D132,AD$5&lt;=$E132),IF(AD$5-$D132+1&lt;=ROUND(($E132-$D132+1)*$F132,0),2,IF(AD$5&lt;CFG_CurWeek,3,1)),""))</f>
        <v/>
      </c>
      <c r="AE132" s="66" t="str">
        <f aca="false">IF(OR($D132="",$E132=""),"",IF(AND(AE$5&gt;=$D132,AE$5&lt;=$E132),IF(AE$5-$D132+1&lt;=ROUND(($E132-$D132+1)*$F132,0),2,IF(AE$5&lt;CFG_CurWeek,3,1)),""))</f>
        <v/>
      </c>
      <c r="AF132" s="66" t="str">
        <f aca="false">IF(OR($D132="",$E132=""),"",IF(AND(AF$5&gt;=$D132,AF$5&lt;=$E132),IF(AF$5-$D132+1&lt;=ROUND(($E132-$D132+1)*$F132,0),2,IF(AF$5&lt;CFG_CurWeek,3,1)),""))</f>
        <v/>
      </c>
      <c r="AG132" s="66" t="str">
        <f aca="false">IF(OR($D132="",$E132=""),"",IF(AND(AG$5&gt;=$D132,AG$5&lt;=$E132),IF(AG$5-$D132+1&lt;=ROUND(($E132-$D132+1)*$F132,0),2,IF(AG$5&lt;CFG_CurWeek,3,1)),""))</f>
        <v/>
      </c>
      <c r="AH132" s="66" t="str">
        <f aca="false">IF(OR($D132="",$E132=""),"",IF(AND(AH$5&gt;=$D132,AH$5&lt;=$E132),IF(AH$5-$D132+1&lt;=ROUND(($E132-$D132+1)*$F132,0),2,IF(AH$5&lt;CFG_CurWeek,3,1)),""))</f>
        <v/>
      </c>
      <c r="AI132" s="66" t="str">
        <f aca="false">IF(OR($D132="",$E132=""),"",IF(AND(AI$5&gt;=$D132,AI$5&lt;=$E132),IF(AI$5-$D132+1&lt;=ROUND(($E132-$D132+1)*$F132,0),2,IF(AI$5&lt;CFG_CurWeek,3,1)),""))</f>
        <v/>
      </c>
      <c r="AJ132" s="66" t="str">
        <f aca="false">IF(OR($D132="",$E132=""),"",IF(AND(AJ$5&gt;=$D132,AJ$5&lt;=$E132),IF(AJ$5-$D132+1&lt;=ROUND(($E132-$D132+1)*$F132,0),2,IF(AJ$5&lt;CFG_CurWeek,3,1)),""))</f>
        <v/>
      </c>
      <c r="AK132" s="66" t="str">
        <f aca="false">IF(OR($D132="",$E132=""),"",IF(AND(AK$5&gt;=$D132,AK$5&lt;=$E132),IF(AK$5-$D132+1&lt;=ROUND(($E132-$D132+1)*$F132,0),2,IF(AK$5&lt;CFG_CurWeek,3,1)),""))</f>
        <v/>
      </c>
      <c r="AL132" s="66" t="str">
        <f aca="false">IF(OR($D132="",$E132=""),"",IF(AND(AL$5&gt;=$D132,AL$5&lt;=$E132),IF(AL$5-$D132+1&lt;=ROUND(($E132-$D132+1)*$F132,0),2,IF(AL$5&lt;CFG_CurWeek,3,1)),""))</f>
        <v/>
      </c>
      <c r="AM132" s="66" t="str">
        <f aca="false">IF(OR($D132="",$E132=""),"",IF(AND(AM$5&gt;=$D132,AM$5&lt;=$E132),IF(AM$5-$D132+1&lt;=ROUND(($E132-$D132+1)*$F132,0),2,IF(AM$5&lt;CFG_CurWeek,3,1)),""))</f>
        <v/>
      </c>
      <c r="AN132" s="66" t="str">
        <f aca="false">IF(OR($D132="",$E132=""),"",IF(AND(AN$5&gt;=$D132,AN$5&lt;=$E132),IF(AN$5-$D132+1&lt;=ROUND(($E132-$D132+1)*$F132,0),2,IF(AN$5&lt;CFG_CurWeek,3,1)),""))</f>
        <v/>
      </c>
      <c r="AO132" s="66" t="str">
        <f aca="false">IF(OR($D132="",$E132=""),"",IF(AND(AO$5&gt;=$D132,AO$5&lt;=$E132),IF(AO$5-$D132+1&lt;=ROUND(($E132-$D132+1)*$F132,0),2,IF(AO$5&lt;CFG_CurWeek,3,1)),""))</f>
        <v/>
      </c>
    </row>
    <row r="133" customFormat="false" ht="15" hidden="false" customHeight="false" outlineLevel="0" collapsed="false">
      <c r="A133" s="63" t="str">
        <f aca="false">IF('01_WBS &amp; Master Plan'!A130="","",'01_WBS &amp; Master Plan'!A130)</f>
        <v/>
      </c>
      <c r="B133" s="64" t="str">
        <f aca="false">IF('01_WBS &amp; Master Plan'!D130="","",'01_WBS &amp; Master Plan'!D130)</f>
        <v/>
      </c>
      <c r="C133" s="63" t="str">
        <f aca="false">IF('01_WBS &amp; Master Plan'!E130="","",'01_WBS &amp; Master Plan'!E130)</f>
        <v/>
      </c>
      <c r="D133" s="63" t="str">
        <f aca="false">IF('01_WBS &amp; Master Plan'!H130="","",'01_WBS &amp; Master Plan'!H130)</f>
        <v/>
      </c>
      <c r="E133" s="63" t="str">
        <f aca="false">IF('01_WBS &amp; Master Plan'!I130="","",'01_WBS &amp; Master Plan'!I130)</f>
        <v/>
      </c>
      <c r="F133" s="65" t="str">
        <f aca="false">IF(B133="","",IF('01_WBS &amp; Master Plan'!K130="Done",1,IF('01_WBS &amp; Master Plan'!L130="",0,'01_WBS &amp; Master Plan'!L130)))</f>
        <v/>
      </c>
      <c r="G133" s="63" t="str">
        <f aca="false">IF('01_WBS &amp; Master Plan'!K130="","",'01_WBS &amp; Master Plan'!K130)</f>
        <v/>
      </c>
      <c r="H133" s="66" t="str">
        <f aca="false">IF(OR($D133="",$E133=""),"",IF(AND(H$5&gt;=$D133,H$5&lt;=$E133),IF(H$5-$D133+1&lt;=ROUND(($E133-$D133+1)*$F133,0),2,IF(H$5&lt;CFG_CurWeek,3,1)),""))</f>
        <v/>
      </c>
      <c r="I133" s="66" t="str">
        <f aca="false">IF(OR($D133="",$E133=""),"",IF(AND(I$5&gt;=$D133,I$5&lt;=$E133),IF(I$5-$D133+1&lt;=ROUND(($E133-$D133+1)*$F133,0),2,IF(I$5&lt;CFG_CurWeek,3,1)),""))</f>
        <v/>
      </c>
      <c r="J133" s="66" t="str">
        <f aca="false">IF(OR($D133="",$E133=""),"",IF(AND(J$5&gt;=$D133,J$5&lt;=$E133),IF(J$5-$D133+1&lt;=ROUND(($E133-$D133+1)*$F133,0),2,IF(J$5&lt;CFG_CurWeek,3,1)),""))</f>
        <v/>
      </c>
      <c r="K133" s="66" t="str">
        <f aca="false">IF(OR($D133="",$E133=""),"",IF(AND(K$5&gt;=$D133,K$5&lt;=$E133),IF(K$5-$D133+1&lt;=ROUND(($E133-$D133+1)*$F133,0),2,IF(K$5&lt;CFG_CurWeek,3,1)),""))</f>
        <v/>
      </c>
      <c r="L133" s="66" t="str">
        <f aca="false">IF(OR($D133="",$E133=""),"",IF(AND(L$5&gt;=$D133,L$5&lt;=$E133),IF(L$5-$D133+1&lt;=ROUND(($E133-$D133+1)*$F133,0),2,IF(L$5&lt;CFG_CurWeek,3,1)),""))</f>
        <v/>
      </c>
      <c r="M133" s="66" t="str">
        <f aca="false">IF(OR($D133="",$E133=""),"",IF(AND(M$5&gt;=$D133,M$5&lt;=$E133),IF(M$5-$D133+1&lt;=ROUND(($E133-$D133+1)*$F133,0),2,IF(M$5&lt;CFG_CurWeek,3,1)),""))</f>
        <v/>
      </c>
      <c r="N133" s="66" t="str">
        <f aca="false">IF(OR($D133="",$E133=""),"",IF(AND(N$5&gt;=$D133,N$5&lt;=$E133),IF(N$5-$D133+1&lt;=ROUND(($E133-$D133+1)*$F133,0),2,IF(N$5&lt;CFG_CurWeek,3,1)),""))</f>
        <v/>
      </c>
      <c r="O133" s="66" t="str">
        <f aca="false">IF(OR($D133="",$E133=""),"",IF(AND(O$5&gt;=$D133,O$5&lt;=$E133),IF(O$5-$D133+1&lt;=ROUND(($E133-$D133+1)*$F133,0),2,IF(O$5&lt;CFG_CurWeek,3,1)),""))</f>
        <v/>
      </c>
      <c r="P133" s="66" t="str">
        <f aca="false">IF(OR($D133="",$E133=""),"",IF(AND(P$5&gt;=$D133,P$5&lt;=$E133),IF(P$5-$D133+1&lt;=ROUND(($E133-$D133+1)*$F133,0),2,IF(P$5&lt;CFG_CurWeek,3,1)),""))</f>
        <v/>
      </c>
      <c r="Q133" s="66" t="str">
        <f aca="false">IF(OR($D133="",$E133=""),"",IF(AND(Q$5&gt;=$D133,Q$5&lt;=$E133),IF(Q$5-$D133+1&lt;=ROUND(($E133-$D133+1)*$F133,0),2,IF(Q$5&lt;CFG_CurWeek,3,1)),""))</f>
        <v/>
      </c>
      <c r="R133" s="66" t="str">
        <f aca="false">IF(OR($D133="",$E133=""),"",IF(AND(R$5&gt;=$D133,R$5&lt;=$E133),IF(R$5-$D133+1&lt;=ROUND(($E133-$D133+1)*$F133,0),2,IF(R$5&lt;CFG_CurWeek,3,1)),""))</f>
        <v/>
      </c>
      <c r="S133" s="66" t="str">
        <f aca="false">IF(OR($D133="",$E133=""),"",IF(AND(S$5&gt;=$D133,S$5&lt;=$E133),IF(S$5-$D133+1&lt;=ROUND(($E133-$D133+1)*$F133,0),2,IF(S$5&lt;CFG_CurWeek,3,1)),""))</f>
        <v/>
      </c>
      <c r="T133" s="66" t="str">
        <f aca="false">IF(OR($D133="",$E133=""),"",IF(AND(T$5&gt;=$D133,T$5&lt;=$E133),IF(T$5-$D133+1&lt;=ROUND(($E133-$D133+1)*$F133,0),2,IF(T$5&lt;CFG_CurWeek,3,1)),""))</f>
        <v/>
      </c>
      <c r="U133" s="66" t="str">
        <f aca="false">IF(OR($D133="",$E133=""),"",IF(AND(U$5&gt;=$D133,U$5&lt;=$E133),IF(U$5-$D133+1&lt;=ROUND(($E133-$D133+1)*$F133,0),2,IF(U$5&lt;CFG_CurWeek,3,1)),""))</f>
        <v/>
      </c>
      <c r="V133" s="66" t="str">
        <f aca="false">IF(OR($D133="",$E133=""),"",IF(AND(V$5&gt;=$D133,V$5&lt;=$E133),IF(V$5-$D133+1&lt;=ROUND(($E133-$D133+1)*$F133,0),2,IF(V$5&lt;CFG_CurWeek,3,1)),""))</f>
        <v/>
      </c>
      <c r="W133" s="66" t="str">
        <f aca="false">IF(OR($D133="",$E133=""),"",IF(AND(W$5&gt;=$D133,W$5&lt;=$E133),IF(W$5-$D133+1&lt;=ROUND(($E133-$D133+1)*$F133,0),2,IF(W$5&lt;CFG_CurWeek,3,1)),""))</f>
        <v/>
      </c>
      <c r="X133" s="66" t="str">
        <f aca="false">IF(OR($D133="",$E133=""),"",IF(AND(X$5&gt;=$D133,X$5&lt;=$E133),IF(X$5-$D133+1&lt;=ROUND(($E133-$D133+1)*$F133,0),2,IF(X$5&lt;CFG_CurWeek,3,1)),""))</f>
        <v/>
      </c>
      <c r="Y133" s="66" t="str">
        <f aca="false">IF(OR($D133="",$E133=""),"",IF(AND(Y$5&gt;=$D133,Y$5&lt;=$E133),IF(Y$5-$D133+1&lt;=ROUND(($E133-$D133+1)*$F133,0),2,IF(Y$5&lt;CFG_CurWeek,3,1)),""))</f>
        <v/>
      </c>
      <c r="Z133" s="66" t="str">
        <f aca="false">IF(OR($D133="",$E133=""),"",IF(AND(Z$5&gt;=$D133,Z$5&lt;=$E133),IF(Z$5-$D133+1&lt;=ROUND(($E133-$D133+1)*$F133,0),2,IF(Z$5&lt;CFG_CurWeek,3,1)),""))</f>
        <v/>
      </c>
      <c r="AA133" s="66" t="str">
        <f aca="false">IF(OR($D133="",$E133=""),"",IF(AND(AA$5&gt;=$D133,AA$5&lt;=$E133),IF(AA$5-$D133+1&lt;=ROUND(($E133-$D133+1)*$F133,0),2,IF(AA$5&lt;CFG_CurWeek,3,1)),""))</f>
        <v/>
      </c>
      <c r="AB133" s="66" t="str">
        <f aca="false">IF(OR($D133="",$E133=""),"",IF(AND(AB$5&gt;=$D133,AB$5&lt;=$E133),IF(AB$5-$D133+1&lt;=ROUND(($E133-$D133+1)*$F133,0),2,IF(AB$5&lt;CFG_CurWeek,3,1)),""))</f>
        <v/>
      </c>
      <c r="AC133" s="66" t="str">
        <f aca="false">IF(OR($D133="",$E133=""),"",IF(AND(AC$5&gt;=$D133,AC$5&lt;=$E133),IF(AC$5-$D133+1&lt;=ROUND(($E133-$D133+1)*$F133,0),2,IF(AC$5&lt;CFG_CurWeek,3,1)),""))</f>
        <v/>
      </c>
      <c r="AD133" s="66" t="str">
        <f aca="false">IF(OR($D133="",$E133=""),"",IF(AND(AD$5&gt;=$D133,AD$5&lt;=$E133),IF(AD$5-$D133+1&lt;=ROUND(($E133-$D133+1)*$F133,0),2,IF(AD$5&lt;CFG_CurWeek,3,1)),""))</f>
        <v/>
      </c>
      <c r="AE133" s="66" t="str">
        <f aca="false">IF(OR($D133="",$E133=""),"",IF(AND(AE$5&gt;=$D133,AE$5&lt;=$E133),IF(AE$5-$D133+1&lt;=ROUND(($E133-$D133+1)*$F133,0),2,IF(AE$5&lt;CFG_CurWeek,3,1)),""))</f>
        <v/>
      </c>
      <c r="AF133" s="66" t="str">
        <f aca="false">IF(OR($D133="",$E133=""),"",IF(AND(AF$5&gt;=$D133,AF$5&lt;=$E133),IF(AF$5-$D133+1&lt;=ROUND(($E133-$D133+1)*$F133,0),2,IF(AF$5&lt;CFG_CurWeek,3,1)),""))</f>
        <v/>
      </c>
      <c r="AG133" s="66" t="str">
        <f aca="false">IF(OR($D133="",$E133=""),"",IF(AND(AG$5&gt;=$D133,AG$5&lt;=$E133),IF(AG$5-$D133+1&lt;=ROUND(($E133-$D133+1)*$F133,0),2,IF(AG$5&lt;CFG_CurWeek,3,1)),""))</f>
        <v/>
      </c>
      <c r="AH133" s="66" t="str">
        <f aca="false">IF(OR($D133="",$E133=""),"",IF(AND(AH$5&gt;=$D133,AH$5&lt;=$E133),IF(AH$5-$D133+1&lt;=ROUND(($E133-$D133+1)*$F133,0),2,IF(AH$5&lt;CFG_CurWeek,3,1)),""))</f>
        <v/>
      </c>
      <c r="AI133" s="66" t="str">
        <f aca="false">IF(OR($D133="",$E133=""),"",IF(AND(AI$5&gt;=$D133,AI$5&lt;=$E133),IF(AI$5-$D133+1&lt;=ROUND(($E133-$D133+1)*$F133,0),2,IF(AI$5&lt;CFG_CurWeek,3,1)),""))</f>
        <v/>
      </c>
      <c r="AJ133" s="66" t="str">
        <f aca="false">IF(OR($D133="",$E133=""),"",IF(AND(AJ$5&gt;=$D133,AJ$5&lt;=$E133),IF(AJ$5-$D133+1&lt;=ROUND(($E133-$D133+1)*$F133,0),2,IF(AJ$5&lt;CFG_CurWeek,3,1)),""))</f>
        <v/>
      </c>
      <c r="AK133" s="66" t="str">
        <f aca="false">IF(OR($D133="",$E133=""),"",IF(AND(AK$5&gt;=$D133,AK$5&lt;=$E133),IF(AK$5-$D133+1&lt;=ROUND(($E133-$D133+1)*$F133,0),2,IF(AK$5&lt;CFG_CurWeek,3,1)),""))</f>
        <v/>
      </c>
      <c r="AL133" s="66" t="str">
        <f aca="false">IF(OR($D133="",$E133=""),"",IF(AND(AL$5&gt;=$D133,AL$5&lt;=$E133),IF(AL$5-$D133+1&lt;=ROUND(($E133-$D133+1)*$F133,0),2,IF(AL$5&lt;CFG_CurWeek,3,1)),""))</f>
        <v/>
      </c>
      <c r="AM133" s="66" t="str">
        <f aca="false">IF(OR($D133="",$E133=""),"",IF(AND(AM$5&gt;=$D133,AM$5&lt;=$E133),IF(AM$5-$D133+1&lt;=ROUND(($E133-$D133+1)*$F133,0),2,IF(AM$5&lt;CFG_CurWeek,3,1)),""))</f>
        <v/>
      </c>
      <c r="AN133" s="66" t="str">
        <f aca="false">IF(OR($D133="",$E133=""),"",IF(AND(AN$5&gt;=$D133,AN$5&lt;=$E133),IF(AN$5-$D133+1&lt;=ROUND(($E133-$D133+1)*$F133,0),2,IF(AN$5&lt;CFG_CurWeek,3,1)),""))</f>
        <v/>
      </c>
      <c r="AO133" s="66" t="str">
        <f aca="false">IF(OR($D133="",$E133=""),"",IF(AND(AO$5&gt;=$D133,AO$5&lt;=$E133),IF(AO$5-$D133+1&lt;=ROUND(($E133-$D133+1)*$F133,0),2,IF(AO$5&lt;CFG_CurWeek,3,1)),""))</f>
        <v/>
      </c>
    </row>
    <row r="134" customFormat="false" ht="15" hidden="false" customHeight="false" outlineLevel="0" collapsed="false">
      <c r="A134" s="63" t="str">
        <f aca="false">IF('01_WBS &amp; Master Plan'!A131="","",'01_WBS &amp; Master Plan'!A131)</f>
        <v/>
      </c>
      <c r="B134" s="64" t="str">
        <f aca="false">IF('01_WBS &amp; Master Plan'!D131="","",'01_WBS &amp; Master Plan'!D131)</f>
        <v/>
      </c>
      <c r="C134" s="63" t="str">
        <f aca="false">IF('01_WBS &amp; Master Plan'!E131="","",'01_WBS &amp; Master Plan'!E131)</f>
        <v/>
      </c>
      <c r="D134" s="63" t="str">
        <f aca="false">IF('01_WBS &amp; Master Plan'!H131="","",'01_WBS &amp; Master Plan'!H131)</f>
        <v/>
      </c>
      <c r="E134" s="63" t="str">
        <f aca="false">IF('01_WBS &amp; Master Plan'!I131="","",'01_WBS &amp; Master Plan'!I131)</f>
        <v/>
      </c>
      <c r="F134" s="65" t="str">
        <f aca="false">IF(B134="","",IF('01_WBS &amp; Master Plan'!K131="Done",1,IF('01_WBS &amp; Master Plan'!L131="",0,'01_WBS &amp; Master Plan'!L131)))</f>
        <v/>
      </c>
      <c r="G134" s="63" t="str">
        <f aca="false">IF('01_WBS &amp; Master Plan'!K131="","",'01_WBS &amp; Master Plan'!K131)</f>
        <v/>
      </c>
      <c r="H134" s="66" t="str">
        <f aca="false">IF(OR($D134="",$E134=""),"",IF(AND(H$5&gt;=$D134,H$5&lt;=$E134),IF(H$5-$D134+1&lt;=ROUND(($E134-$D134+1)*$F134,0),2,IF(H$5&lt;CFG_CurWeek,3,1)),""))</f>
        <v/>
      </c>
      <c r="I134" s="66" t="str">
        <f aca="false">IF(OR($D134="",$E134=""),"",IF(AND(I$5&gt;=$D134,I$5&lt;=$E134),IF(I$5-$D134+1&lt;=ROUND(($E134-$D134+1)*$F134,0),2,IF(I$5&lt;CFG_CurWeek,3,1)),""))</f>
        <v/>
      </c>
      <c r="J134" s="66" t="str">
        <f aca="false">IF(OR($D134="",$E134=""),"",IF(AND(J$5&gt;=$D134,J$5&lt;=$E134),IF(J$5-$D134+1&lt;=ROUND(($E134-$D134+1)*$F134,0),2,IF(J$5&lt;CFG_CurWeek,3,1)),""))</f>
        <v/>
      </c>
      <c r="K134" s="66" t="str">
        <f aca="false">IF(OR($D134="",$E134=""),"",IF(AND(K$5&gt;=$D134,K$5&lt;=$E134),IF(K$5-$D134+1&lt;=ROUND(($E134-$D134+1)*$F134,0),2,IF(K$5&lt;CFG_CurWeek,3,1)),""))</f>
        <v/>
      </c>
      <c r="L134" s="66" t="str">
        <f aca="false">IF(OR($D134="",$E134=""),"",IF(AND(L$5&gt;=$D134,L$5&lt;=$E134),IF(L$5-$D134+1&lt;=ROUND(($E134-$D134+1)*$F134,0),2,IF(L$5&lt;CFG_CurWeek,3,1)),""))</f>
        <v/>
      </c>
      <c r="M134" s="66" t="str">
        <f aca="false">IF(OR($D134="",$E134=""),"",IF(AND(M$5&gt;=$D134,M$5&lt;=$E134),IF(M$5-$D134+1&lt;=ROUND(($E134-$D134+1)*$F134,0),2,IF(M$5&lt;CFG_CurWeek,3,1)),""))</f>
        <v/>
      </c>
      <c r="N134" s="66" t="str">
        <f aca="false">IF(OR($D134="",$E134=""),"",IF(AND(N$5&gt;=$D134,N$5&lt;=$E134),IF(N$5-$D134+1&lt;=ROUND(($E134-$D134+1)*$F134,0),2,IF(N$5&lt;CFG_CurWeek,3,1)),""))</f>
        <v/>
      </c>
      <c r="O134" s="66" t="str">
        <f aca="false">IF(OR($D134="",$E134=""),"",IF(AND(O$5&gt;=$D134,O$5&lt;=$E134),IF(O$5-$D134+1&lt;=ROUND(($E134-$D134+1)*$F134,0),2,IF(O$5&lt;CFG_CurWeek,3,1)),""))</f>
        <v/>
      </c>
      <c r="P134" s="66" t="str">
        <f aca="false">IF(OR($D134="",$E134=""),"",IF(AND(P$5&gt;=$D134,P$5&lt;=$E134),IF(P$5-$D134+1&lt;=ROUND(($E134-$D134+1)*$F134,0),2,IF(P$5&lt;CFG_CurWeek,3,1)),""))</f>
        <v/>
      </c>
      <c r="Q134" s="66" t="str">
        <f aca="false">IF(OR($D134="",$E134=""),"",IF(AND(Q$5&gt;=$D134,Q$5&lt;=$E134),IF(Q$5-$D134+1&lt;=ROUND(($E134-$D134+1)*$F134,0),2,IF(Q$5&lt;CFG_CurWeek,3,1)),""))</f>
        <v/>
      </c>
      <c r="R134" s="66" t="str">
        <f aca="false">IF(OR($D134="",$E134=""),"",IF(AND(R$5&gt;=$D134,R$5&lt;=$E134),IF(R$5-$D134+1&lt;=ROUND(($E134-$D134+1)*$F134,0),2,IF(R$5&lt;CFG_CurWeek,3,1)),""))</f>
        <v/>
      </c>
      <c r="S134" s="66" t="str">
        <f aca="false">IF(OR($D134="",$E134=""),"",IF(AND(S$5&gt;=$D134,S$5&lt;=$E134),IF(S$5-$D134+1&lt;=ROUND(($E134-$D134+1)*$F134,0),2,IF(S$5&lt;CFG_CurWeek,3,1)),""))</f>
        <v/>
      </c>
      <c r="T134" s="66" t="str">
        <f aca="false">IF(OR($D134="",$E134=""),"",IF(AND(T$5&gt;=$D134,T$5&lt;=$E134),IF(T$5-$D134+1&lt;=ROUND(($E134-$D134+1)*$F134,0),2,IF(T$5&lt;CFG_CurWeek,3,1)),""))</f>
        <v/>
      </c>
      <c r="U134" s="66" t="str">
        <f aca="false">IF(OR($D134="",$E134=""),"",IF(AND(U$5&gt;=$D134,U$5&lt;=$E134),IF(U$5-$D134+1&lt;=ROUND(($E134-$D134+1)*$F134,0),2,IF(U$5&lt;CFG_CurWeek,3,1)),""))</f>
        <v/>
      </c>
      <c r="V134" s="66" t="str">
        <f aca="false">IF(OR($D134="",$E134=""),"",IF(AND(V$5&gt;=$D134,V$5&lt;=$E134),IF(V$5-$D134+1&lt;=ROUND(($E134-$D134+1)*$F134,0),2,IF(V$5&lt;CFG_CurWeek,3,1)),""))</f>
        <v/>
      </c>
      <c r="W134" s="66" t="str">
        <f aca="false">IF(OR($D134="",$E134=""),"",IF(AND(W$5&gt;=$D134,W$5&lt;=$E134),IF(W$5-$D134+1&lt;=ROUND(($E134-$D134+1)*$F134,0),2,IF(W$5&lt;CFG_CurWeek,3,1)),""))</f>
        <v/>
      </c>
      <c r="X134" s="66" t="str">
        <f aca="false">IF(OR($D134="",$E134=""),"",IF(AND(X$5&gt;=$D134,X$5&lt;=$E134),IF(X$5-$D134+1&lt;=ROUND(($E134-$D134+1)*$F134,0),2,IF(X$5&lt;CFG_CurWeek,3,1)),""))</f>
        <v/>
      </c>
      <c r="Y134" s="66" t="str">
        <f aca="false">IF(OR($D134="",$E134=""),"",IF(AND(Y$5&gt;=$D134,Y$5&lt;=$E134),IF(Y$5-$D134+1&lt;=ROUND(($E134-$D134+1)*$F134,0),2,IF(Y$5&lt;CFG_CurWeek,3,1)),""))</f>
        <v/>
      </c>
      <c r="Z134" s="66" t="str">
        <f aca="false">IF(OR($D134="",$E134=""),"",IF(AND(Z$5&gt;=$D134,Z$5&lt;=$E134),IF(Z$5-$D134+1&lt;=ROUND(($E134-$D134+1)*$F134,0),2,IF(Z$5&lt;CFG_CurWeek,3,1)),""))</f>
        <v/>
      </c>
      <c r="AA134" s="66" t="str">
        <f aca="false">IF(OR($D134="",$E134=""),"",IF(AND(AA$5&gt;=$D134,AA$5&lt;=$E134),IF(AA$5-$D134+1&lt;=ROUND(($E134-$D134+1)*$F134,0),2,IF(AA$5&lt;CFG_CurWeek,3,1)),""))</f>
        <v/>
      </c>
      <c r="AB134" s="66" t="str">
        <f aca="false">IF(OR($D134="",$E134=""),"",IF(AND(AB$5&gt;=$D134,AB$5&lt;=$E134),IF(AB$5-$D134+1&lt;=ROUND(($E134-$D134+1)*$F134,0),2,IF(AB$5&lt;CFG_CurWeek,3,1)),""))</f>
        <v/>
      </c>
      <c r="AC134" s="66" t="str">
        <f aca="false">IF(OR($D134="",$E134=""),"",IF(AND(AC$5&gt;=$D134,AC$5&lt;=$E134),IF(AC$5-$D134+1&lt;=ROUND(($E134-$D134+1)*$F134,0),2,IF(AC$5&lt;CFG_CurWeek,3,1)),""))</f>
        <v/>
      </c>
      <c r="AD134" s="66" t="str">
        <f aca="false">IF(OR($D134="",$E134=""),"",IF(AND(AD$5&gt;=$D134,AD$5&lt;=$E134),IF(AD$5-$D134+1&lt;=ROUND(($E134-$D134+1)*$F134,0),2,IF(AD$5&lt;CFG_CurWeek,3,1)),""))</f>
        <v/>
      </c>
      <c r="AE134" s="66" t="str">
        <f aca="false">IF(OR($D134="",$E134=""),"",IF(AND(AE$5&gt;=$D134,AE$5&lt;=$E134),IF(AE$5-$D134+1&lt;=ROUND(($E134-$D134+1)*$F134,0),2,IF(AE$5&lt;CFG_CurWeek,3,1)),""))</f>
        <v/>
      </c>
      <c r="AF134" s="66" t="str">
        <f aca="false">IF(OR($D134="",$E134=""),"",IF(AND(AF$5&gt;=$D134,AF$5&lt;=$E134),IF(AF$5-$D134+1&lt;=ROUND(($E134-$D134+1)*$F134,0),2,IF(AF$5&lt;CFG_CurWeek,3,1)),""))</f>
        <v/>
      </c>
      <c r="AG134" s="66" t="str">
        <f aca="false">IF(OR($D134="",$E134=""),"",IF(AND(AG$5&gt;=$D134,AG$5&lt;=$E134),IF(AG$5-$D134+1&lt;=ROUND(($E134-$D134+1)*$F134,0),2,IF(AG$5&lt;CFG_CurWeek,3,1)),""))</f>
        <v/>
      </c>
      <c r="AH134" s="66" t="str">
        <f aca="false">IF(OR($D134="",$E134=""),"",IF(AND(AH$5&gt;=$D134,AH$5&lt;=$E134),IF(AH$5-$D134+1&lt;=ROUND(($E134-$D134+1)*$F134,0),2,IF(AH$5&lt;CFG_CurWeek,3,1)),""))</f>
        <v/>
      </c>
      <c r="AI134" s="66" t="str">
        <f aca="false">IF(OR($D134="",$E134=""),"",IF(AND(AI$5&gt;=$D134,AI$5&lt;=$E134),IF(AI$5-$D134+1&lt;=ROUND(($E134-$D134+1)*$F134,0),2,IF(AI$5&lt;CFG_CurWeek,3,1)),""))</f>
        <v/>
      </c>
      <c r="AJ134" s="66" t="str">
        <f aca="false">IF(OR($D134="",$E134=""),"",IF(AND(AJ$5&gt;=$D134,AJ$5&lt;=$E134),IF(AJ$5-$D134+1&lt;=ROUND(($E134-$D134+1)*$F134,0),2,IF(AJ$5&lt;CFG_CurWeek,3,1)),""))</f>
        <v/>
      </c>
      <c r="AK134" s="66" t="str">
        <f aca="false">IF(OR($D134="",$E134=""),"",IF(AND(AK$5&gt;=$D134,AK$5&lt;=$E134),IF(AK$5-$D134+1&lt;=ROUND(($E134-$D134+1)*$F134,0),2,IF(AK$5&lt;CFG_CurWeek,3,1)),""))</f>
        <v/>
      </c>
      <c r="AL134" s="66" t="str">
        <f aca="false">IF(OR($D134="",$E134=""),"",IF(AND(AL$5&gt;=$D134,AL$5&lt;=$E134),IF(AL$5-$D134+1&lt;=ROUND(($E134-$D134+1)*$F134,0),2,IF(AL$5&lt;CFG_CurWeek,3,1)),""))</f>
        <v/>
      </c>
      <c r="AM134" s="66" t="str">
        <f aca="false">IF(OR($D134="",$E134=""),"",IF(AND(AM$5&gt;=$D134,AM$5&lt;=$E134),IF(AM$5-$D134+1&lt;=ROUND(($E134-$D134+1)*$F134,0),2,IF(AM$5&lt;CFG_CurWeek,3,1)),""))</f>
        <v/>
      </c>
      <c r="AN134" s="66" t="str">
        <f aca="false">IF(OR($D134="",$E134=""),"",IF(AND(AN$5&gt;=$D134,AN$5&lt;=$E134),IF(AN$5-$D134+1&lt;=ROUND(($E134-$D134+1)*$F134,0),2,IF(AN$5&lt;CFG_CurWeek,3,1)),""))</f>
        <v/>
      </c>
      <c r="AO134" s="66" t="str">
        <f aca="false">IF(OR($D134="",$E134=""),"",IF(AND(AO$5&gt;=$D134,AO$5&lt;=$E134),IF(AO$5-$D134+1&lt;=ROUND(($E134-$D134+1)*$F134,0),2,IF(AO$5&lt;CFG_CurWeek,3,1)),""))</f>
        <v/>
      </c>
    </row>
    <row r="135" customFormat="false" ht="15" hidden="false" customHeight="false" outlineLevel="0" collapsed="false">
      <c r="A135" s="63" t="str">
        <f aca="false">IF('01_WBS &amp; Master Plan'!A132="","",'01_WBS &amp; Master Plan'!A132)</f>
        <v/>
      </c>
      <c r="B135" s="64" t="str">
        <f aca="false">IF('01_WBS &amp; Master Plan'!D132="","",'01_WBS &amp; Master Plan'!D132)</f>
        <v/>
      </c>
      <c r="C135" s="63" t="str">
        <f aca="false">IF('01_WBS &amp; Master Plan'!E132="","",'01_WBS &amp; Master Plan'!E132)</f>
        <v/>
      </c>
      <c r="D135" s="63" t="str">
        <f aca="false">IF('01_WBS &amp; Master Plan'!H132="","",'01_WBS &amp; Master Plan'!H132)</f>
        <v/>
      </c>
      <c r="E135" s="63" t="str">
        <f aca="false">IF('01_WBS &amp; Master Plan'!I132="","",'01_WBS &amp; Master Plan'!I132)</f>
        <v/>
      </c>
      <c r="F135" s="65" t="str">
        <f aca="false">IF(B135="","",IF('01_WBS &amp; Master Plan'!K132="Done",1,IF('01_WBS &amp; Master Plan'!L132="",0,'01_WBS &amp; Master Plan'!L132)))</f>
        <v/>
      </c>
      <c r="G135" s="63" t="str">
        <f aca="false">IF('01_WBS &amp; Master Plan'!K132="","",'01_WBS &amp; Master Plan'!K132)</f>
        <v/>
      </c>
      <c r="H135" s="66" t="str">
        <f aca="false">IF(OR($D135="",$E135=""),"",IF(AND(H$5&gt;=$D135,H$5&lt;=$E135),IF(H$5-$D135+1&lt;=ROUND(($E135-$D135+1)*$F135,0),2,IF(H$5&lt;CFG_CurWeek,3,1)),""))</f>
        <v/>
      </c>
      <c r="I135" s="66" t="str">
        <f aca="false">IF(OR($D135="",$E135=""),"",IF(AND(I$5&gt;=$D135,I$5&lt;=$E135),IF(I$5-$D135+1&lt;=ROUND(($E135-$D135+1)*$F135,0),2,IF(I$5&lt;CFG_CurWeek,3,1)),""))</f>
        <v/>
      </c>
      <c r="J135" s="66" t="str">
        <f aca="false">IF(OR($D135="",$E135=""),"",IF(AND(J$5&gt;=$D135,J$5&lt;=$E135),IF(J$5-$D135+1&lt;=ROUND(($E135-$D135+1)*$F135,0),2,IF(J$5&lt;CFG_CurWeek,3,1)),""))</f>
        <v/>
      </c>
      <c r="K135" s="66" t="str">
        <f aca="false">IF(OR($D135="",$E135=""),"",IF(AND(K$5&gt;=$D135,K$5&lt;=$E135),IF(K$5-$D135+1&lt;=ROUND(($E135-$D135+1)*$F135,0),2,IF(K$5&lt;CFG_CurWeek,3,1)),""))</f>
        <v/>
      </c>
      <c r="L135" s="66" t="str">
        <f aca="false">IF(OR($D135="",$E135=""),"",IF(AND(L$5&gt;=$D135,L$5&lt;=$E135),IF(L$5-$D135+1&lt;=ROUND(($E135-$D135+1)*$F135,0),2,IF(L$5&lt;CFG_CurWeek,3,1)),""))</f>
        <v/>
      </c>
      <c r="M135" s="66" t="str">
        <f aca="false">IF(OR($D135="",$E135=""),"",IF(AND(M$5&gt;=$D135,M$5&lt;=$E135),IF(M$5-$D135+1&lt;=ROUND(($E135-$D135+1)*$F135,0),2,IF(M$5&lt;CFG_CurWeek,3,1)),""))</f>
        <v/>
      </c>
      <c r="N135" s="66" t="str">
        <f aca="false">IF(OR($D135="",$E135=""),"",IF(AND(N$5&gt;=$D135,N$5&lt;=$E135),IF(N$5-$D135+1&lt;=ROUND(($E135-$D135+1)*$F135,0),2,IF(N$5&lt;CFG_CurWeek,3,1)),""))</f>
        <v/>
      </c>
      <c r="O135" s="66" t="str">
        <f aca="false">IF(OR($D135="",$E135=""),"",IF(AND(O$5&gt;=$D135,O$5&lt;=$E135),IF(O$5-$D135+1&lt;=ROUND(($E135-$D135+1)*$F135,0),2,IF(O$5&lt;CFG_CurWeek,3,1)),""))</f>
        <v/>
      </c>
      <c r="P135" s="66" t="str">
        <f aca="false">IF(OR($D135="",$E135=""),"",IF(AND(P$5&gt;=$D135,P$5&lt;=$E135),IF(P$5-$D135+1&lt;=ROUND(($E135-$D135+1)*$F135,0),2,IF(P$5&lt;CFG_CurWeek,3,1)),""))</f>
        <v/>
      </c>
      <c r="Q135" s="66" t="str">
        <f aca="false">IF(OR($D135="",$E135=""),"",IF(AND(Q$5&gt;=$D135,Q$5&lt;=$E135),IF(Q$5-$D135+1&lt;=ROUND(($E135-$D135+1)*$F135,0),2,IF(Q$5&lt;CFG_CurWeek,3,1)),""))</f>
        <v/>
      </c>
      <c r="R135" s="66" t="str">
        <f aca="false">IF(OR($D135="",$E135=""),"",IF(AND(R$5&gt;=$D135,R$5&lt;=$E135),IF(R$5-$D135+1&lt;=ROUND(($E135-$D135+1)*$F135,0),2,IF(R$5&lt;CFG_CurWeek,3,1)),""))</f>
        <v/>
      </c>
      <c r="S135" s="66" t="str">
        <f aca="false">IF(OR($D135="",$E135=""),"",IF(AND(S$5&gt;=$D135,S$5&lt;=$E135),IF(S$5-$D135+1&lt;=ROUND(($E135-$D135+1)*$F135,0),2,IF(S$5&lt;CFG_CurWeek,3,1)),""))</f>
        <v/>
      </c>
      <c r="T135" s="66" t="str">
        <f aca="false">IF(OR($D135="",$E135=""),"",IF(AND(T$5&gt;=$D135,T$5&lt;=$E135),IF(T$5-$D135+1&lt;=ROUND(($E135-$D135+1)*$F135,0),2,IF(T$5&lt;CFG_CurWeek,3,1)),""))</f>
        <v/>
      </c>
      <c r="U135" s="66" t="str">
        <f aca="false">IF(OR($D135="",$E135=""),"",IF(AND(U$5&gt;=$D135,U$5&lt;=$E135),IF(U$5-$D135+1&lt;=ROUND(($E135-$D135+1)*$F135,0),2,IF(U$5&lt;CFG_CurWeek,3,1)),""))</f>
        <v/>
      </c>
      <c r="V135" s="66" t="str">
        <f aca="false">IF(OR($D135="",$E135=""),"",IF(AND(V$5&gt;=$D135,V$5&lt;=$E135),IF(V$5-$D135+1&lt;=ROUND(($E135-$D135+1)*$F135,0),2,IF(V$5&lt;CFG_CurWeek,3,1)),""))</f>
        <v/>
      </c>
      <c r="W135" s="66" t="str">
        <f aca="false">IF(OR($D135="",$E135=""),"",IF(AND(W$5&gt;=$D135,W$5&lt;=$E135),IF(W$5-$D135+1&lt;=ROUND(($E135-$D135+1)*$F135,0),2,IF(W$5&lt;CFG_CurWeek,3,1)),""))</f>
        <v/>
      </c>
      <c r="X135" s="66" t="str">
        <f aca="false">IF(OR($D135="",$E135=""),"",IF(AND(X$5&gt;=$D135,X$5&lt;=$E135),IF(X$5-$D135+1&lt;=ROUND(($E135-$D135+1)*$F135,0),2,IF(X$5&lt;CFG_CurWeek,3,1)),""))</f>
        <v/>
      </c>
      <c r="Y135" s="66" t="str">
        <f aca="false">IF(OR($D135="",$E135=""),"",IF(AND(Y$5&gt;=$D135,Y$5&lt;=$E135),IF(Y$5-$D135+1&lt;=ROUND(($E135-$D135+1)*$F135,0),2,IF(Y$5&lt;CFG_CurWeek,3,1)),""))</f>
        <v/>
      </c>
      <c r="Z135" s="66" t="str">
        <f aca="false">IF(OR($D135="",$E135=""),"",IF(AND(Z$5&gt;=$D135,Z$5&lt;=$E135),IF(Z$5-$D135+1&lt;=ROUND(($E135-$D135+1)*$F135,0),2,IF(Z$5&lt;CFG_CurWeek,3,1)),""))</f>
        <v/>
      </c>
      <c r="AA135" s="66" t="str">
        <f aca="false">IF(OR($D135="",$E135=""),"",IF(AND(AA$5&gt;=$D135,AA$5&lt;=$E135),IF(AA$5-$D135+1&lt;=ROUND(($E135-$D135+1)*$F135,0),2,IF(AA$5&lt;CFG_CurWeek,3,1)),""))</f>
        <v/>
      </c>
      <c r="AB135" s="66" t="str">
        <f aca="false">IF(OR($D135="",$E135=""),"",IF(AND(AB$5&gt;=$D135,AB$5&lt;=$E135),IF(AB$5-$D135+1&lt;=ROUND(($E135-$D135+1)*$F135,0),2,IF(AB$5&lt;CFG_CurWeek,3,1)),""))</f>
        <v/>
      </c>
      <c r="AC135" s="66" t="str">
        <f aca="false">IF(OR($D135="",$E135=""),"",IF(AND(AC$5&gt;=$D135,AC$5&lt;=$E135),IF(AC$5-$D135+1&lt;=ROUND(($E135-$D135+1)*$F135,0),2,IF(AC$5&lt;CFG_CurWeek,3,1)),""))</f>
        <v/>
      </c>
      <c r="AD135" s="66" t="str">
        <f aca="false">IF(OR($D135="",$E135=""),"",IF(AND(AD$5&gt;=$D135,AD$5&lt;=$E135),IF(AD$5-$D135+1&lt;=ROUND(($E135-$D135+1)*$F135,0),2,IF(AD$5&lt;CFG_CurWeek,3,1)),""))</f>
        <v/>
      </c>
      <c r="AE135" s="66" t="str">
        <f aca="false">IF(OR($D135="",$E135=""),"",IF(AND(AE$5&gt;=$D135,AE$5&lt;=$E135),IF(AE$5-$D135+1&lt;=ROUND(($E135-$D135+1)*$F135,0),2,IF(AE$5&lt;CFG_CurWeek,3,1)),""))</f>
        <v/>
      </c>
      <c r="AF135" s="66" t="str">
        <f aca="false">IF(OR($D135="",$E135=""),"",IF(AND(AF$5&gt;=$D135,AF$5&lt;=$E135),IF(AF$5-$D135+1&lt;=ROUND(($E135-$D135+1)*$F135,0),2,IF(AF$5&lt;CFG_CurWeek,3,1)),""))</f>
        <v/>
      </c>
      <c r="AG135" s="66" t="str">
        <f aca="false">IF(OR($D135="",$E135=""),"",IF(AND(AG$5&gt;=$D135,AG$5&lt;=$E135),IF(AG$5-$D135+1&lt;=ROUND(($E135-$D135+1)*$F135,0),2,IF(AG$5&lt;CFG_CurWeek,3,1)),""))</f>
        <v/>
      </c>
      <c r="AH135" s="66" t="str">
        <f aca="false">IF(OR($D135="",$E135=""),"",IF(AND(AH$5&gt;=$D135,AH$5&lt;=$E135),IF(AH$5-$D135+1&lt;=ROUND(($E135-$D135+1)*$F135,0),2,IF(AH$5&lt;CFG_CurWeek,3,1)),""))</f>
        <v/>
      </c>
      <c r="AI135" s="66" t="str">
        <f aca="false">IF(OR($D135="",$E135=""),"",IF(AND(AI$5&gt;=$D135,AI$5&lt;=$E135),IF(AI$5-$D135+1&lt;=ROUND(($E135-$D135+1)*$F135,0),2,IF(AI$5&lt;CFG_CurWeek,3,1)),""))</f>
        <v/>
      </c>
      <c r="AJ135" s="66" t="str">
        <f aca="false">IF(OR($D135="",$E135=""),"",IF(AND(AJ$5&gt;=$D135,AJ$5&lt;=$E135),IF(AJ$5-$D135+1&lt;=ROUND(($E135-$D135+1)*$F135,0),2,IF(AJ$5&lt;CFG_CurWeek,3,1)),""))</f>
        <v/>
      </c>
      <c r="AK135" s="66" t="str">
        <f aca="false">IF(OR($D135="",$E135=""),"",IF(AND(AK$5&gt;=$D135,AK$5&lt;=$E135),IF(AK$5-$D135+1&lt;=ROUND(($E135-$D135+1)*$F135,0),2,IF(AK$5&lt;CFG_CurWeek,3,1)),""))</f>
        <v/>
      </c>
      <c r="AL135" s="66" t="str">
        <f aca="false">IF(OR($D135="",$E135=""),"",IF(AND(AL$5&gt;=$D135,AL$5&lt;=$E135),IF(AL$5-$D135+1&lt;=ROUND(($E135-$D135+1)*$F135,0),2,IF(AL$5&lt;CFG_CurWeek,3,1)),""))</f>
        <v/>
      </c>
      <c r="AM135" s="66" t="str">
        <f aca="false">IF(OR($D135="",$E135=""),"",IF(AND(AM$5&gt;=$D135,AM$5&lt;=$E135),IF(AM$5-$D135+1&lt;=ROUND(($E135-$D135+1)*$F135,0),2,IF(AM$5&lt;CFG_CurWeek,3,1)),""))</f>
        <v/>
      </c>
      <c r="AN135" s="66" t="str">
        <f aca="false">IF(OR($D135="",$E135=""),"",IF(AND(AN$5&gt;=$D135,AN$5&lt;=$E135),IF(AN$5-$D135+1&lt;=ROUND(($E135-$D135+1)*$F135,0),2,IF(AN$5&lt;CFG_CurWeek,3,1)),""))</f>
        <v/>
      </c>
      <c r="AO135" s="66" t="str">
        <f aca="false">IF(OR($D135="",$E135=""),"",IF(AND(AO$5&gt;=$D135,AO$5&lt;=$E135),IF(AO$5-$D135+1&lt;=ROUND(($E135-$D135+1)*$F135,0),2,IF(AO$5&lt;CFG_CurWeek,3,1)),""))</f>
        <v/>
      </c>
    </row>
    <row r="136" customFormat="false" ht="15" hidden="false" customHeight="false" outlineLevel="0" collapsed="false">
      <c r="A136" s="63" t="str">
        <f aca="false">IF('01_WBS &amp; Master Plan'!A133="","",'01_WBS &amp; Master Plan'!A133)</f>
        <v/>
      </c>
      <c r="B136" s="64" t="str">
        <f aca="false">IF('01_WBS &amp; Master Plan'!D133="","",'01_WBS &amp; Master Plan'!D133)</f>
        <v/>
      </c>
      <c r="C136" s="63" t="str">
        <f aca="false">IF('01_WBS &amp; Master Plan'!E133="","",'01_WBS &amp; Master Plan'!E133)</f>
        <v/>
      </c>
      <c r="D136" s="63" t="str">
        <f aca="false">IF('01_WBS &amp; Master Plan'!H133="","",'01_WBS &amp; Master Plan'!H133)</f>
        <v/>
      </c>
      <c r="E136" s="63" t="str">
        <f aca="false">IF('01_WBS &amp; Master Plan'!I133="","",'01_WBS &amp; Master Plan'!I133)</f>
        <v/>
      </c>
      <c r="F136" s="65" t="str">
        <f aca="false">IF(B136="","",IF('01_WBS &amp; Master Plan'!K133="Done",1,IF('01_WBS &amp; Master Plan'!L133="",0,'01_WBS &amp; Master Plan'!L133)))</f>
        <v/>
      </c>
      <c r="G136" s="63" t="str">
        <f aca="false">IF('01_WBS &amp; Master Plan'!K133="","",'01_WBS &amp; Master Plan'!K133)</f>
        <v/>
      </c>
      <c r="H136" s="66" t="str">
        <f aca="false">IF(OR($D136="",$E136=""),"",IF(AND(H$5&gt;=$D136,H$5&lt;=$E136),IF(H$5-$D136+1&lt;=ROUND(($E136-$D136+1)*$F136,0),2,IF(H$5&lt;CFG_CurWeek,3,1)),""))</f>
        <v/>
      </c>
      <c r="I136" s="66" t="str">
        <f aca="false">IF(OR($D136="",$E136=""),"",IF(AND(I$5&gt;=$D136,I$5&lt;=$E136),IF(I$5-$D136+1&lt;=ROUND(($E136-$D136+1)*$F136,0),2,IF(I$5&lt;CFG_CurWeek,3,1)),""))</f>
        <v/>
      </c>
      <c r="J136" s="66" t="str">
        <f aca="false">IF(OR($D136="",$E136=""),"",IF(AND(J$5&gt;=$D136,J$5&lt;=$E136),IF(J$5-$D136+1&lt;=ROUND(($E136-$D136+1)*$F136,0),2,IF(J$5&lt;CFG_CurWeek,3,1)),""))</f>
        <v/>
      </c>
      <c r="K136" s="66" t="str">
        <f aca="false">IF(OR($D136="",$E136=""),"",IF(AND(K$5&gt;=$D136,K$5&lt;=$E136),IF(K$5-$D136+1&lt;=ROUND(($E136-$D136+1)*$F136,0),2,IF(K$5&lt;CFG_CurWeek,3,1)),""))</f>
        <v/>
      </c>
      <c r="L136" s="66" t="str">
        <f aca="false">IF(OR($D136="",$E136=""),"",IF(AND(L$5&gt;=$D136,L$5&lt;=$E136),IF(L$5-$D136+1&lt;=ROUND(($E136-$D136+1)*$F136,0),2,IF(L$5&lt;CFG_CurWeek,3,1)),""))</f>
        <v/>
      </c>
      <c r="M136" s="66" t="str">
        <f aca="false">IF(OR($D136="",$E136=""),"",IF(AND(M$5&gt;=$D136,M$5&lt;=$E136),IF(M$5-$D136+1&lt;=ROUND(($E136-$D136+1)*$F136,0),2,IF(M$5&lt;CFG_CurWeek,3,1)),""))</f>
        <v/>
      </c>
      <c r="N136" s="66" t="str">
        <f aca="false">IF(OR($D136="",$E136=""),"",IF(AND(N$5&gt;=$D136,N$5&lt;=$E136),IF(N$5-$D136+1&lt;=ROUND(($E136-$D136+1)*$F136,0),2,IF(N$5&lt;CFG_CurWeek,3,1)),""))</f>
        <v/>
      </c>
      <c r="O136" s="66" t="str">
        <f aca="false">IF(OR($D136="",$E136=""),"",IF(AND(O$5&gt;=$D136,O$5&lt;=$E136),IF(O$5-$D136+1&lt;=ROUND(($E136-$D136+1)*$F136,0),2,IF(O$5&lt;CFG_CurWeek,3,1)),""))</f>
        <v/>
      </c>
      <c r="P136" s="66" t="str">
        <f aca="false">IF(OR($D136="",$E136=""),"",IF(AND(P$5&gt;=$D136,P$5&lt;=$E136),IF(P$5-$D136+1&lt;=ROUND(($E136-$D136+1)*$F136,0),2,IF(P$5&lt;CFG_CurWeek,3,1)),""))</f>
        <v/>
      </c>
      <c r="Q136" s="66" t="str">
        <f aca="false">IF(OR($D136="",$E136=""),"",IF(AND(Q$5&gt;=$D136,Q$5&lt;=$E136),IF(Q$5-$D136+1&lt;=ROUND(($E136-$D136+1)*$F136,0),2,IF(Q$5&lt;CFG_CurWeek,3,1)),""))</f>
        <v/>
      </c>
      <c r="R136" s="66" t="str">
        <f aca="false">IF(OR($D136="",$E136=""),"",IF(AND(R$5&gt;=$D136,R$5&lt;=$E136),IF(R$5-$D136+1&lt;=ROUND(($E136-$D136+1)*$F136,0),2,IF(R$5&lt;CFG_CurWeek,3,1)),""))</f>
        <v/>
      </c>
      <c r="S136" s="66" t="str">
        <f aca="false">IF(OR($D136="",$E136=""),"",IF(AND(S$5&gt;=$D136,S$5&lt;=$E136),IF(S$5-$D136+1&lt;=ROUND(($E136-$D136+1)*$F136,0),2,IF(S$5&lt;CFG_CurWeek,3,1)),""))</f>
        <v/>
      </c>
      <c r="T136" s="66" t="str">
        <f aca="false">IF(OR($D136="",$E136=""),"",IF(AND(T$5&gt;=$D136,T$5&lt;=$E136),IF(T$5-$D136+1&lt;=ROUND(($E136-$D136+1)*$F136,0),2,IF(T$5&lt;CFG_CurWeek,3,1)),""))</f>
        <v/>
      </c>
      <c r="U136" s="66" t="str">
        <f aca="false">IF(OR($D136="",$E136=""),"",IF(AND(U$5&gt;=$D136,U$5&lt;=$E136),IF(U$5-$D136+1&lt;=ROUND(($E136-$D136+1)*$F136,0),2,IF(U$5&lt;CFG_CurWeek,3,1)),""))</f>
        <v/>
      </c>
      <c r="V136" s="66" t="str">
        <f aca="false">IF(OR($D136="",$E136=""),"",IF(AND(V$5&gt;=$D136,V$5&lt;=$E136),IF(V$5-$D136+1&lt;=ROUND(($E136-$D136+1)*$F136,0),2,IF(V$5&lt;CFG_CurWeek,3,1)),""))</f>
        <v/>
      </c>
      <c r="W136" s="66" t="str">
        <f aca="false">IF(OR($D136="",$E136=""),"",IF(AND(W$5&gt;=$D136,W$5&lt;=$E136),IF(W$5-$D136+1&lt;=ROUND(($E136-$D136+1)*$F136,0),2,IF(W$5&lt;CFG_CurWeek,3,1)),""))</f>
        <v/>
      </c>
      <c r="X136" s="66" t="str">
        <f aca="false">IF(OR($D136="",$E136=""),"",IF(AND(X$5&gt;=$D136,X$5&lt;=$E136),IF(X$5-$D136+1&lt;=ROUND(($E136-$D136+1)*$F136,0),2,IF(X$5&lt;CFG_CurWeek,3,1)),""))</f>
        <v/>
      </c>
      <c r="Y136" s="66" t="str">
        <f aca="false">IF(OR($D136="",$E136=""),"",IF(AND(Y$5&gt;=$D136,Y$5&lt;=$E136),IF(Y$5-$D136+1&lt;=ROUND(($E136-$D136+1)*$F136,0),2,IF(Y$5&lt;CFG_CurWeek,3,1)),""))</f>
        <v/>
      </c>
      <c r="Z136" s="66" t="str">
        <f aca="false">IF(OR($D136="",$E136=""),"",IF(AND(Z$5&gt;=$D136,Z$5&lt;=$E136),IF(Z$5-$D136+1&lt;=ROUND(($E136-$D136+1)*$F136,0),2,IF(Z$5&lt;CFG_CurWeek,3,1)),""))</f>
        <v/>
      </c>
      <c r="AA136" s="66" t="str">
        <f aca="false">IF(OR($D136="",$E136=""),"",IF(AND(AA$5&gt;=$D136,AA$5&lt;=$E136),IF(AA$5-$D136+1&lt;=ROUND(($E136-$D136+1)*$F136,0),2,IF(AA$5&lt;CFG_CurWeek,3,1)),""))</f>
        <v/>
      </c>
      <c r="AB136" s="66" t="str">
        <f aca="false">IF(OR($D136="",$E136=""),"",IF(AND(AB$5&gt;=$D136,AB$5&lt;=$E136),IF(AB$5-$D136+1&lt;=ROUND(($E136-$D136+1)*$F136,0),2,IF(AB$5&lt;CFG_CurWeek,3,1)),""))</f>
        <v/>
      </c>
      <c r="AC136" s="66" t="str">
        <f aca="false">IF(OR($D136="",$E136=""),"",IF(AND(AC$5&gt;=$D136,AC$5&lt;=$E136),IF(AC$5-$D136+1&lt;=ROUND(($E136-$D136+1)*$F136,0),2,IF(AC$5&lt;CFG_CurWeek,3,1)),""))</f>
        <v/>
      </c>
      <c r="AD136" s="66" t="str">
        <f aca="false">IF(OR($D136="",$E136=""),"",IF(AND(AD$5&gt;=$D136,AD$5&lt;=$E136),IF(AD$5-$D136+1&lt;=ROUND(($E136-$D136+1)*$F136,0),2,IF(AD$5&lt;CFG_CurWeek,3,1)),""))</f>
        <v/>
      </c>
      <c r="AE136" s="66" t="str">
        <f aca="false">IF(OR($D136="",$E136=""),"",IF(AND(AE$5&gt;=$D136,AE$5&lt;=$E136),IF(AE$5-$D136+1&lt;=ROUND(($E136-$D136+1)*$F136,0),2,IF(AE$5&lt;CFG_CurWeek,3,1)),""))</f>
        <v/>
      </c>
      <c r="AF136" s="66" t="str">
        <f aca="false">IF(OR($D136="",$E136=""),"",IF(AND(AF$5&gt;=$D136,AF$5&lt;=$E136),IF(AF$5-$D136+1&lt;=ROUND(($E136-$D136+1)*$F136,0),2,IF(AF$5&lt;CFG_CurWeek,3,1)),""))</f>
        <v/>
      </c>
      <c r="AG136" s="66" t="str">
        <f aca="false">IF(OR($D136="",$E136=""),"",IF(AND(AG$5&gt;=$D136,AG$5&lt;=$E136),IF(AG$5-$D136+1&lt;=ROUND(($E136-$D136+1)*$F136,0),2,IF(AG$5&lt;CFG_CurWeek,3,1)),""))</f>
        <v/>
      </c>
      <c r="AH136" s="66" t="str">
        <f aca="false">IF(OR($D136="",$E136=""),"",IF(AND(AH$5&gt;=$D136,AH$5&lt;=$E136),IF(AH$5-$D136+1&lt;=ROUND(($E136-$D136+1)*$F136,0),2,IF(AH$5&lt;CFG_CurWeek,3,1)),""))</f>
        <v/>
      </c>
      <c r="AI136" s="66" t="str">
        <f aca="false">IF(OR($D136="",$E136=""),"",IF(AND(AI$5&gt;=$D136,AI$5&lt;=$E136),IF(AI$5-$D136+1&lt;=ROUND(($E136-$D136+1)*$F136,0),2,IF(AI$5&lt;CFG_CurWeek,3,1)),""))</f>
        <v/>
      </c>
      <c r="AJ136" s="66" t="str">
        <f aca="false">IF(OR($D136="",$E136=""),"",IF(AND(AJ$5&gt;=$D136,AJ$5&lt;=$E136),IF(AJ$5-$D136+1&lt;=ROUND(($E136-$D136+1)*$F136,0),2,IF(AJ$5&lt;CFG_CurWeek,3,1)),""))</f>
        <v/>
      </c>
      <c r="AK136" s="66" t="str">
        <f aca="false">IF(OR($D136="",$E136=""),"",IF(AND(AK$5&gt;=$D136,AK$5&lt;=$E136),IF(AK$5-$D136+1&lt;=ROUND(($E136-$D136+1)*$F136,0),2,IF(AK$5&lt;CFG_CurWeek,3,1)),""))</f>
        <v/>
      </c>
      <c r="AL136" s="66" t="str">
        <f aca="false">IF(OR($D136="",$E136=""),"",IF(AND(AL$5&gt;=$D136,AL$5&lt;=$E136),IF(AL$5-$D136+1&lt;=ROUND(($E136-$D136+1)*$F136,0),2,IF(AL$5&lt;CFG_CurWeek,3,1)),""))</f>
        <v/>
      </c>
      <c r="AM136" s="66" t="str">
        <f aca="false">IF(OR($D136="",$E136=""),"",IF(AND(AM$5&gt;=$D136,AM$5&lt;=$E136),IF(AM$5-$D136+1&lt;=ROUND(($E136-$D136+1)*$F136,0),2,IF(AM$5&lt;CFG_CurWeek,3,1)),""))</f>
        <v/>
      </c>
      <c r="AN136" s="66" t="str">
        <f aca="false">IF(OR($D136="",$E136=""),"",IF(AND(AN$5&gt;=$D136,AN$5&lt;=$E136),IF(AN$5-$D136+1&lt;=ROUND(($E136-$D136+1)*$F136,0),2,IF(AN$5&lt;CFG_CurWeek,3,1)),""))</f>
        <v/>
      </c>
      <c r="AO136" s="66" t="str">
        <f aca="false">IF(OR($D136="",$E136=""),"",IF(AND(AO$5&gt;=$D136,AO$5&lt;=$E136),IF(AO$5-$D136+1&lt;=ROUND(($E136-$D136+1)*$F136,0),2,IF(AO$5&lt;CFG_CurWeek,3,1)),""))</f>
        <v/>
      </c>
    </row>
    <row r="137" customFormat="false" ht="15" hidden="false" customHeight="false" outlineLevel="0" collapsed="false">
      <c r="A137" s="63" t="str">
        <f aca="false">IF('01_WBS &amp; Master Plan'!A134="","",'01_WBS &amp; Master Plan'!A134)</f>
        <v/>
      </c>
      <c r="B137" s="64" t="str">
        <f aca="false">IF('01_WBS &amp; Master Plan'!D134="","",'01_WBS &amp; Master Plan'!D134)</f>
        <v/>
      </c>
      <c r="C137" s="63" t="str">
        <f aca="false">IF('01_WBS &amp; Master Plan'!E134="","",'01_WBS &amp; Master Plan'!E134)</f>
        <v/>
      </c>
      <c r="D137" s="63" t="str">
        <f aca="false">IF('01_WBS &amp; Master Plan'!H134="","",'01_WBS &amp; Master Plan'!H134)</f>
        <v/>
      </c>
      <c r="E137" s="63" t="str">
        <f aca="false">IF('01_WBS &amp; Master Plan'!I134="","",'01_WBS &amp; Master Plan'!I134)</f>
        <v/>
      </c>
      <c r="F137" s="65" t="str">
        <f aca="false">IF(B137="","",IF('01_WBS &amp; Master Plan'!K134="Done",1,IF('01_WBS &amp; Master Plan'!L134="",0,'01_WBS &amp; Master Plan'!L134)))</f>
        <v/>
      </c>
      <c r="G137" s="63" t="str">
        <f aca="false">IF('01_WBS &amp; Master Plan'!K134="","",'01_WBS &amp; Master Plan'!K134)</f>
        <v/>
      </c>
      <c r="H137" s="66" t="str">
        <f aca="false">IF(OR($D137="",$E137=""),"",IF(AND(H$5&gt;=$D137,H$5&lt;=$E137),IF(H$5-$D137+1&lt;=ROUND(($E137-$D137+1)*$F137,0),2,IF(H$5&lt;CFG_CurWeek,3,1)),""))</f>
        <v/>
      </c>
      <c r="I137" s="66" t="str">
        <f aca="false">IF(OR($D137="",$E137=""),"",IF(AND(I$5&gt;=$D137,I$5&lt;=$E137),IF(I$5-$D137+1&lt;=ROUND(($E137-$D137+1)*$F137,0),2,IF(I$5&lt;CFG_CurWeek,3,1)),""))</f>
        <v/>
      </c>
      <c r="J137" s="66" t="str">
        <f aca="false">IF(OR($D137="",$E137=""),"",IF(AND(J$5&gt;=$D137,J$5&lt;=$E137),IF(J$5-$D137+1&lt;=ROUND(($E137-$D137+1)*$F137,0),2,IF(J$5&lt;CFG_CurWeek,3,1)),""))</f>
        <v/>
      </c>
      <c r="K137" s="66" t="str">
        <f aca="false">IF(OR($D137="",$E137=""),"",IF(AND(K$5&gt;=$D137,K$5&lt;=$E137),IF(K$5-$D137+1&lt;=ROUND(($E137-$D137+1)*$F137,0),2,IF(K$5&lt;CFG_CurWeek,3,1)),""))</f>
        <v/>
      </c>
      <c r="L137" s="66" t="str">
        <f aca="false">IF(OR($D137="",$E137=""),"",IF(AND(L$5&gt;=$D137,L$5&lt;=$E137),IF(L$5-$D137+1&lt;=ROUND(($E137-$D137+1)*$F137,0),2,IF(L$5&lt;CFG_CurWeek,3,1)),""))</f>
        <v/>
      </c>
      <c r="M137" s="66" t="str">
        <f aca="false">IF(OR($D137="",$E137=""),"",IF(AND(M$5&gt;=$D137,M$5&lt;=$E137),IF(M$5-$D137+1&lt;=ROUND(($E137-$D137+1)*$F137,0),2,IF(M$5&lt;CFG_CurWeek,3,1)),""))</f>
        <v/>
      </c>
      <c r="N137" s="66" t="str">
        <f aca="false">IF(OR($D137="",$E137=""),"",IF(AND(N$5&gt;=$D137,N$5&lt;=$E137),IF(N$5-$D137+1&lt;=ROUND(($E137-$D137+1)*$F137,0),2,IF(N$5&lt;CFG_CurWeek,3,1)),""))</f>
        <v/>
      </c>
      <c r="O137" s="66" t="str">
        <f aca="false">IF(OR($D137="",$E137=""),"",IF(AND(O$5&gt;=$D137,O$5&lt;=$E137),IF(O$5-$D137+1&lt;=ROUND(($E137-$D137+1)*$F137,0),2,IF(O$5&lt;CFG_CurWeek,3,1)),""))</f>
        <v/>
      </c>
      <c r="P137" s="66" t="str">
        <f aca="false">IF(OR($D137="",$E137=""),"",IF(AND(P$5&gt;=$D137,P$5&lt;=$E137),IF(P$5-$D137+1&lt;=ROUND(($E137-$D137+1)*$F137,0),2,IF(P$5&lt;CFG_CurWeek,3,1)),""))</f>
        <v/>
      </c>
      <c r="Q137" s="66" t="str">
        <f aca="false">IF(OR($D137="",$E137=""),"",IF(AND(Q$5&gt;=$D137,Q$5&lt;=$E137),IF(Q$5-$D137+1&lt;=ROUND(($E137-$D137+1)*$F137,0),2,IF(Q$5&lt;CFG_CurWeek,3,1)),""))</f>
        <v/>
      </c>
      <c r="R137" s="66" t="str">
        <f aca="false">IF(OR($D137="",$E137=""),"",IF(AND(R$5&gt;=$D137,R$5&lt;=$E137),IF(R$5-$D137+1&lt;=ROUND(($E137-$D137+1)*$F137,0),2,IF(R$5&lt;CFG_CurWeek,3,1)),""))</f>
        <v/>
      </c>
      <c r="S137" s="66" t="str">
        <f aca="false">IF(OR($D137="",$E137=""),"",IF(AND(S$5&gt;=$D137,S$5&lt;=$E137),IF(S$5-$D137+1&lt;=ROUND(($E137-$D137+1)*$F137,0),2,IF(S$5&lt;CFG_CurWeek,3,1)),""))</f>
        <v/>
      </c>
      <c r="T137" s="66" t="str">
        <f aca="false">IF(OR($D137="",$E137=""),"",IF(AND(T$5&gt;=$D137,T$5&lt;=$E137),IF(T$5-$D137+1&lt;=ROUND(($E137-$D137+1)*$F137,0),2,IF(T$5&lt;CFG_CurWeek,3,1)),""))</f>
        <v/>
      </c>
      <c r="U137" s="66" t="str">
        <f aca="false">IF(OR($D137="",$E137=""),"",IF(AND(U$5&gt;=$D137,U$5&lt;=$E137),IF(U$5-$D137+1&lt;=ROUND(($E137-$D137+1)*$F137,0),2,IF(U$5&lt;CFG_CurWeek,3,1)),""))</f>
        <v/>
      </c>
      <c r="V137" s="66" t="str">
        <f aca="false">IF(OR($D137="",$E137=""),"",IF(AND(V$5&gt;=$D137,V$5&lt;=$E137),IF(V$5-$D137+1&lt;=ROUND(($E137-$D137+1)*$F137,0),2,IF(V$5&lt;CFG_CurWeek,3,1)),""))</f>
        <v/>
      </c>
      <c r="W137" s="66" t="str">
        <f aca="false">IF(OR($D137="",$E137=""),"",IF(AND(W$5&gt;=$D137,W$5&lt;=$E137),IF(W$5-$D137+1&lt;=ROUND(($E137-$D137+1)*$F137,0),2,IF(W$5&lt;CFG_CurWeek,3,1)),""))</f>
        <v/>
      </c>
      <c r="X137" s="66" t="str">
        <f aca="false">IF(OR($D137="",$E137=""),"",IF(AND(X$5&gt;=$D137,X$5&lt;=$E137),IF(X$5-$D137+1&lt;=ROUND(($E137-$D137+1)*$F137,0),2,IF(X$5&lt;CFG_CurWeek,3,1)),""))</f>
        <v/>
      </c>
      <c r="Y137" s="66" t="str">
        <f aca="false">IF(OR($D137="",$E137=""),"",IF(AND(Y$5&gt;=$D137,Y$5&lt;=$E137),IF(Y$5-$D137+1&lt;=ROUND(($E137-$D137+1)*$F137,0),2,IF(Y$5&lt;CFG_CurWeek,3,1)),""))</f>
        <v/>
      </c>
      <c r="Z137" s="66" t="str">
        <f aca="false">IF(OR($D137="",$E137=""),"",IF(AND(Z$5&gt;=$D137,Z$5&lt;=$E137),IF(Z$5-$D137+1&lt;=ROUND(($E137-$D137+1)*$F137,0),2,IF(Z$5&lt;CFG_CurWeek,3,1)),""))</f>
        <v/>
      </c>
      <c r="AA137" s="66" t="str">
        <f aca="false">IF(OR($D137="",$E137=""),"",IF(AND(AA$5&gt;=$D137,AA$5&lt;=$E137),IF(AA$5-$D137+1&lt;=ROUND(($E137-$D137+1)*$F137,0),2,IF(AA$5&lt;CFG_CurWeek,3,1)),""))</f>
        <v/>
      </c>
      <c r="AB137" s="66" t="str">
        <f aca="false">IF(OR($D137="",$E137=""),"",IF(AND(AB$5&gt;=$D137,AB$5&lt;=$E137),IF(AB$5-$D137+1&lt;=ROUND(($E137-$D137+1)*$F137,0),2,IF(AB$5&lt;CFG_CurWeek,3,1)),""))</f>
        <v/>
      </c>
      <c r="AC137" s="66" t="str">
        <f aca="false">IF(OR($D137="",$E137=""),"",IF(AND(AC$5&gt;=$D137,AC$5&lt;=$E137),IF(AC$5-$D137+1&lt;=ROUND(($E137-$D137+1)*$F137,0),2,IF(AC$5&lt;CFG_CurWeek,3,1)),""))</f>
        <v/>
      </c>
      <c r="AD137" s="66" t="str">
        <f aca="false">IF(OR($D137="",$E137=""),"",IF(AND(AD$5&gt;=$D137,AD$5&lt;=$E137),IF(AD$5-$D137+1&lt;=ROUND(($E137-$D137+1)*$F137,0),2,IF(AD$5&lt;CFG_CurWeek,3,1)),""))</f>
        <v/>
      </c>
      <c r="AE137" s="66" t="str">
        <f aca="false">IF(OR($D137="",$E137=""),"",IF(AND(AE$5&gt;=$D137,AE$5&lt;=$E137),IF(AE$5-$D137+1&lt;=ROUND(($E137-$D137+1)*$F137,0),2,IF(AE$5&lt;CFG_CurWeek,3,1)),""))</f>
        <v/>
      </c>
      <c r="AF137" s="66" t="str">
        <f aca="false">IF(OR($D137="",$E137=""),"",IF(AND(AF$5&gt;=$D137,AF$5&lt;=$E137),IF(AF$5-$D137+1&lt;=ROUND(($E137-$D137+1)*$F137,0),2,IF(AF$5&lt;CFG_CurWeek,3,1)),""))</f>
        <v/>
      </c>
      <c r="AG137" s="66" t="str">
        <f aca="false">IF(OR($D137="",$E137=""),"",IF(AND(AG$5&gt;=$D137,AG$5&lt;=$E137),IF(AG$5-$D137+1&lt;=ROUND(($E137-$D137+1)*$F137,0),2,IF(AG$5&lt;CFG_CurWeek,3,1)),""))</f>
        <v/>
      </c>
      <c r="AH137" s="66" t="str">
        <f aca="false">IF(OR($D137="",$E137=""),"",IF(AND(AH$5&gt;=$D137,AH$5&lt;=$E137),IF(AH$5-$D137+1&lt;=ROUND(($E137-$D137+1)*$F137,0),2,IF(AH$5&lt;CFG_CurWeek,3,1)),""))</f>
        <v/>
      </c>
      <c r="AI137" s="66" t="str">
        <f aca="false">IF(OR($D137="",$E137=""),"",IF(AND(AI$5&gt;=$D137,AI$5&lt;=$E137),IF(AI$5-$D137+1&lt;=ROUND(($E137-$D137+1)*$F137,0),2,IF(AI$5&lt;CFG_CurWeek,3,1)),""))</f>
        <v/>
      </c>
      <c r="AJ137" s="66" t="str">
        <f aca="false">IF(OR($D137="",$E137=""),"",IF(AND(AJ$5&gt;=$D137,AJ$5&lt;=$E137),IF(AJ$5-$D137+1&lt;=ROUND(($E137-$D137+1)*$F137,0),2,IF(AJ$5&lt;CFG_CurWeek,3,1)),""))</f>
        <v/>
      </c>
      <c r="AK137" s="66" t="str">
        <f aca="false">IF(OR($D137="",$E137=""),"",IF(AND(AK$5&gt;=$D137,AK$5&lt;=$E137),IF(AK$5-$D137+1&lt;=ROUND(($E137-$D137+1)*$F137,0),2,IF(AK$5&lt;CFG_CurWeek,3,1)),""))</f>
        <v/>
      </c>
      <c r="AL137" s="66" t="str">
        <f aca="false">IF(OR($D137="",$E137=""),"",IF(AND(AL$5&gt;=$D137,AL$5&lt;=$E137),IF(AL$5-$D137+1&lt;=ROUND(($E137-$D137+1)*$F137,0),2,IF(AL$5&lt;CFG_CurWeek,3,1)),""))</f>
        <v/>
      </c>
      <c r="AM137" s="66" t="str">
        <f aca="false">IF(OR($D137="",$E137=""),"",IF(AND(AM$5&gt;=$D137,AM$5&lt;=$E137),IF(AM$5-$D137+1&lt;=ROUND(($E137-$D137+1)*$F137,0),2,IF(AM$5&lt;CFG_CurWeek,3,1)),""))</f>
        <v/>
      </c>
      <c r="AN137" s="66" t="str">
        <f aca="false">IF(OR($D137="",$E137=""),"",IF(AND(AN$5&gt;=$D137,AN$5&lt;=$E137),IF(AN$5-$D137+1&lt;=ROUND(($E137-$D137+1)*$F137,0),2,IF(AN$5&lt;CFG_CurWeek,3,1)),""))</f>
        <v/>
      </c>
      <c r="AO137" s="66" t="str">
        <f aca="false">IF(OR($D137="",$E137=""),"",IF(AND(AO$5&gt;=$D137,AO$5&lt;=$E137),IF(AO$5-$D137+1&lt;=ROUND(($E137-$D137+1)*$F137,0),2,IF(AO$5&lt;CFG_CurWeek,3,1)),""))</f>
        <v/>
      </c>
    </row>
    <row r="138" customFormat="false" ht="15" hidden="false" customHeight="false" outlineLevel="0" collapsed="false">
      <c r="A138" s="63" t="str">
        <f aca="false">IF('01_WBS &amp; Master Plan'!A135="","",'01_WBS &amp; Master Plan'!A135)</f>
        <v/>
      </c>
      <c r="B138" s="64" t="str">
        <f aca="false">IF('01_WBS &amp; Master Plan'!D135="","",'01_WBS &amp; Master Plan'!D135)</f>
        <v/>
      </c>
      <c r="C138" s="63" t="str">
        <f aca="false">IF('01_WBS &amp; Master Plan'!E135="","",'01_WBS &amp; Master Plan'!E135)</f>
        <v/>
      </c>
      <c r="D138" s="63" t="str">
        <f aca="false">IF('01_WBS &amp; Master Plan'!H135="","",'01_WBS &amp; Master Plan'!H135)</f>
        <v/>
      </c>
      <c r="E138" s="63" t="str">
        <f aca="false">IF('01_WBS &amp; Master Plan'!I135="","",'01_WBS &amp; Master Plan'!I135)</f>
        <v/>
      </c>
      <c r="F138" s="65" t="str">
        <f aca="false">IF(B138="","",IF('01_WBS &amp; Master Plan'!K135="Done",1,IF('01_WBS &amp; Master Plan'!L135="",0,'01_WBS &amp; Master Plan'!L135)))</f>
        <v/>
      </c>
      <c r="G138" s="63" t="str">
        <f aca="false">IF('01_WBS &amp; Master Plan'!K135="","",'01_WBS &amp; Master Plan'!K135)</f>
        <v/>
      </c>
      <c r="H138" s="66" t="str">
        <f aca="false">IF(OR($D138="",$E138=""),"",IF(AND(H$5&gt;=$D138,H$5&lt;=$E138),IF(H$5-$D138+1&lt;=ROUND(($E138-$D138+1)*$F138,0),2,IF(H$5&lt;CFG_CurWeek,3,1)),""))</f>
        <v/>
      </c>
      <c r="I138" s="66" t="str">
        <f aca="false">IF(OR($D138="",$E138=""),"",IF(AND(I$5&gt;=$D138,I$5&lt;=$E138),IF(I$5-$D138+1&lt;=ROUND(($E138-$D138+1)*$F138,0),2,IF(I$5&lt;CFG_CurWeek,3,1)),""))</f>
        <v/>
      </c>
      <c r="J138" s="66" t="str">
        <f aca="false">IF(OR($D138="",$E138=""),"",IF(AND(J$5&gt;=$D138,J$5&lt;=$E138),IF(J$5-$D138+1&lt;=ROUND(($E138-$D138+1)*$F138,0),2,IF(J$5&lt;CFG_CurWeek,3,1)),""))</f>
        <v/>
      </c>
      <c r="K138" s="66" t="str">
        <f aca="false">IF(OR($D138="",$E138=""),"",IF(AND(K$5&gt;=$D138,K$5&lt;=$E138),IF(K$5-$D138+1&lt;=ROUND(($E138-$D138+1)*$F138,0),2,IF(K$5&lt;CFG_CurWeek,3,1)),""))</f>
        <v/>
      </c>
      <c r="L138" s="66" t="str">
        <f aca="false">IF(OR($D138="",$E138=""),"",IF(AND(L$5&gt;=$D138,L$5&lt;=$E138),IF(L$5-$D138+1&lt;=ROUND(($E138-$D138+1)*$F138,0),2,IF(L$5&lt;CFG_CurWeek,3,1)),""))</f>
        <v/>
      </c>
      <c r="M138" s="66" t="str">
        <f aca="false">IF(OR($D138="",$E138=""),"",IF(AND(M$5&gt;=$D138,M$5&lt;=$E138),IF(M$5-$D138+1&lt;=ROUND(($E138-$D138+1)*$F138,0),2,IF(M$5&lt;CFG_CurWeek,3,1)),""))</f>
        <v/>
      </c>
      <c r="N138" s="66" t="str">
        <f aca="false">IF(OR($D138="",$E138=""),"",IF(AND(N$5&gt;=$D138,N$5&lt;=$E138),IF(N$5-$D138+1&lt;=ROUND(($E138-$D138+1)*$F138,0),2,IF(N$5&lt;CFG_CurWeek,3,1)),""))</f>
        <v/>
      </c>
      <c r="O138" s="66" t="str">
        <f aca="false">IF(OR($D138="",$E138=""),"",IF(AND(O$5&gt;=$D138,O$5&lt;=$E138),IF(O$5-$D138+1&lt;=ROUND(($E138-$D138+1)*$F138,0),2,IF(O$5&lt;CFG_CurWeek,3,1)),""))</f>
        <v/>
      </c>
      <c r="P138" s="66" t="str">
        <f aca="false">IF(OR($D138="",$E138=""),"",IF(AND(P$5&gt;=$D138,P$5&lt;=$E138),IF(P$5-$D138+1&lt;=ROUND(($E138-$D138+1)*$F138,0),2,IF(P$5&lt;CFG_CurWeek,3,1)),""))</f>
        <v/>
      </c>
      <c r="Q138" s="66" t="str">
        <f aca="false">IF(OR($D138="",$E138=""),"",IF(AND(Q$5&gt;=$D138,Q$5&lt;=$E138),IF(Q$5-$D138+1&lt;=ROUND(($E138-$D138+1)*$F138,0),2,IF(Q$5&lt;CFG_CurWeek,3,1)),""))</f>
        <v/>
      </c>
      <c r="R138" s="66" t="str">
        <f aca="false">IF(OR($D138="",$E138=""),"",IF(AND(R$5&gt;=$D138,R$5&lt;=$E138),IF(R$5-$D138+1&lt;=ROUND(($E138-$D138+1)*$F138,0),2,IF(R$5&lt;CFG_CurWeek,3,1)),""))</f>
        <v/>
      </c>
      <c r="S138" s="66" t="str">
        <f aca="false">IF(OR($D138="",$E138=""),"",IF(AND(S$5&gt;=$D138,S$5&lt;=$E138),IF(S$5-$D138+1&lt;=ROUND(($E138-$D138+1)*$F138,0),2,IF(S$5&lt;CFG_CurWeek,3,1)),""))</f>
        <v/>
      </c>
      <c r="T138" s="66" t="str">
        <f aca="false">IF(OR($D138="",$E138=""),"",IF(AND(T$5&gt;=$D138,T$5&lt;=$E138),IF(T$5-$D138+1&lt;=ROUND(($E138-$D138+1)*$F138,0),2,IF(T$5&lt;CFG_CurWeek,3,1)),""))</f>
        <v/>
      </c>
      <c r="U138" s="66" t="str">
        <f aca="false">IF(OR($D138="",$E138=""),"",IF(AND(U$5&gt;=$D138,U$5&lt;=$E138),IF(U$5-$D138+1&lt;=ROUND(($E138-$D138+1)*$F138,0),2,IF(U$5&lt;CFG_CurWeek,3,1)),""))</f>
        <v/>
      </c>
      <c r="V138" s="66" t="str">
        <f aca="false">IF(OR($D138="",$E138=""),"",IF(AND(V$5&gt;=$D138,V$5&lt;=$E138),IF(V$5-$D138+1&lt;=ROUND(($E138-$D138+1)*$F138,0),2,IF(V$5&lt;CFG_CurWeek,3,1)),""))</f>
        <v/>
      </c>
      <c r="W138" s="66" t="str">
        <f aca="false">IF(OR($D138="",$E138=""),"",IF(AND(W$5&gt;=$D138,W$5&lt;=$E138),IF(W$5-$D138+1&lt;=ROUND(($E138-$D138+1)*$F138,0),2,IF(W$5&lt;CFG_CurWeek,3,1)),""))</f>
        <v/>
      </c>
      <c r="X138" s="66" t="str">
        <f aca="false">IF(OR($D138="",$E138=""),"",IF(AND(X$5&gt;=$D138,X$5&lt;=$E138),IF(X$5-$D138+1&lt;=ROUND(($E138-$D138+1)*$F138,0),2,IF(X$5&lt;CFG_CurWeek,3,1)),""))</f>
        <v/>
      </c>
      <c r="Y138" s="66" t="str">
        <f aca="false">IF(OR($D138="",$E138=""),"",IF(AND(Y$5&gt;=$D138,Y$5&lt;=$E138),IF(Y$5-$D138+1&lt;=ROUND(($E138-$D138+1)*$F138,0),2,IF(Y$5&lt;CFG_CurWeek,3,1)),""))</f>
        <v/>
      </c>
      <c r="Z138" s="66" t="str">
        <f aca="false">IF(OR($D138="",$E138=""),"",IF(AND(Z$5&gt;=$D138,Z$5&lt;=$E138),IF(Z$5-$D138+1&lt;=ROUND(($E138-$D138+1)*$F138,0),2,IF(Z$5&lt;CFG_CurWeek,3,1)),""))</f>
        <v/>
      </c>
      <c r="AA138" s="66" t="str">
        <f aca="false">IF(OR($D138="",$E138=""),"",IF(AND(AA$5&gt;=$D138,AA$5&lt;=$E138),IF(AA$5-$D138+1&lt;=ROUND(($E138-$D138+1)*$F138,0),2,IF(AA$5&lt;CFG_CurWeek,3,1)),""))</f>
        <v/>
      </c>
      <c r="AB138" s="66" t="str">
        <f aca="false">IF(OR($D138="",$E138=""),"",IF(AND(AB$5&gt;=$D138,AB$5&lt;=$E138),IF(AB$5-$D138+1&lt;=ROUND(($E138-$D138+1)*$F138,0),2,IF(AB$5&lt;CFG_CurWeek,3,1)),""))</f>
        <v/>
      </c>
      <c r="AC138" s="66" t="str">
        <f aca="false">IF(OR($D138="",$E138=""),"",IF(AND(AC$5&gt;=$D138,AC$5&lt;=$E138),IF(AC$5-$D138+1&lt;=ROUND(($E138-$D138+1)*$F138,0),2,IF(AC$5&lt;CFG_CurWeek,3,1)),""))</f>
        <v/>
      </c>
      <c r="AD138" s="66" t="str">
        <f aca="false">IF(OR($D138="",$E138=""),"",IF(AND(AD$5&gt;=$D138,AD$5&lt;=$E138),IF(AD$5-$D138+1&lt;=ROUND(($E138-$D138+1)*$F138,0),2,IF(AD$5&lt;CFG_CurWeek,3,1)),""))</f>
        <v/>
      </c>
      <c r="AE138" s="66" t="str">
        <f aca="false">IF(OR($D138="",$E138=""),"",IF(AND(AE$5&gt;=$D138,AE$5&lt;=$E138),IF(AE$5-$D138+1&lt;=ROUND(($E138-$D138+1)*$F138,0),2,IF(AE$5&lt;CFG_CurWeek,3,1)),""))</f>
        <v/>
      </c>
      <c r="AF138" s="66" t="str">
        <f aca="false">IF(OR($D138="",$E138=""),"",IF(AND(AF$5&gt;=$D138,AF$5&lt;=$E138),IF(AF$5-$D138+1&lt;=ROUND(($E138-$D138+1)*$F138,0),2,IF(AF$5&lt;CFG_CurWeek,3,1)),""))</f>
        <v/>
      </c>
      <c r="AG138" s="66" t="str">
        <f aca="false">IF(OR($D138="",$E138=""),"",IF(AND(AG$5&gt;=$D138,AG$5&lt;=$E138),IF(AG$5-$D138+1&lt;=ROUND(($E138-$D138+1)*$F138,0),2,IF(AG$5&lt;CFG_CurWeek,3,1)),""))</f>
        <v/>
      </c>
      <c r="AH138" s="66" t="str">
        <f aca="false">IF(OR($D138="",$E138=""),"",IF(AND(AH$5&gt;=$D138,AH$5&lt;=$E138),IF(AH$5-$D138+1&lt;=ROUND(($E138-$D138+1)*$F138,0),2,IF(AH$5&lt;CFG_CurWeek,3,1)),""))</f>
        <v/>
      </c>
      <c r="AI138" s="66" t="str">
        <f aca="false">IF(OR($D138="",$E138=""),"",IF(AND(AI$5&gt;=$D138,AI$5&lt;=$E138),IF(AI$5-$D138+1&lt;=ROUND(($E138-$D138+1)*$F138,0),2,IF(AI$5&lt;CFG_CurWeek,3,1)),""))</f>
        <v/>
      </c>
      <c r="AJ138" s="66" t="str">
        <f aca="false">IF(OR($D138="",$E138=""),"",IF(AND(AJ$5&gt;=$D138,AJ$5&lt;=$E138),IF(AJ$5-$D138+1&lt;=ROUND(($E138-$D138+1)*$F138,0),2,IF(AJ$5&lt;CFG_CurWeek,3,1)),""))</f>
        <v/>
      </c>
      <c r="AK138" s="66" t="str">
        <f aca="false">IF(OR($D138="",$E138=""),"",IF(AND(AK$5&gt;=$D138,AK$5&lt;=$E138),IF(AK$5-$D138+1&lt;=ROUND(($E138-$D138+1)*$F138,0),2,IF(AK$5&lt;CFG_CurWeek,3,1)),""))</f>
        <v/>
      </c>
      <c r="AL138" s="66" t="str">
        <f aca="false">IF(OR($D138="",$E138=""),"",IF(AND(AL$5&gt;=$D138,AL$5&lt;=$E138),IF(AL$5-$D138+1&lt;=ROUND(($E138-$D138+1)*$F138,0),2,IF(AL$5&lt;CFG_CurWeek,3,1)),""))</f>
        <v/>
      </c>
      <c r="AM138" s="66" t="str">
        <f aca="false">IF(OR($D138="",$E138=""),"",IF(AND(AM$5&gt;=$D138,AM$5&lt;=$E138),IF(AM$5-$D138+1&lt;=ROUND(($E138-$D138+1)*$F138,0),2,IF(AM$5&lt;CFG_CurWeek,3,1)),""))</f>
        <v/>
      </c>
      <c r="AN138" s="66" t="str">
        <f aca="false">IF(OR($D138="",$E138=""),"",IF(AND(AN$5&gt;=$D138,AN$5&lt;=$E138),IF(AN$5-$D138+1&lt;=ROUND(($E138-$D138+1)*$F138,0),2,IF(AN$5&lt;CFG_CurWeek,3,1)),""))</f>
        <v/>
      </c>
      <c r="AO138" s="66" t="str">
        <f aca="false">IF(OR($D138="",$E138=""),"",IF(AND(AO$5&gt;=$D138,AO$5&lt;=$E138),IF(AO$5-$D138+1&lt;=ROUND(($E138-$D138+1)*$F138,0),2,IF(AO$5&lt;CFG_CurWeek,3,1)),""))</f>
        <v/>
      </c>
    </row>
    <row r="139" customFormat="false" ht="15" hidden="false" customHeight="false" outlineLevel="0" collapsed="false">
      <c r="A139" s="63" t="str">
        <f aca="false">IF('01_WBS &amp; Master Plan'!A136="","",'01_WBS &amp; Master Plan'!A136)</f>
        <v/>
      </c>
      <c r="B139" s="64" t="str">
        <f aca="false">IF('01_WBS &amp; Master Plan'!D136="","",'01_WBS &amp; Master Plan'!D136)</f>
        <v/>
      </c>
      <c r="C139" s="63" t="str">
        <f aca="false">IF('01_WBS &amp; Master Plan'!E136="","",'01_WBS &amp; Master Plan'!E136)</f>
        <v/>
      </c>
      <c r="D139" s="63" t="str">
        <f aca="false">IF('01_WBS &amp; Master Plan'!H136="","",'01_WBS &amp; Master Plan'!H136)</f>
        <v/>
      </c>
      <c r="E139" s="63" t="str">
        <f aca="false">IF('01_WBS &amp; Master Plan'!I136="","",'01_WBS &amp; Master Plan'!I136)</f>
        <v/>
      </c>
      <c r="F139" s="65" t="str">
        <f aca="false">IF(B139="","",IF('01_WBS &amp; Master Plan'!K136="Done",1,IF('01_WBS &amp; Master Plan'!L136="",0,'01_WBS &amp; Master Plan'!L136)))</f>
        <v/>
      </c>
      <c r="G139" s="63" t="str">
        <f aca="false">IF('01_WBS &amp; Master Plan'!K136="","",'01_WBS &amp; Master Plan'!K136)</f>
        <v/>
      </c>
      <c r="H139" s="66" t="str">
        <f aca="false">IF(OR($D139="",$E139=""),"",IF(AND(H$5&gt;=$D139,H$5&lt;=$E139),IF(H$5-$D139+1&lt;=ROUND(($E139-$D139+1)*$F139,0),2,IF(H$5&lt;CFG_CurWeek,3,1)),""))</f>
        <v/>
      </c>
      <c r="I139" s="66" t="str">
        <f aca="false">IF(OR($D139="",$E139=""),"",IF(AND(I$5&gt;=$D139,I$5&lt;=$E139),IF(I$5-$D139+1&lt;=ROUND(($E139-$D139+1)*$F139,0),2,IF(I$5&lt;CFG_CurWeek,3,1)),""))</f>
        <v/>
      </c>
      <c r="J139" s="66" t="str">
        <f aca="false">IF(OR($D139="",$E139=""),"",IF(AND(J$5&gt;=$D139,J$5&lt;=$E139),IF(J$5-$D139+1&lt;=ROUND(($E139-$D139+1)*$F139,0),2,IF(J$5&lt;CFG_CurWeek,3,1)),""))</f>
        <v/>
      </c>
      <c r="K139" s="66" t="str">
        <f aca="false">IF(OR($D139="",$E139=""),"",IF(AND(K$5&gt;=$D139,K$5&lt;=$E139),IF(K$5-$D139+1&lt;=ROUND(($E139-$D139+1)*$F139,0),2,IF(K$5&lt;CFG_CurWeek,3,1)),""))</f>
        <v/>
      </c>
      <c r="L139" s="66" t="str">
        <f aca="false">IF(OR($D139="",$E139=""),"",IF(AND(L$5&gt;=$D139,L$5&lt;=$E139),IF(L$5-$D139+1&lt;=ROUND(($E139-$D139+1)*$F139,0),2,IF(L$5&lt;CFG_CurWeek,3,1)),""))</f>
        <v/>
      </c>
      <c r="M139" s="66" t="str">
        <f aca="false">IF(OR($D139="",$E139=""),"",IF(AND(M$5&gt;=$D139,M$5&lt;=$E139),IF(M$5-$D139+1&lt;=ROUND(($E139-$D139+1)*$F139,0),2,IF(M$5&lt;CFG_CurWeek,3,1)),""))</f>
        <v/>
      </c>
      <c r="N139" s="66" t="str">
        <f aca="false">IF(OR($D139="",$E139=""),"",IF(AND(N$5&gt;=$D139,N$5&lt;=$E139),IF(N$5-$D139+1&lt;=ROUND(($E139-$D139+1)*$F139,0),2,IF(N$5&lt;CFG_CurWeek,3,1)),""))</f>
        <v/>
      </c>
      <c r="O139" s="66" t="str">
        <f aca="false">IF(OR($D139="",$E139=""),"",IF(AND(O$5&gt;=$D139,O$5&lt;=$E139),IF(O$5-$D139+1&lt;=ROUND(($E139-$D139+1)*$F139,0),2,IF(O$5&lt;CFG_CurWeek,3,1)),""))</f>
        <v/>
      </c>
      <c r="P139" s="66" t="str">
        <f aca="false">IF(OR($D139="",$E139=""),"",IF(AND(P$5&gt;=$D139,P$5&lt;=$E139),IF(P$5-$D139+1&lt;=ROUND(($E139-$D139+1)*$F139,0),2,IF(P$5&lt;CFG_CurWeek,3,1)),""))</f>
        <v/>
      </c>
      <c r="Q139" s="66" t="str">
        <f aca="false">IF(OR($D139="",$E139=""),"",IF(AND(Q$5&gt;=$D139,Q$5&lt;=$E139),IF(Q$5-$D139+1&lt;=ROUND(($E139-$D139+1)*$F139,0),2,IF(Q$5&lt;CFG_CurWeek,3,1)),""))</f>
        <v/>
      </c>
      <c r="R139" s="66" t="str">
        <f aca="false">IF(OR($D139="",$E139=""),"",IF(AND(R$5&gt;=$D139,R$5&lt;=$E139),IF(R$5-$D139+1&lt;=ROUND(($E139-$D139+1)*$F139,0),2,IF(R$5&lt;CFG_CurWeek,3,1)),""))</f>
        <v/>
      </c>
      <c r="S139" s="66" t="str">
        <f aca="false">IF(OR($D139="",$E139=""),"",IF(AND(S$5&gt;=$D139,S$5&lt;=$E139),IF(S$5-$D139+1&lt;=ROUND(($E139-$D139+1)*$F139,0),2,IF(S$5&lt;CFG_CurWeek,3,1)),""))</f>
        <v/>
      </c>
      <c r="T139" s="66" t="str">
        <f aca="false">IF(OR($D139="",$E139=""),"",IF(AND(T$5&gt;=$D139,T$5&lt;=$E139),IF(T$5-$D139+1&lt;=ROUND(($E139-$D139+1)*$F139,0),2,IF(T$5&lt;CFG_CurWeek,3,1)),""))</f>
        <v/>
      </c>
      <c r="U139" s="66" t="str">
        <f aca="false">IF(OR($D139="",$E139=""),"",IF(AND(U$5&gt;=$D139,U$5&lt;=$E139),IF(U$5-$D139+1&lt;=ROUND(($E139-$D139+1)*$F139,0),2,IF(U$5&lt;CFG_CurWeek,3,1)),""))</f>
        <v/>
      </c>
      <c r="V139" s="66" t="str">
        <f aca="false">IF(OR($D139="",$E139=""),"",IF(AND(V$5&gt;=$D139,V$5&lt;=$E139),IF(V$5-$D139+1&lt;=ROUND(($E139-$D139+1)*$F139,0),2,IF(V$5&lt;CFG_CurWeek,3,1)),""))</f>
        <v/>
      </c>
      <c r="W139" s="66" t="str">
        <f aca="false">IF(OR($D139="",$E139=""),"",IF(AND(W$5&gt;=$D139,W$5&lt;=$E139),IF(W$5-$D139+1&lt;=ROUND(($E139-$D139+1)*$F139,0),2,IF(W$5&lt;CFG_CurWeek,3,1)),""))</f>
        <v/>
      </c>
      <c r="X139" s="66" t="str">
        <f aca="false">IF(OR($D139="",$E139=""),"",IF(AND(X$5&gt;=$D139,X$5&lt;=$E139),IF(X$5-$D139+1&lt;=ROUND(($E139-$D139+1)*$F139,0),2,IF(X$5&lt;CFG_CurWeek,3,1)),""))</f>
        <v/>
      </c>
      <c r="Y139" s="66" t="str">
        <f aca="false">IF(OR($D139="",$E139=""),"",IF(AND(Y$5&gt;=$D139,Y$5&lt;=$E139),IF(Y$5-$D139+1&lt;=ROUND(($E139-$D139+1)*$F139,0),2,IF(Y$5&lt;CFG_CurWeek,3,1)),""))</f>
        <v/>
      </c>
      <c r="Z139" s="66" t="str">
        <f aca="false">IF(OR($D139="",$E139=""),"",IF(AND(Z$5&gt;=$D139,Z$5&lt;=$E139),IF(Z$5-$D139+1&lt;=ROUND(($E139-$D139+1)*$F139,0),2,IF(Z$5&lt;CFG_CurWeek,3,1)),""))</f>
        <v/>
      </c>
      <c r="AA139" s="66" t="str">
        <f aca="false">IF(OR($D139="",$E139=""),"",IF(AND(AA$5&gt;=$D139,AA$5&lt;=$E139),IF(AA$5-$D139+1&lt;=ROUND(($E139-$D139+1)*$F139,0),2,IF(AA$5&lt;CFG_CurWeek,3,1)),""))</f>
        <v/>
      </c>
      <c r="AB139" s="66" t="str">
        <f aca="false">IF(OR($D139="",$E139=""),"",IF(AND(AB$5&gt;=$D139,AB$5&lt;=$E139),IF(AB$5-$D139+1&lt;=ROUND(($E139-$D139+1)*$F139,0),2,IF(AB$5&lt;CFG_CurWeek,3,1)),""))</f>
        <v/>
      </c>
      <c r="AC139" s="66" t="str">
        <f aca="false">IF(OR($D139="",$E139=""),"",IF(AND(AC$5&gt;=$D139,AC$5&lt;=$E139),IF(AC$5-$D139+1&lt;=ROUND(($E139-$D139+1)*$F139,0),2,IF(AC$5&lt;CFG_CurWeek,3,1)),""))</f>
        <v/>
      </c>
      <c r="AD139" s="66" t="str">
        <f aca="false">IF(OR($D139="",$E139=""),"",IF(AND(AD$5&gt;=$D139,AD$5&lt;=$E139),IF(AD$5-$D139+1&lt;=ROUND(($E139-$D139+1)*$F139,0),2,IF(AD$5&lt;CFG_CurWeek,3,1)),""))</f>
        <v/>
      </c>
      <c r="AE139" s="66" t="str">
        <f aca="false">IF(OR($D139="",$E139=""),"",IF(AND(AE$5&gt;=$D139,AE$5&lt;=$E139),IF(AE$5-$D139+1&lt;=ROUND(($E139-$D139+1)*$F139,0),2,IF(AE$5&lt;CFG_CurWeek,3,1)),""))</f>
        <v/>
      </c>
      <c r="AF139" s="66" t="str">
        <f aca="false">IF(OR($D139="",$E139=""),"",IF(AND(AF$5&gt;=$D139,AF$5&lt;=$E139),IF(AF$5-$D139+1&lt;=ROUND(($E139-$D139+1)*$F139,0),2,IF(AF$5&lt;CFG_CurWeek,3,1)),""))</f>
        <v/>
      </c>
      <c r="AG139" s="66" t="str">
        <f aca="false">IF(OR($D139="",$E139=""),"",IF(AND(AG$5&gt;=$D139,AG$5&lt;=$E139),IF(AG$5-$D139+1&lt;=ROUND(($E139-$D139+1)*$F139,0),2,IF(AG$5&lt;CFG_CurWeek,3,1)),""))</f>
        <v/>
      </c>
      <c r="AH139" s="66" t="str">
        <f aca="false">IF(OR($D139="",$E139=""),"",IF(AND(AH$5&gt;=$D139,AH$5&lt;=$E139),IF(AH$5-$D139+1&lt;=ROUND(($E139-$D139+1)*$F139,0),2,IF(AH$5&lt;CFG_CurWeek,3,1)),""))</f>
        <v/>
      </c>
      <c r="AI139" s="66" t="str">
        <f aca="false">IF(OR($D139="",$E139=""),"",IF(AND(AI$5&gt;=$D139,AI$5&lt;=$E139),IF(AI$5-$D139+1&lt;=ROUND(($E139-$D139+1)*$F139,0),2,IF(AI$5&lt;CFG_CurWeek,3,1)),""))</f>
        <v/>
      </c>
      <c r="AJ139" s="66" t="str">
        <f aca="false">IF(OR($D139="",$E139=""),"",IF(AND(AJ$5&gt;=$D139,AJ$5&lt;=$E139),IF(AJ$5-$D139+1&lt;=ROUND(($E139-$D139+1)*$F139,0),2,IF(AJ$5&lt;CFG_CurWeek,3,1)),""))</f>
        <v/>
      </c>
      <c r="AK139" s="66" t="str">
        <f aca="false">IF(OR($D139="",$E139=""),"",IF(AND(AK$5&gt;=$D139,AK$5&lt;=$E139),IF(AK$5-$D139+1&lt;=ROUND(($E139-$D139+1)*$F139,0),2,IF(AK$5&lt;CFG_CurWeek,3,1)),""))</f>
        <v/>
      </c>
      <c r="AL139" s="66" t="str">
        <f aca="false">IF(OR($D139="",$E139=""),"",IF(AND(AL$5&gt;=$D139,AL$5&lt;=$E139),IF(AL$5-$D139+1&lt;=ROUND(($E139-$D139+1)*$F139,0),2,IF(AL$5&lt;CFG_CurWeek,3,1)),""))</f>
        <v/>
      </c>
      <c r="AM139" s="66" t="str">
        <f aca="false">IF(OR($D139="",$E139=""),"",IF(AND(AM$5&gt;=$D139,AM$5&lt;=$E139),IF(AM$5-$D139+1&lt;=ROUND(($E139-$D139+1)*$F139,0),2,IF(AM$5&lt;CFG_CurWeek,3,1)),""))</f>
        <v/>
      </c>
      <c r="AN139" s="66" t="str">
        <f aca="false">IF(OR($D139="",$E139=""),"",IF(AND(AN$5&gt;=$D139,AN$5&lt;=$E139),IF(AN$5-$D139+1&lt;=ROUND(($E139-$D139+1)*$F139,0),2,IF(AN$5&lt;CFG_CurWeek,3,1)),""))</f>
        <v/>
      </c>
      <c r="AO139" s="66" t="str">
        <f aca="false">IF(OR($D139="",$E139=""),"",IF(AND(AO$5&gt;=$D139,AO$5&lt;=$E139),IF(AO$5-$D139+1&lt;=ROUND(($E139-$D139+1)*$F139,0),2,IF(AO$5&lt;CFG_CurWeek,3,1)),""))</f>
        <v/>
      </c>
    </row>
    <row r="140" customFormat="false" ht="15" hidden="false" customHeight="false" outlineLevel="0" collapsed="false">
      <c r="A140" s="63" t="str">
        <f aca="false">IF('01_WBS &amp; Master Plan'!A137="","",'01_WBS &amp; Master Plan'!A137)</f>
        <v/>
      </c>
      <c r="B140" s="64" t="str">
        <f aca="false">IF('01_WBS &amp; Master Plan'!D137="","",'01_WBS &amp; Master Plan'!D137)</f>
        <v/>
      </c>
      <c r="C140" s="63" t="str">
        <f aca="false">IF('01_WBS &amp; Master Plan'!E137="","",'01_WBS &amp; Master Plan'!E137)</f>
        <v/>
      </c>
      <c r="D140" s="63" t="str">
        <f aca="false">IF('01_WBS &amp; Master Plan'!H137="","",'01_WBS &amp; Master Plan'!H137)</f>
        <v/>
      </c>
      <c r="E140" s="63" t="str">
        <f aca="false">IF('01_WBS &amp; Master Plan'!I137="","",'01_WBS &amp; Master Plan'!I137)</f>
        <v/>
      </c>
      <c r="F140" s="65" t="str">
        <f aca="false">IF(B140="","",IF('01_WBS &amp; Master Plan'!K137="Done",1,IF('01_WBS &amp; Master Plan'!L137="",0,'01_WBS &amp; Master Plan'!L137)))</f>
        <v/>
      </c>
      <c r="G140" s="63" t="str">
        <f aca="false">IF('01_WBS &amp; Master Plan'!K137="","",'01_WBS &amp; Master Plan'!K137)</f>
        <v/>
      </c>
      <c r="H140" s="66" t="str">
        <f aca="false">IF(OR($D140="",$E140=""),"",IF(AND(H$5&gt;=$D140,H$5&lt;=$E140),IF(H$5-$D140+1&lt;=ROUND(($E140-$D140+1)*$F140,0),2,IF(H$5&lt;CFG_CurWeek,3,1)),""))</f>
        <v/>
      </c>
      <c r="I140" s="66" t="str">
        <f aca="false">IF(OR($D140="",$E140=""),"",IF(AND(I$5&gt;=$D140,I$5&lt;=$E140),IF(I$5-$D140+1&lt;=ROUND(($E140-$D140+1)*$F140,0),2,IF(I$5&lt;CFG_CurWeek,3,1)),""))</f>
        <v/>
      </c>
      <c r="J140" s="66" t="str">
        <f aca="false">IF(OR($D140="",$E140=""),"",IF(AND(J$5&gt;=$D140,J$5&lt;=$E140),IF(J$5-$D140+1&lt;=ROUND(($E140-$D140+1)*$F140,0),2,IF(J$5&lt;CFG_CurWeek,3,1)),""))</f>
        <v/>
      </c>
      <c r="K140" s="66" t="str">
        <f aca="false">IF(OR($D140="",$E140=""),"",IF(AND(K$5&gt;=$D140,K$5&lt;=$E140),IF(K$5-$D140+1&lt;=ROUND(($E140-$D140+1)*$F140,0),2,IF(K$5&lt;CFG_CurWeek,3,1)),""))</f>
        <v/>
      </c>
      <c r="L140" s="66" t="str">
        <f aca="false">IF(OR($D140="",$E140=""),"",IF(AND(L$5&gt;=$D140,L$5&lt;=$E140),IF(L$5-$D140+1&lt;=ROUND(($E140-$D140+1)*$F140,0),2,IF(L$5&lt;CFG_CurWeek,3,1)),""))</f>
        <v/>
      </c>
      <c r="M140" s="66" t="str">
        <f aca="false">IF(OR($D140="",$E140=""),"",IF(AND(M$5&gt;=$D140,M$5&lt;=$E140),IF(M$5-$D140+1&lt;=ROUND(($E140-$D140+1)*$F140,0),2,IF(M$5&lt;CFG_CurWeek,3,1)),""))</f>
        <v/>
      </c>
      <c r="N140" s="66" t="str">
        <f aca="false">IF(OR($D140="",$E140=""),"",IF(AND(N$5&gt;=$D140,N$5&lt;=$E140),IF(N$5-$D140+1&lt;=ROUND(($E140-$D140+1)*$F140,0),2,IF(N$5&lt;CFG_CurWeek,3,1)),""))</f>
        <v/>
      </c>
      <c r="O140" s="66" t="str">
        <f aca="false">IF(OR($D140="",$E140=""),"",IF(AND(O$5&gt;=$D140,O$5&lt;=$E140),IF(O$5-$D140+1&lt;=ROUND(($E140-$D140+1)*$F140,0),2,IF(O$5&lt;CFG_CurWeek,3,1)),""))</f>
        <v/>
      </c>
      <c r="P140" s="66" t="str">
        <f aca="false">IF(OR($D140="",$E140=""),"",IF(AND(P$5&gt;=$D140,P$5&lt;=$E140),IF(P$5-$D140+1&lt;=ROUND(($E140-$D140+1)*$F140,0),2,IF(P$5&lt;CFG_CurWeek,3,1)),""))</f>
        <v/>
      </c>
      <c r="Q140" s="66" t="str">
        <f aca="false">IF(OR($D140="",$E140=""),"",IF(AND(Q$5&gt;=$D140,Q$5&lt;=$E140),IF(Q$5-$D140+1&lt;=ROUND(($E140-$D140+1)*$F140,0),2,IF(Q$5&lt;CFG_CurWeek,3,1)),""))</f>
        <v/>
      </c>
      <c r="R140" s="66" t="str">
        <f aca="false">IF(OR($D140="",$E140=""),"",IF(AND(R$5&gt;=$D140,R$5&lt;=$E140),IF(R$5-$D140+1&lt;=ROUND(($E140-$D140+1)*$F140,0),2,IF(R$5&lt;CFG_CurWeek,3,1)),""))</f>
        <v/>
      </c>
      <c r="S140" s="66" t="str">
        <f aca="false">IF(OR($D140="",$E140=""),"",IF(AND(S$5&gt;=$D140,S$5&lt;=$E140),IF(S$5-$D140+1&lt;=ROUND(($E140-$D140+1)*$F140,0),2,IF(S$5&lt;CFG_CurWeek,3,1)),""))</f>
        <v/>
      </c>
      <c r="T140" s="66" t="str">
        <f aca="false">IF(OR($D140="",$E140=""),"",IF(AND(T$5&gt;=$D140,T$5&lt;=$E140),IF(T$5-$D140+1&lt;=ROUND(($E140-$D140+1)*$F140,0),2,IF(T$5&lt;CFG_CurWeek,3,1)),""))</f>
        <v/>
      </c>
      <c r="U140" s="66" t="str">
        <f aca="false">IF(OR($D140="",$E140=""),"",IF(AND(U$5&gt;=$D140,U$5&lt;=$E140),IF(U$5-$D140+1&lt;=ROUND(($E140-$D140+1)*$F140,0),2,IF(U$5&lt;CFG_CurWeek,3,1)),""))</f>
        <v/>
      </c>
      <c r="V140" s="66" t="str">
        <f aca="false">IF(OR($D140="",$E140=""),"",IF(AND(V$5&gt;=$D140,V$5&lt;=$E140),IF(V$5-$D140+1&lt;=ROUND(($E140-$D140+1)*$F140,0),2,IF(V$5&lt;CFG_CurWeek,3,1)),""))</f>
        <v/>
      </c>
      <c r="W140" s="66" t="str">
        <f aca="false">IF(OR($D140="",$E140=""),"",IF(AND(W$5&gt;=$D140,W$5&lt;=$E140),IF(W$5-$D140+1&lt;=ROUND(($E140-$D140+1)*$F140,0),2,IF(W$5&lt;CFG_CurWeek,3,1)),""))</f>
        <v/>
      </c>
      <c r="X140" s="66" t="str">
        <f aca="false">IF(OR($D140="",$E140=""),"",IF(AND(X$5&gt;=$D140,X$5&lt;=$E140),IF(X$5-$D140+1&lt;=ROUND(($E140-$D140+1)*$F140,0),2,IF(X$5&lt;CFG_CurWeek,3,1)),""))</f>
        <v/>
      </c>
      <c r="Y140" s="66" t="str">
        <f aca="false">IF(OR($D140="",$E140=""),"",IF(AND(Y$5&gt;=$D140,Y$5&lt;=$E140),IF(Y$5-$D140+1&lt;=ROUND(($E140-$D140+1)*$F140,0),2,IF(Y$5&lt;CFG_CurWeek,3,1)),""))</f>
        <v/>
      </c>
      <c r="Z140" s="66" t="str">
        <f aca="false">IF(OR($D140="",$E140=""),"",IF(AND(Z$5&gt;=$D140,Z$5&lt;=$E140),IF(Z$5-$D140+1&lt;=ROUND(($E140-$D140+1)*$F140,0),2,IF(Z$5&lt;CFG_CurWeek,3,1)),""))</f>
        <v/>
      </c>
      <c r="AA140" s="66" t="str">
        <f aca="false">IF(OR($D140="",$E140=""),"",IF(AND(AA$5&gt;=$D140,AA$5&lt;=$E140),IF(AA$5-$D140+1&lt;=ROUND(($E140-$D140+1)*$F140,0),2,IF(AA$5&lt;CFG_CurWeek,3,1)),""))</f>
        <v/>
      </c>
      <c r="AB140" s="66" t="str">
        <f aca="false">IF(OR($D140="",$E140=""),"",IF(AND(AB$5&gt;=$D140,AB$5&lt;=$E140),IF(AB$5-$D140+1&lt;=ROUND(($E140-$D140+1)*$F140,0),2,IF(AB$5&lt;CFG_CurWeek,3,1)),""))</f>
        <v/>
      </c>
      <c r="AC140" s="66" t="str">
        <f aca="false">IF(OR($D140="",$E140=""),"",IF(AND(AC$5&gt;=$D140,AC$5&lt;=$E140),IF(AC$5-$D140+1&lt;=ROUND(($E140-$D140+1)*$F140,0),2,IF(AC$5&lt;CFG_CurWeek,3,1)),""))</f>
        <v/>
      </c>
      <c r="AD140" s="66" t="str">
        <f aca="false">IF(OR($D140="",$E140=""),"",IF(AND(AD$5&gt;=$D140,AD$5&lt;=$E140),IF(AD$5-$D140+1&lt;=ROUND(($E140-$D140+1)*$F140,0),2,IF(AD$5&lt;CFG_CurWeek,3,1)),""))</f>
        <v/>
      </c>
      <c r="AE140" s="66" t="str">
        <f aca="false">IF(OR($D140="",$E140=""),"",IF(AND(AE$5&gt;=$D140,AE$5&lt;=$E140),IF(AE$5-$D140+1&lt;=ROUND(($E140-$D140+1)*$F140,0),2,IF(AE$5&lt;CFG_CurWeek,3,1)),""))</f>
        <v/>
      </c>
      <c r="AF140" s="66" t="str">
        <f aca="false">IF(OR($D140="",$E140=""),"",IF(AND(AF$5&gt;=$D140,AF$5&lt;=$E140),IF(AF$5-$D140+1&lt;=ROUND(($E140-$D140+1)*$F140,0),2,IF(AF$5&lt;CFG_CurWeek,3,1)),""))</f>
        <v/>
      </c>
      <c r="AG140" s="66" t="str">
        <f aca="false">IF(OR($D140="",$E140=""),"",IF(AND(AG$5&gt;=$D140,AG$5&lt;=$E140),IF(AG$5-$D140+1&lt;=ROUND(($E140-$D140+1)*$F140,0),2,IF(AG$5&lt;CFG_CurWeek,3,1)),""))</f>
        <v/>
      </c>
      <c r="AH140" s="66" t="str">
        <f aca="false">IF(OR($D140="",$E140=""),"",IF(AND(AH$5&gt;=$D140,AH$5&lt;=$E140),IF(AH$5-$D140+1&lt;=ROUND(($E140-$D140+1)*$F140,0),2,IF(AH$5&lt;CFG_CurWeek,3,1)),""))</f>
        <v/>
      </c>
      <c r="AI140" s="66" t="str">
        <f aca="false">IF(OR($D140="",$E140=""),"",IF(AND(AI$5&gt;=$D140,AI$5&lt;=$E140),IF(AI$5-$D140+1&lt;=ROUND(($E140-$D140+1)*$F140,0),2,IF(AI$5&lt;CFG_CurWeek,3,1)),""))</f>
        <v/>
      </c>
      <c r="AJ140" s="66" t="str">
        <f aca="false">IF(OR($D140="",$E140=""),"",IF(AND(AJ$5&gt;=$D140,AJ$5&lt;=$E140),IF(AJ$5-$D140+1&lt;=ROUND(($E140-$D140+1)*$F140,0),2,IF(AJ$5&lt;CFG_CurWeek,3,1)),""))</f>
        <v/>
      </c>
      <c r="AK140" s="66" t="str">
        <f aca="false">IF(OR($D140="",$E140=""),"",IF(AND(AK$5&gt;=$D140,AK$5&lt;=$E140),IF(AK$5-$D140+1&lt;=ROUND(($E140-$D140+1)*$F140,0),2,IF(AK$5&lt;CFG_CurWeek,3,1)),""))</f>
        <v/>
      </c>
      <c r="AL140" s="66" t="str">
        <f aca="false">IF(OR($D140="",$E140=""),"",IF(AND(AL$5&gt;=$D140,AL$5&lt;=$E140),IF(AL$5-$D140+1&lt;=ROUND(($E140-$D140+1)*$F140,0),2,IF(AL$5&lt;CFG_CurWeek,3,1)),""))</f>
        <v/>
      </c>
      <c r="AM140" s="66" t="str">
        <f aca="false">IF(OR($D140="",$E140=""),"",IF(AND(AM$5&gt;=$D140,AM$5&lt;=$E140),IF(AM$5-$D140+1&lt;=ROUND(($E140-$D140+1)*$F140,0),2,IF(AM$5&lt;CFG_CurWeek,3,1)),""))</f>
        <v/>
      </c>
      <c r="AN140" s="66" t="str">
        <f aca="false">IF(OR($D140="",$E140=""),"",IF(AND(AN$5&gt;=$D140,AN$5&lt;=$E140),IF(AN$5-$D140+1&lt;=ROUND(($E140-$D140+1)*$F140,0),2,IF(AN$5&lt;CFG_CurWeek,3,1)),""))</f>
        <v/>
      </c>
      <c r="AO140" s="66" t="str">
        <f aca="false">IF(OR($D140="",$E140=""),"",IF(AND(AO$5&gt;=$D140,AO$5&lt;=$E140),IF(AO$5-$D140+1&lt;=ROUND(($E140-$D140+1)*$F140,0),2,IF(AO$5&lt;CFG_CurWeek,3,1)),""))</f>
        <v/>
      </c>
    </row>
    <row r="141" customFormat="false" ht="15" hidden="false" customHeight="false" outlineLevel="0" collapsed="false">
      <c r="A141" s="63" t="str">
        <f aca="false">IF('01_WBS &amp; Master Plan'!A138="","",'01_WBS &amp; Master Plan'!A138)</f>
        <v/>
      </c>
      <c r="B141" s="64" t="str">
        <f aca="false">IF('01_WBS &amp; Master Plan'!D138="","",'01_WBS &amp; Master Plan'!D138)</f>
        <v/>
      </c>
      <c r="C141" s="63" t="str">
        <f aca="false">IF('01_WBS &amp; Master Plan'!E138="","",'01_WBS &amp; Master Plan'!E138)</f>
        <v/>
      </c>
      <c r="D141" s="63" t="str">
        <f aca="false">IF('01_WBS &amp; Master Plan'!H138="","",'01_WBS &amp; Master Plan'!H138)</f>
        <v/>
      </c>
      <c r="E141" s="63" t="str">
        <f aca="false">IF('01_WBS &amp; Master Plan'!I138="","",'01_WBS &amp; Master Plan'!I138)</f>
        <v/>
      </c>
      <c r="F141" s="65" t="str">
        <f aca="false">IF(B141="","",IF('01_WBS &amp; Master Plan'!K138="Done",1,IF('01_WBS &amp; Master Plan'!L138="",0,'01_WBS &amp; Master Plan'!L138)))</f>
        <v/>
      </c>
      <c r="G141" s="63" t="str">
        <f aca="false">IF('01_WBS &amp; Master Plan'!K138="","",'01_WBS &amp; Master Plan'!K138)</f>
        <v/>
      </c>
      <c r="H141" s="66" t="str">
        <f aca="false">IF(OR($D141="",$E141=""),"",IF(AND(H$5&gt;=$D141,H$5&lt;=$E141),IF(H$5-$D141+1&lt;=ROUND(($E141-$D141+1)*$F141,0),2,IF(H$5&lt;CFG_CurWeek,3,1)),""))</f>
        <v/>
      </c>
      <c r="I141" s="66" t="str">
        <f aca="false">IF(OR($D141="",$E141=""),"",IF(AND(I$5&gt;=$D141,I$5&lt;=$E141),IF(I$5-$D141+1&lt;=ROUND(($E141-$D141+1)*$F141,0),2,IF(I$5&lt;CFG_CurWeek,3,1)),""))</f>
        <v/>
      </c>
      <c r="J141" s="66" t="str">
        <f aca="false">IF(OR($D141="",$E141=""),"",IF(AND(J$5&gt;=$D141,J$5&lt;=$E141),IF(J$5-$D141+1&lt;=ROUND(($E141-$D141+1)*$F141,0),2,IF(J$5&lt;CFG_CurWeek,3,1)),""))</f>
        <v/>
      </c>
      <c r="K141" s="66" t="str">
        <f aca="false">IF(OR($D141="",$E141=""),"",IF(AND(K$5&gt;=$D141,K$5&lt;=$E141),IF(K$5-$D141+1&lt;=ROUND(($E141-$D141+1)*$F141,0),2,IF(K$5&lt;CFG_CurWeek,3,1)),""))</f>
        <v/>
      </c>
      <c r="L141" s="66" t="str">
        <f aca="false">IF(OR($D141="",$E141=""),"",IF(AND(L$5&gt;=$D141,L$5&lt;=$E141),IF(L$5-$D141+1&lt;=ROUND(($E141-$D141+1)*$F141,0),2,IF(L$5&lt;CFG_CurWeek,3,1)),""))</f>
        <v/>
      </c>
      <c r="M141" s="66" t="str">
        <f aca="false">IF(OR($D141="",$E141=""),"",IF(AND(M$5&gt;=$D141,M$5&lt;=$E141),IF(M$5-$D141+1&lt;=ROUND(($E141-$D141+1)*$F141,0),2,IF(M$5&lt;CFG_CurWeek,3,1)),""))</f>
        <v/>
      </c>
      <c r="N141" s="66" t="str">
        <f aca="false">IF(OR($D141="",$E141=""),"",IF(AND(N$5&gt;=$D141,N$5&lt;=$E141),IF(N$5-$D141+1&lt;=ROUND(($E141-$D141+1)*$F141,0),2,IF(N$5&lt;CFG_CurWeek,3,1)),""))</f>
        <v/>
      </c>
      <c r="O141" s="66" t="str">
        <f aca="false">IF(OR($D141="",$E141=""),"",IF(AND(O$5&gt;=$D141,O$5&lt;=$E141),IF(O$5-$D141+1&lt;=ROUND(($E141-$D141+1)*$F141,0),2,IF(O$5&lt;CFG_CurWeek,3,1)),""))</f>
        <v/>
      </c>
      <c r="P141" s="66" t="str">
        <f aca="false">IF(OR($D141="",$E141=""),"",IF(AND(P$5&gt;=$D141,P$5&lt;=$E141),IF(P$5-$D141+1&lt;=ROUND(($E141-$D141+1)*$F141,0),2,IF(P$5&lt;CFG_CurWeek,3,1)),""))</f>
        <v/>
      </c>
      <c r="Q141" s="66" t="str">
        <f aca="false">IF(OR($D141="",$E141=""),"",IF(AND(Q$5&gt;=$D141,Q$5&lt;=$E141),IF(Q$5-$D141+1&lt;=ROUND(($E141-$D141+1)*$F141,0),2,IF(Q$5&lt;CFG_CurWeek,3,1)),""))</f>
        <v/>
      </c>
      <c r="R141" s="66" t="str">
        <f aca="false">IF(OR($D141="",$E141=""),"",IF(AND(R$5&gt;=$D141,R$5&lt;=$E141),IF(R$5-$D141+1&lt;=ROUND(($E141-$D141+1)*$F141,0),2,IF(R$5&lt;CFG_CurWeek,3,1)),""))</f>
        <v/>
      </c>
      <c r="S141" s="66" t="str">
        <f aca="false">IF(OR($D141="",$E141=""),"",IF(AND(S$5&gt;=$D141,S$5&lt;=$E141),IF(S$5-$D141+1&lt;=ROUND(($E141-$D141+1)*$F141,0),2,IF(S$5&lt;CFG_CurWeek,3,1)),""))</f>
        <v/>
      </c>
      <c r="T141" s="66" t="str">
        <f aca="false">IF(OR($D141="",$E141=""),"",IF(AND(T$5&gt;=$D141,T$5&lt;=$E141),IF(T$5-$D141+1&lt;=ROUND(($E141-$D141+1)*$F141,0),2,IF(T$5&lt;CFG_CurWeek,3,1)),""))</f>
        <v/>
      </c>
      <c r="U141" s="66" t="str">
        <f aca="false">IF(OR($D141="",$E141=""),"",IF(AND(U$5&gt;=$D141,U$5&lt;=$E141),IF(U$5-$D141+1&lt;=ROUND(($E141-$D141+1)*$F141,0),2,IF(U$5&lt;CFG_CurWeek,3,1)),""))</f>
        <v/>
      </c>
      <c r="V141" s="66" t="str">
        <f aca="false">IF(OR($D141="",$E141=""),"",IF(AND(V$5&gt;=$D141,V$5&lt;=$E141),IF(V$5-$D141+1&lt;=ROUND(($E141-$D141+1)*$F141,0),2,IF(V$5&lt;CFG_CurWeek,3,1)),""))</f>
        <v/>
      </c>
      <c r="W141" s="66" t="str">
        <f aca="false">IF(OR($D141="",$E141=""),"",IF(AND(W$5&gt;=$D141,W$5&lt;=$E141),IF(W$5-$D141+1&lt;=ROUND(($E141-$D141+1)*$F141,0),2,IF(W$5&lt;CFG_CurWeek,3,1)),""))</f>
        <v/>
      </c>
      <c r="X141" s="66" t="str">
        <f aca="false">IF(OR($D141="",$E141=""),"",IF(AND(X$5&gt;=$D141,X$5&lt;=$E141),IF(X$5-$D141+1&lt;=ROUND(($E141-$D141+1)*$F141,0),2,IF(X$5&lt;CFG_CurWeek,3,1)),""))</f>
        <v/>
      </c>
      <c r="Y141" s="66" t="str">
        <f aca="false">IF(OR($D141="",$E141=""),"",IF(AND(Y$5&gt;=$D141,Y$5&lt;=$E141),IF(Y$5-$D141+1&lt;=ROUND(($E141-$D141+1)*$F141,0),2,IF(Y$5&lt;CFG_CurWeek,3,1)),""))</f>
        <v/>
      </c>
      <c r="Z141" s="66" t="str">
        <f aca="false">IF(OR($D141="",$E141=""),"",IF(AND(Z$5&gt;=$D141,Z$5&lt;=$E141),IF(Z$5-$D141+1&lt;=ROUND(($E141-$D141+1)*$F141,0),2,IF(Z$5&lt;CFG_CurWeek,3,1)),""))</f>
        <v/>
      </c>
      <c r="AA141" s="66" t="str">
        <f aca="false">IF(OR($D141="",$E141=""),"",IF(AND(AA$5&gt;=$D141,AA$5&lt;=$E141),IF(AA$5-$D141+1&lt;=ROUND(($E141-$D141+1)*$F141,0),2,IF(AA$5&lt;CFG_CurWeek,3,1)),""))</f>
        <v/>
      </c>
      <c r="AB141" s="66" t="str">
        <f aca="false">IF(OR($D141="",$E141=""),"",IF(AND(AB$5&gt;=$D141,AB$5&lt;=$E141),IF(AB$5-$D141+1&lt;=ROUND(($E141-$D141+1)*$F141,0),2,IF(AB$5&lt;CFG_CurWeek,3,1)),""))</f>
        <v/>
      </c>
      <c r="AC141" s="66" t="str">
        <f aca="false">IF(OR($D141="",$E141=""),"",IF(AND(AC$5&gt;=$D141,AC$5&lt;=$E141),IF(AC$5-$D141+1&lt;=ROUND(($E141-$D141+1)*$F141,0),2,IF(AC$5&lt;CFG_CurWeek,3,1)),""))</f>
        <v/>
      </c>
      <c r="AD141" s="66" t="str">
        <f aca="false">IF(OR($D141="",$E141=""),"",IF(AND(AD$5&gt;=$D141,AD$5&lt;=$E141),IF(AD$5-$D141+1&lt;=ROUND(($E141-$D141+1)*$F141,0),2,IF(AD$5&lt;CFG_CurWeek,3,1)),""))</f>
        <v/>
      </c>
      <c r="AE141" s="66" t="str">
        <f aca="false">IF(OR($D141="",$E141=""),"",IF(AND(AE$5&gt;=$D141,AE$5&lt;=$E141),IF(AE$5-$D141+1&lt;=ROUND(($E141-$D141+1)*$F141,0),2,IF(AE$5&lt;CFG_CurWeek,3,1)),""))</f>
        <v/>
      </c>
      <c r="AF141" s="66" t="str">
        <f aca="false">IF(OR($D141="",$E141=""),"",IF(AND(AF$5&gt;=$D141,AF$5&lt;=$E141),IF(AF$5-$D141+1&lt;=ROUND(($E141-$D141+1)*$F141,0),2,IF(AF$5&lt;CFG_CurWeek,3,1)),""))</f>
        <v/>
      </c>
      <c r="AG141" s="66" t="str">
        <f aca="false">IF(OR($D141="",$E141=""),"",IF(AND(AG$5&gt;=$D141,AG$5&lt;=$E141),IF(AG$5-$D141+1&lt;=ROUND(($E141-$D141+1)*$F141,0),2,IF(AG$5&lt;CFG_CurWeek,3,1)),""))</f>
        <v/>
      </c>
      <c r="AH141" s="66" t="str">
        <f aca="false">IF(OR($D141="",$E141=""),"",IF(AND(AH$5&gt;=$D141,AH$5&lt;=$E141),IF(AH$5-$D141+1&lt;=ROUND(($E141-$D141+1)*$F141,0),2,IF(AH$5&lt;CFG_CurWeek,3,1)),""))</f>
        <v/>
      </c>
      <c r="AI141" s="66" t="str">
        <f aca="false">IF(OR($D141="",$E141=""),"",IF(AND(AI$5&gt;=$D141,AI$5&lt;=$E141),IF(AI$5-$D141+1&lt;=ROUND(($E141-$D141+1)*$F141,0),2,IF(AI$5&lt;CFG_CurWeek,3,1)),""))</f>
        <v/>
      </c>
      <c r="AJ141" s="66" t="str">
        <f aca="false">IF(OR($D141="",$E141=""),"",IF(AND(AJ$5&gt;=$D141,AJ$5&lt;=$E141),IF(AJ$5-$D141+1&lt;=ROUND(($E141-$D141+1)*$F141,0),2,IF(AJ$5&lt;CFG_CurWeek,3,1)),""))</f>
        <v/>
      </c>
      <c r="AK141" s="66" t="str">
        <f aca="false">IF(OR($D141="",$E141=""),"",IF(AND(AK$5&gt;=$D141,AK$5&lt;=$E141),IF(AK$5-$D141+1&lt;=ROUND(($E141-$D141+1)*$F141,0),2,IF(AK$5&lt;CFG_CurWeek,3,1)),""))</f>
        <v/>
      </c>
      <c r="AL141" s="66" t="str">
        <f aca="false">IF(OR($D141="",$E141=""),"",IF(AND(AL$5&gt;=$D141,AL$5&lt;=$E141),IF(AL$5-$D141+1&lt;=ROUND(($E141-$D141+1)*$F141,0),2,IF(AL$5&lt;CFG_CurWeek,3,1)),""))</f>
        <v/>
      </c>
      <c r="AM141" s="66" t="str">
        <f aca="false">IF(OR($D141="",$E141=""),"",IF(AND(AM$5&gt;=$D141,AM$5&lt;=$E141),IF(AM$5-$D141+1&lt;=ROUND(($E141-$D141+1)*$F141,0),2,IF(AM$5&lt;CFG_CurWeek,3,1)),""))</f>
        <v/>
      </c>
      <c r="AN141" s="66" t="str">
        <f aca="false">IF(OR($D141="",$E141=""),"",IF(AND(AN$5&gt;=$D141,AN$5&lt;=$E141),IF(AN$5-$D141+1&lt;=ROUND(($E141-$D141+1)*$F141,0),2,IF(AN$5&lt;CFG_CurWeek,3,1)),""))</f>
        <v/>
      </c>
      <c r="AO141" s="66" t="str">
        <f aca="false">IF(OR($D141="",$E141=""),"",IF(AND(AO$5&gt;=$D141,AO$5&lt;=$E141),IF(AO$5-$D141+1&lt;=ROUND(($E141-$D141+1)*$F141,0),2,IF(AO$5&lt;CFG_CurWeek,3,1)),""))</f>
        <v/>
      </c>
    </row>
    <row r="142" customFormat="false" ht="15" hidden="false" customHeight="false" outlineLevel="0" collapsed="false">
      <c r="A142" s="63" t="str">
        <f aca="false">IF('01_WBS &amp; Master Plan'!A139="","",'01_WBS &amp; Master Plan'!A139)</f>
        <v/>
      </c>
      <c r="B142" s="64" t="str">
        <f aca="false">IF('01_WBS &amp; Master Plan'!D139="","",'01_WBS &amp; Master Plan'!D139)</f>
        <v/>
      </c>
      <c r="C142" s="63" t="str">
        <f aca="false">IF('01_WBS &amp; Master Plan'!E139="","",'01_WBS &amp; Master Plan'!E139)</f>
        <v/>
      </c>
      <c r="D142" s="63" t="str">
        <f aca="false">IF('01_WBS &amp; Master Plan'!H139="","",'01_WBS &amp; Master Plan'!H139)</f>
        <v/>
      </c>
      <c r="E142" s="63" t="str">
        <f aca="false">IF('01_WBS &amp; Master Plan'!I139="","",'01_WBS &amp; Master Plan'!I139)</f>
        <v/>
      </c>
      <c r="F142" s="65" t="str">
        <f aca="false">IF(B142="","",IF('01_WBS &amp; Master Plan'!K139="Done",1,IF('01_WBS &amp; Master Plan'!L139="",0,'01_WBS &amp; Master Plan'!L139)))</f>
        <v/>
      </c>
      <c r="G142" s="63" t="str">
        <f aca="false">IF('01_WBS &amp; Master Plan'!K139="","",'01_WBS &amp; Master Plan'!K139)</f>
        <v/>
      </c>
      <c r="H142" s="66" t="str">
        <f aca="false">IF(OR($D142="",$E142=""),"",IF(AND(H$5&gt;=$D142,H$5&lt;=$E142),IF(H$5-$D142+1&lt;=ROUND(($E142-$D142+1)*$F142,0),2,IF(H$5&lt;CFG_CurWeek,3,1)),""))</f>
        <v/>
      </c>
      <c r="I142" s="66" t="str">
        <f aca="false">IF(OR($D142="",$E142=""),"",IF(AND(I$5&gt;=$D142,I$5&lt;=$E142),IF(I$5-$D142+1&lt;=ROUND(($E142-$D142+1)*$F142,0),2,IF(I$5&lt;CFG_CurWeek,3,1)),""))</f>
        <v/>
      </c>
      <c r="J142" s="66" t="str">
        <f aca="false">IF(OR($D142="",$E142=""),"",IF(AND(J$5&gt;=$D142,J$5&lt;=$E142),IF(J$5-$D142+1&lt;=ROUND(($E142-$D142+1)*$F142,0),2,IF(J$5&lt;CFG_CurWeek,3,1)),""))</f>
        <v/>
      </c>
      <c r="K142" s="66" t="str">
        <f aca="false">IF(OR($D142="",$E142=""),"",IF(AND(K$5&gt;=$D142,K$5&lt;=$E142),IF(K$5-$D142+1&lt;=ROUND(($E142-$D142+1)*$F142,0),2,IF(K$5&lt;CFG_CurWeek,3,1)),""))</f>
        <v/>
      </c>
      <c r="L142" s="66" t="str">
        <f aca="false">IF(OR($D142="",$E142=""),"",IF(AND(L$5&gt;=$D142,L$5&lt;=$E142),IF(L$5-$D142+1&lt;=ROUND(($E142-$D142+1)*$F142,0),2,IF(L$5&lt;CFG_CurWeek,3,1)),""))</f>
        <v/>
      </c>
      <c r="M142" s="66" t="str">
        <f aca="false">IF(OR($D142="",$E142=""),"",IF(AND(M$5&gt;=$D142,M$5&lt;=$E142),IF(M$5-$D142+1&lt;=ROUND(($E142-$D142+1)*$F142,0),2,IF(M$5&lt;CFG_CurWeek,3,1)),""))</f>
        <v/>
      </c>
      <c r="N142" s="66" t="str">
        <f aca="false">IF(OR($D142="",$E142=""),"",IF(AND(N$5&gt;=$D142,N$5&lt;=$E142),IF(N$5-$D142+1&lt;=ROUND(($E142-$D142+1)*$F142,0),2,IF(N$5&lt;CFG_CurWeek,3,1)),""))</f>
        <v/>
      </c>
      <c r="O142" s="66" t="str">
        <f aca="false">IF(OR($D142="",$E142=""),"",IF(AND(O$5&gt;=$D142,O$5&lt;=$E142),IF(O$5-$D142+1&lt;=ROUND(($E142-$D142+1)*$F142,0),2,IF(O$5&lt;CFG_CurWeek,3,1)),""))</f>
        <v/>
      </c>
      <c r="P142" s="66" t="str">
        <f aca="false">IF(OR($D142="",$E142=""),"",IF(AND(P$5&gt;=$D142,P$5&lt;=$E142),IF(P$5-$D142+1&lt;=ROUND(($E142-$D142+1)*$F142,0),2,IF(P$5&lt;CFG_CurWeek,3,1)),""))</f>
        <v/>
      </c>
      <c r="Q142" s="66" t="str">
        <f aca="false">IF(OR($D142="",$E142=""),"",IF(AND(Q$5&gt;=$D142,Q$5&lt;=$E142),IF(Q$5-$D142+1&lt;=ROUND(($E142-$D142+1)*$F142,0),2,IF(Q$5&lt;CFG_CurWeek,3,1)),""))</f>
        <v/>
      </c>
      <c r="R142" s="66" t="str">
        <f aca="false">IF(OR($D142="",$E142=""),"",IF(AND(R$5&gt;=$D142,R$5&lt;=$E142),IF(R$5-$D142+1&lt;=ROUND(($E142-$D142+1)*$F142,0),2,IF(R$5&lt;CFG_CurWeek,3,1)),""))</f>
        <v/>
      </c>
      <c r="S142" s="66" t="str">
        <f aca="false">IF(OR($D142="",$E142=""),"",IF(AND(S$5&gt;=$D142,S$5&lt;=$E142),IF(S$5-$D142+1&lt;=ROUND(($E142-$D142+1)*$F142,0),2,IF(S$5&lt;CFG_CurWeek,3,1)),""))</f>
        <v/>
      </c>
      <c r="T142" s="66" t="str">
        <f aca="false">IF(OR($D142="",$E142=""),"",IF(AND(T$5&gt;=$D142,T$5&lt;=$E142),IF(T$5-$D142+1&lt;=ROUND(($E142-$D142+1)*$F142,0),2,IF(T$5&lt;CFG_CurWeek,3,1)),""))</f>
        <v/>
      </c>
      <c r="U142" s="66" t="str">
        <f aca="false">IF(OR($D142="",$E142=""),"",IF(AND(U$5&gt;=$D142,U$5&lt;=$E142),IF(U$5-$D142+1&lt;=ROUND(($E142-$D142+1)*$F142,0),2,IF(U$5&lt;CFG_CurWeek,3,1)),""))</f>
        <v/>
      </c>
      <c r="V142" s="66" t="str">
        <f aca="false">IF(OR($D142="",$E142=""),"",IF(AND(V$5&gt;=$D142,V$5&lt;=$E142),IF(V$5-$D142+1&lt;=ROUND(($E142-$D142+1)*$F142,0),2,IF(V$5&lt;CFG_CurWeek,3,1)),""))</f>
        <v/>
      </c>
      <c r="W142" s="66" t="str">
        <f aca="false">IF(OR($D142="",$E142=""),"",IF(AND(W$5&gt;=$D142,W$5&lt;=$E142),IF(W$5-$D142+1&lt;=ROUND(($E142-$D142+1)*$F142,0),2,IF(W$5&lt;CFG_CurWeek,3,1)),""))</f>
        <v/>
      </c>
      <c r="X142" s="66" t="str">
        <f aca="false">IF(OR($D142="",$E142=""),"",IF(AND(X$5&gt;=$D142,X$5&lt;=$E142),IF(X$5-$D142+1&lt;=ROUND(($E142-$D142+1)*$F142,0),2,IF(X$5&lt;CFG_CurWeek,3,1)),""))</f>
        <v/>
      </c>
      <c r="Y142" s="66" t="str">
        <f aca="false">IF(OR($D142="",$E142=""),"",IF(AND(Y$5&gt;=$D142,Y$5&lt;=$E142),IF(Y$5-$D142+1&lt;=ROUND(($E142-$D142+1)*$F142,0),2,IF(Y$5&lt;CFG_CurWeek,3,1)),""))</f>
        <v/>
      </c>
      <c r="Z142" s="66" t="str">
        <f aca="false">IF(OR($D142="",$E142=""),"",IF(AND(Z$5&gt;=$D142,Z$5&lt;=$E142),IF(Z$5-$D142+1&lt;=ROUND(($E142-$D142+1)*$F142,0),2,IF(Z$5&lt;CFG_CurWeek,3,1)),""))</f>
        <v/>
      </c>
      <c r="AA142" s="66" t="str">
        <f aca="false">IF(OR($D142="",$E142=""),"",IF(AND(AA$5&gt;=$D142,AA$5&lt;=$E142),IF(AA$5-$D142+1&lt;=ROUND(($E142-$D142+1)*$F142,0),2,IF(AA$5&lt;CFG_CurWeek,3,1)),""))</f>
        <v/>
      </c>
      <c r="AB142" s="66" t="str">
        <f aca="false">IF(OR($D142="",$E142=""),"",IF(AND(AB$5&gt;=$D142,AB$5&lt;=$E142),IF(AB$5-$D142+1&lt;=ROUND(($E142-$D142+1)*$F142,0),2,IF(AB$5&lt;CFG_CurWeek,3,1)),""))</f>
        <v/>
      </c>
      <c r="AC142" s="66" t="str">
        <f aca="false">IF(OR($D142="",$E142=""),"",IF(AND(AC$5&gt;=$D142,AC$5&lt;=$E142),IF(AC$5-$D142+1&lt;=ROUND(($E142-$D142+1)*$F142,0),2,IF(AC$5&lt;CFG_CurWeek,3,1)),""))</f>
        <v/>
      </c>
      <c r="AD142" s="66" t="str">
        <f aca="false">IF(OR($D142="",$E142=""),"",IF(AND(AD$5&gt;=$D142,AD$5&lt;=$E142),IF(AD$5-$D142+1&lt;=ROUND(($E142-$D142+1)*$F142,0),2,IF(AD$5&lt;CFG_CurWeek,3,1)),""))</f>
        <v/>
      </c>
      <c r="AE142" s="66" t="str">
        <f aca="false">IF(OR($D142="",$E142=""),"",IF(AND(AE$5&gt;=$D142,AE$5&lt;=$E142),IF(AE$5-$D142+1&lt;=ROUND(($E142-$D142+1)*$F142,0),2,IF(AE$5&lt;CFG_CurWeek,3,1)),""))</f>
        <v/>
      </c>
      <c r="AF142" s="66" t="str">
        <f aca="false">IF(OR($D142="",$E142=""),"",IF(AND(AF$5&gt;=$D142,AF$5&lt;=$E142),IF(AF$5-$D142+1&lt;=ROUND(($E142-$D142+1)*$F142,0),2,IF(AF$5&lt;CFG_CurWeek,3,1)),""))</f>
        <v/>
      </c>
      <c r="AG142" s="66" t="str">
        <f aca="false">IF(OR($D142="",$E142=""),"",IF(AND(AG$5&gt;=$D142,AG$5&lt;=$E142),IF(AG$5-$D142+1&lt;=ROUND(($E142-$D142+1)*$F142,0),2,IF(AG$5&lt;CFG_CurWeek,3,1)),""))</f>
        <v/>
      </c>
      <c r="AH142" s="66" t="str">
        <f aca="false">IF(OR($D142="",$E142=""),"",IF(AND(AH$5&gt;=$D142,AH$5&lt;=$E142),IF(AH$5-$D142+1&lt;=ROUND(($E142-$D142+1)*$F142,0),2,IF(AH$5&lt;CFG_CurWeek,3,1)),""))</f>
        <v/>
      </c>
      <c r="AI142" s="66" t="str">
        <f aca="false">IF(OR($D142="",$E142=""),"",IF(AND(AI$5&gt;=$D142,AI$5&lt;=$E142),IF(AI$5-$D142+1&lt;=ROUND(($E142-$D142+1)*$F142,0),2,IF(AI$5&lt;CFG_CurWeek,3,1)),""))</f>
        <v/>
      </c>
      <c r="AJ142" s="66" t="str">
        <f aca="false">IF(OR($D142="",$E142=""),"",IF(AND(AJ$5&gt;=$D142,AJ$5&lt;=$E142),IF(AJ$5-$D142+1&lt;=ROUND(($E142-$D142+1)*$F142,0),2,IF(AJ$5&lt;CFG_CurWeek,3,1)),""))</f>
        <v/>
      </c>
      <c r="AK142" s="66" t="str">
        <f aca="false">IF(OR($D142="",$E142=""),"",IF(AND(AK$5&gt;=$D142,AK$5&lt;=$E142),IF(AK$5-$D142+1&lt;=ROUND(($E142-$D142+1)*$F142,0),2,IF(AK$5&lt;CFG_CurWeek,3,1)),""))</f>
        <v/>
      </c>
      <c r="AL142" s="66" t="str">
        <f aca="false">IF(OR($D142="",$E142=""),"",IF(AND(AL$5&gt;=$D142,AL$5&lt;=$E142),IF(AL$5-$D142+1&lt;=ROUND(($E142-$D142+1)*$F142,0),2,IF(AL$5&lt;CFG_CurWeek,3,1)),""))</f>
        <v/>
      </c>
      <c r="AM142" s="66" t="str">
        <f aca="false">IF(OR($D142="",$E142=""),"",IF(AND(AM$5&gt;=$D142,AM$5&lt;=$E142),IF(AM$5-$D142+1&lt;=ROUND(($E142-$D142+1)*$F142,0),2,IF(AM$5&lt;CFG_CurWeek,3,1)),""))</f>
        <v/>
      </c>
      <c r="AN142" s="66" t="str">
        <f aca="false">IF(OR($D142="",$E142=""),"",IF(AND(AN$5&gt;=$D142,AN$5&lt;=$E142),IF(AN$5-$D142+1&lt;=ROUND(($E142-$D142+1)*$F142,0),2,IF(AN$5&lt;CFG_CurWeek,3,1)),""))</f>
        <v/>
      </c>
      <c r="AO142" s="66" t="str">
        <f aca="false">IF(OR($D142="",$E142=""),"",IF(AND(AO$5&gt;=$D142,AO$5&lt;=$E142),IF(AO$5-$D142+1&lt;=ROUND(($E142-$D142+1)*$F142,0),2,IF(AO$5&lt;CFG_CurWeek,3,1)),""))</f>
        <v/>
      </c>
    </row>
    <row r="143" customFormat="false" ht="15" hidden="false" customHeight="false" outlineLevel="0" collapsed="false">
      <c r="A143" s="63" t="str">
        <f aca="false">IF('01_WBS &amp; Master Plan'!A140="","",'01_WBS &amp; Master Plan'!A140)</f>
        <v/>
      </c>
      <c r="B143" s="64" t="str">
        <f aca="false">IF('01_WBS &amp; Master Plan'!D140="","",'01_WBS &amp; Master Plan'!D140)</f>
        <v/>
      </c>
      <c r="C143" s="63" t="str">
        <f aca="false">IF('01_WBS &amp; Master Plan'!E140="","",'01_WBS &amp; Master Plan'!E140)</f>
        <v/>
      </c>
      <c r="D143" s="63" t="str">
        <f aca="false">IF('01_WBS &amp; Master Plan'!H140="","",'01_WBS &amp; Master Plan'!H140)</f>
        <v/>
      </c>
      <c r="E143" s="63" t="str">
        <f aca="false">IF('01_WBS &amp; Master Plan'!I140="","",'01_WBS &amp; Master Plan'!I140)</f>
        <v/>
      </c>
      <c r="F143" s="65" t="str">
        <f aca="false">IF(B143="","",IF('01_WBS &amp; Master Plan'!K140="Done",1,IF('01_WBS &amp; Master Plan'!L140="",0,'01_WBS &amp; Master Plan'!L140)))</f>
        <v/>
      </c>
      <c r="G143" s="63" t="str">
        <f aca="false">IF('01_WBS &amp; Master Plan'!K140="","",'01_WBS &amp; Master Plan'!K140)</f>
        <v/>
      </c>
      <c r="H143" s="66" t="str">
        <f aca="false">IF(OR($D143="",$E143=""),"",IF(AND(H$5&gt;=$D143,H$5&lt;=$E143),IF(H$5-$D143+1&lt;=ROUND(($E143-$D143+1)*$F143,0),2,IF(H$5&lt;CFG_CurWeek,3,1)),""))</f>
        <v/>
      </c>
      <c r="I143" s="66" t="str">
        <f aca="false">IF(OR($D143="",$E143=""),"",IF(AND(I$5&gt;=$D143,I$5&lt;=$E143),IF(I$5-$D143+1&lt;=ROUND(($E143-$D143+1)*$F143,0),2,IF(I$5&lt;CFG_CurWeek,3,1)),""))</f>
        <v/>
      </c>
      <c r="J143" s="66" t="str">
        <f aca="false">IF(OR($D143="",$E143=""),"",IF(AND(J$5&gt;=$D143,J$5&lt;=$E143),IF(J$5-$D143+1&lt;=ROUND(($E143-$D143+1)*$F143,0),2,IF(J$5&lt;CFG_CurWeek,3,1)),""))</f>
        <v/>
      </c>
      <c r="K143" s="66" t="str">
        <f aca="false">IF(OR($D143="",$E143=""),"",IF(AND(K$5&gt;=$D143,K$5&lt;=$E143),IF(K$5-$D143+1&lt;=ROUND(($E143-$D143+1)*$F143,0),2,IF(K$5&lt;CFG_CurWeek,3,1)),""))</f>
        <v/>
      </c>
      <c r="L143" s="66" t="str">
        <f aca="false">IF(OR($D143="",$E143=""),"",IF(AND(L$5&gt;=$D143,L$5&lt;=$E143),IF(L$5-$D143+1&lt;=ROUND(($E143-$D143+1)*$F143,0),2,IF(L$5&lt;CFG_CurWeek,3,1)),""))</f>
        <v/>
      </c>
      <c r="M143" s="66" t="str">
        <f aca="false">IF(OR($D143="",$E143=""),"",IF(AND(M$5&gt;=$D143,M$5&lt;=$E143),IF(M$5-$D143+1&lt;=ROUND(($E143-$D143+1)*$F143,0),2,IF(M$5&lt;CFG_CurWeek,3,1)),""))</f>
        <v/>
      </c>
      <c r="N143" s="66" t="str">
        <f aca="false">IF(OR($D143="",$E143=""),"",IF(AND(N$5&gt;=$D143,N$5&lt;=$E143),IF(N$5-$D143+1&lt;=ROUND(($E143-$D143+1)*$F143,0),2,IF(N$5&lt;CFG_CurWeek,3,1)),""))</f>
        <v/>
      </c>
      <c r="O143" s="66" t="str">
        <f aca="false">IF(OR($D143="",$E143=""),"",IF(AND(O$5&gt;=$D143,O$5&lt;=$E143),IF(O$5-$D143+1&lt;=ROUND(($E143-$D143+1)*$F143,0),2,IF(O$5&lt;CFG_CurWeek,3,1)),""))</f>
        <v/>
      </c>
      <c r="P143" s="66" t="str">
        <f aca="false">IF(OR($D143="",$E143=""),"",IF(AND(P$5&gt;=$D143,P$5&lt;=$E143),IF(P$5-$D143+1&lt;=ROUND(($E143-$D143+1)*$F143,0),2,IF(P$5&lt;CFG_CurWeek,3,1)),""))</f>
        <v/>
      </c>
      <c r="Q143" s="66" t="str">
        <f aca="false">IF(OR($D143="",$E143=""),"",IF(AND(Q$5&gt;=$D143,Q$5&lt;=$E143),IF(Q$5-$D143+1&lt;=ROUND(($E143-$D143+1)*$F143,0),2,IF(Q$5&lt;CFG_CurWeek,3,1)),""))</f>
        <v/>
      </c>
      <c r="R143" s="66" t="str">
        <f aca="false">IF(OR($D143="",$E143=""),"",IF(AND(R$5&gt;=$D143,R$5&lt;=$E143),IF(R$5-$D143+1&lt;=ROUND(($E143-$D143+1)*$F143,0),2,IF(R$5&lt;CFG_CurWeek,3,1)),""))</f>
        <v/>
      </c>
      <c r="S143" s="66" t="str">
        <f aca="false">IF(OR($D143="",$E143=""),"",IF(AND(S$5&gt;=$D143,S$5&lt;=$E143),IF(S$5-$D143+1&lt;=ROUND(($E143-$D143+1)*$F143,0),2,IF(S$5&lt;CFG_CurWeek,3,1)),""))</f>
        <v/>
      </c>
      <c r="T143" s="66" t="str">
        <f aca="false">IF(OR($D143="",$E143=""),"",IF(AND(T$5&gt;=$D143,T$5&lt;=$E143),IF(T$5-$D143+1&lt;=ROUND(($E143-$D143+1)*$F143,0),2,IF(T$5&lt;CFG_CurWeek,3,1)),""))</f>
        <v/>
      </c>
      <c r="U143" s="66" t="str">
        <f aca="false">IF(OR($D143="",$E143=""),"",IF(AND(U$5&gt;=$D143,U$5&lt;=$E143),IF(U$5-$D143+1&lt;=ROUND(($E143-$D143+1)*$F143,0),2,IF(U$5&lt;CFG_CurWeek,3,1)),""))</f>
        <v/>
      </c>
      <c r="V143" s="66" t="str">
        <f aca="false">IF(OR($D143="",$E143=""),"",IF(AND(V$5&gt;=$D143,V$5&lt;=$E143),IF(V$5-$D143+1&lt;=ROUND(($E143-$D143+1)*$F143,0),2,IF(V$5&lt;CFG_CurWeek,3,1)),""))</f>
        <v/>
      </c>
      <c r="W143" s="66" t="str">
        <f aca="false">IF(OR($D143="",$E143=""),"",IF(AND(W$5&gt;=$D143,W$5&lt;=$E143),IF(W$5-$D143+1&lt;=ROUND(($E143-$D143+1)*$F143,0),2,IF(W$5&lt;CFG_CurWeek,3,1)),""))</f>
        <v/>
      </c>
      <c r="X143" s="66" t="str">
        <f aca="false">IF(OR($D143="",$E143=""),"",IF(AND(X$5&gt;=$D143,X$5&lt;=$E143),IF(X$5-$D143+1&lt;=ROUND(($E143-$D143+1)*$F143,0),2,IF(X$5&lt;CFG_CurWeek,3,1)),""))</f>
        <v/>
      </c>
      <c r="Y143" s="66" t="str">
        <f aca="false">IF(OR($D143="",$E143=""),"",IF(AND(Y$5&gt;=$D143,Y$5&lt;=$E143),IF(Y$5-$D143+1&lt;=ROUND(($E143-$D143+1)*$F143,0),2,IF(Y$5&lt;CFG_CurWeek,3,1)),""))</f>
        <v/>
      </c>
      <c r="Z143" s="66" t="str">
        <f aca="false">IF(OR($D143="",$E143=""),"",IF(AND(Z$5&gt;=$D143,Z$5&lt;=$E143),IF(Z$5-$D143+1&lt;=ROUND(($E143-$D143+1)*$F143,0),2,IF(Z$5&lt;CFG_CurWeek,3,1)),""))</f>
        <v/>
      </c>
      <c r="AA143" s="66" t="str">
        <f aca="false">IF(OR($D143="",$E143=""),"",IF(AND(AA$5&gt;=$D143,AA$5&lt;=$E143),IF(AA$5-$D143+1&lt;=ROUND(($E143-$D143+1)*$F143,0),2,IF(AA$5&lt;CFG_CurWeek,3,1)),""))</f>
        <v/>
      </c>
      <c r="AB143" s="66" t="str">
        <f aca="false">IF(OR($D143="",$E143=""),"",IF(AND(AB$5&gt;=$D143,AB$5&lt;=$E143),IF(AB$5-$D143+1&lt;=ROUND(($E143-$D143+1)*$F143,0),2,IF(AB$5&lt;CFG_CurWeek,3,1)),""))</f>
        <v/>
      </c>
      <c r="AC143" s="66" t="str">
        <f aca="false">IF(OR($D143="",$E143=""),"",IF(AND(AC$5&gt;=$D143,AC$5&lt;=$E143),IF(AC$5-$D143+1&lt;=ROUND(($E143-$D143+1)*$F143,0),2,IF(AC$5&lt;CFG_CurWeek,3,1)),""))</f>
        <v/>
      </c>
      <c r="AD143" s="66" t="str">
        <f aca="false">IF(OR($D143="",$E143=""),"",IF(AND(AD$5&gt;=$D143,AD$5&lt;=$E143),IF(AD$5-$D143+1&lt;=ROUND(($E143-$D143+1)*$F143,0),2,IF(AD$5&lt;CFG_CurWeek,3,1)),""))</f>
        <v/>
      </c>
      <c r="AE143" s="66" t="str">
        <f aca="false">IF(OR($D143="",$E143=""),"",IF(AND(AE$5&gt;=$D143,AE$5&lt;=$E143),IF(AE$5-$D143+1&lt;=ROUND(($E143-$D143+1)*$F143,0),2,IF(AE$5&lt;CFG_CurWeek,3,1)),""))</f>
        <v/>
      </c>
      <c r="AF143" s="66" t="str">
        <f aca="false">IF(OR($D143="",$E143=""),"",IF(AND(AF$5&gt;=$D143,AF$5&lt;=$E143),IF(AF$5-$D143+1&lt;=ROUND(($E143-$D143+1)*$F143,0),2,IF(AF$5&lt;CFG_CurWeek,3,1)),""))</f>
        <v/>
      </c>
      <c r="AG143" s="66" t="str">
        <f aca="false">IF(OR($D143="",$E143=""),"",IF(AND(AG$5&gt;=$D143,AG$5&lt;=$E143),IF(AG$5-$D143+1&lt;=ROUND(($E143-$D143+1)*$F143,0),2,IF(AG$5&lt;CFG_CurWeek,3,1)),""))</f>
        <v/>
      </c>
      <c r="AH143" s="66" t="str">
        <f aca="false">IF(OR($D143="",$E143=""),"",IF(AND(AH$5&gt;=$D143,AH$5&lt;=$E143),IF(AH$5-$D143+1&lt;=ROUND(($E143-$D143+1)*$F143,0),2,IF(AH$5&lt;CFG_CurWeek,3,1)),""))</f>
        <v/>
      </c>
      <c r="AI143" s="66" t="str">
        <f aca="false">IF(OR($D143="",$E143=""),"",IF(AND(AI$5&gt;=$D143,AI$5&lt;=$E143),IF(AI$5-$D143+1&lt;=ROUND(($E143-$D143+1)*$F143,0),2,IF(AI$5&lt;CFG_CurWeek,3,1)),""))</f>
        <v/>
      </c>
      <c r="AJ143" s="66" t="str">
        <f aca="false">IF(OR($D143="",$E143=""),"",IF(AND(AJ$5&gt;=$D143,AJ$5&lt;=$E143),IF(AJ$5-$D143+1&lt;=ROUND(($E143-$D143+1)*$F143,0),2,IF(AJ$5&lt;CFG_CurWeek,3,1)),""))</f>
        <v/>
      </c>
      <c r="AK143" s="66" t="str">
        <f aca="false">IF(OR($D143="",$E143=""),"",IF(AND(AK$5&gt;=$D143,AK$5&lt;=$E143),IF(AK$5-$D143+1&lt;=ROUND(($E143-$D143+1)*$F143,0),2,IF(AK$5&lt;CFG_CurWeek,3,1)),""))</f>
        <v/>
      </c>
      <c r="AL143" s="66" t="str">
        <f aca="false">IF(OR($D143="",$E143=""),"",IF(AND(AL$5&gt;=$D143,AL$5&lt;=$E143),IF(AL$5-$D143+1&lt;=ROUND(($E143-$D143+1)*$F143,0),2,IF(AL$5&lt;CFG_CurWeek,3,1)),""))</f>
        <v/>
      </c>
      <c r="AM143" s="66" t="str">
        <f aca="false">IF(OR($D143="",$E143=""),"",IF(AND(AM$5&gt;=$D143,AM$5&lt;=$E143),IF(AM$5-$D143+1&lt;=ROUND(($E143-$D143+1)*$F143,0),2,IF(AM$5&lt;CFG_CurWeek,3,1)),""))</f>
        <v/>
      </c>
      <c r="AN143" s="66" t="str">
        <f aca="false">IF(OR($D143="",$E143=""),"",IF(AND(AN$5&gt;=$D143,AN$5&lt;=$E143),IF(AN$5-$D143+1&lt;=ROUND(($E143-$D143+1)*$F143,0),2,IF(AN$5&lt;CFG_CurWeek,3,1)),""))</f>
        <v/>
      </c>
      <c r="AO143" s="66" t="str">
        <f aca="false">IF(OR($D143="",$E143=""),"",IF(AND(AO$5&gt;=$D143,AO$5&lt;=$E143),IF(AO$5-$D143+1&lt;=ROUND(($E143-$D143+1)*$F143,0),2,IF(AO$5&lt;CFG_CurWeek,3,1)),""))</f>
        <v/>
      </c>
    </row>
    <row r="144" customFormat="false" ht="15" hidden="false" customHeight="false" outlineLevel="0" collapsed="false">
      <c r="A144" s="63" t="str">
        <f aca="false">IF('01_WBS &amp; Master Plan'!A141="","",'01_WBS &amp; Master Plan'!A141)</f>
        <v/>
      </c>
      <c r="B144" s="64" t="str">
        <f aca="false">IF('01_WBS &amp; Master Plan'!D141="","",'01_WBS &amp; Master Plan'!D141)</f>
        <v/>
      </c>
      <c r="C144" s="63" t="str">
        <f aca="false">IF('01_WBS &amp; Master Plan'!E141="","",'01_WBS &amp; Master Plan'!E141)</f>
        <v/>
      </c>
      <c r="D144" s="63" t="str">
        <f aca="false">IF('01_WBS &amp; Master Plan'!H141="","",'01_WBS &amp; Master Plan'!H141)</f>
        <v/>
      </c>
      <c r="E144" s="63" t="str">
        <f aca="false">IF('01_WBS &amp; Master Plan'!I141="","",'01_WBS &amp; Master Plan'!I141)</f>
        <v/>
      </c>
      <c r="F144" s="65" t="str">
        <f aca="false">IF(B144="","",IF('01_WBS &amp; Master Plan'!K141="Done",1,IF('01_WBS &amp; Master Plan'!L141="",0,'01_WBS &amp; Master Plan'!L141)))</f>
        <v/>
      </c>
      <c r="G144" s="63" t="str">
        <f aca="false">IF('01_WBS &amp; Master Plan'!K141="","",'01_WBS &amp; Master Plan'!K141)</f>
        <v/>
      </c>
      <c r="H144" s="66" t="str">
        <f aca="false">IF(OR($D144="",$E144=""),"",IF(AND(H$5&gt;=$D144,H$5&lt;=$E144),IF(H$5-$D144+1&lt;=ROUND(($E144-$D144+1)*$F144,0),2,IF(H$5&lt;CFG_CurWeek,3,1)),""))</f>
        <v/>
      </c>
      <c r="I144" s="66" t="str">
        <f aca="false">IF(OR($D144="",$E144=""),"",IF(AND(I$5&gt;=$D144,I$5&lt;=$E144),IF(I$5-$D144+1&lt;=ROUND(($E144-$D144+1)*$F144,0),2,IF(I$5&lt;CFG_CurWeek,3,1)),""))</f>
        <v/>
      </c>
      <c r="J144" s="66" t="str">
        <f aca="false">IF(OR($D144="",$E144=""),"",IF(AND(J$5&gt;=$D144,J$5&lt;=$E144),IF(J$5-$D144+1&lt;=ROUND(($E144-$D144+1)*$F144,0),2,IF(J$5&lt;CFG_CurWeek,3,1)),""))</f>
        <v/>
      </c>
      <c r="K144" s="66" t="str">
        <f aca="false">IF(OR($D144="",$E144=""),"",IF(AND(K$5&gt;=$D144,K$5&lt;=$E144),IF(K$5-$D144+1&lt;=ROUND(($E144-$D144+1)*$F144,0),2,IF(K$5&lt;CFG_CurWeek,3,1)),""))</f>
        <v/>
      </c>
      <c r="L144" s="66" t="str">
        <f aca="false">IF(OR($D144="",$E144=""),"",IF(AND(L$5&gt;=$D144,L$5&lt;=$E144),IF(L$5-$D144+1&lt;=ROUND(($E144-$D144+1)*$F144,0),2,IF(L$5&lt;CFG_CurWeek,3,1)),""))</f>
        <v/>
      </c>
      <c r="M144" s="66" t="str">
        <f aca="false">IF(OR($D144="",$E144=""),"",IF(AND(M$5&gt;=$D144,M$5&lt;=$E144),IF(M$5-$D144+1&lt;=ROUND(($E144-$D144+1)*$F144,0),2,IF(M$5&lt;CFG_CurWeek,3,1)),""))</f>
        <v/>
      </c>
      <c r="N144" s="66" t="str">
        <f aca="false">IF(OR($D144="",$E144=""),"",IF(AND(N$5&gt;=$D144,N$5&lt;=$E144),IF(N$5-$D144+1&lt;=ROUND(($E144-$D144+1)*$F144,0),2,IF(N$5&lt;CFG_CurWeek,3,1)),""))</f>
        <v/>
      </c>
      <c r="O144" s="66" t="str">
        <f aca="false">IF(OR($D144="",$E144=""),"",IF(AND(O$5&gt;=$D144,O$5&lt;=$E144),IF(O$5-$D144+1&lt;=ROUND(($E144-$D144+1)*$F144,0),2,IF(O$5&lt;CFG_CurWeek,3,1)),""))</f>
        <v/>
      </c>
      <c r="P144" s="66" t="str">
        <f aca="false">IF(OR($D144="",$E144=""),"",IF(AND(P$5&gt;=$D144,P$5&lt;=$E144),IF(P$5-$D144+1&lt;=ROUND(($E144-$D144+1)*$F144,0),2,IF(P$5&lt;CFG_CurWeek,3,1)),""))</f>
        <v/>
      </c>
      <c r="Q144" s="66" t="str">
        <f aca="false">IF(OR($D144="",$E144=""),"",IF(AND(Q$5&gt;=$D144,Q$5&lt;=$E144),IF(Q$5-$D144+1&lt;=ROUND(($E144-$D144+1)*$F144,0),2,IF(Q$5&lt;CFG_CurWeek,3,1)),""))</f>
        <v/>
      </c>
      <c r="R144" s="66" t="str">
        <f aca="false">IF(OR($D144="",$E144=""),"",IF(AND(R$5&gt;=$D144,R$5&lt;=$E144),IF(R$5-$D144+1&lt;=ROUND(($E144-$D144+1)*$F144,0),2,IF(R$5&lt;CFG_CurWeek,3,1)),""))</f>
        <v/>
      </c>
      <c r="S144" s="66" t="str">
        <f aca="false">IF(OR($D144="",$E144=""),"",IF(AND(S$5&gt;=$D144,S$5&lt;=$E144),IF(S$5-$D144+1&lt;=ROUND(($E144-$D144+1)*$F144,0),2,IF(S$5&lt;CFG_CurWeek,3,1)),""))</f>
        <v/>
      </c>
      <c r="T144" s="66" t="str">
        <f aca="false">IF(OR($D144="",$E144=""),"",IF(AND(T$5&gt;=$D144,T$5&lt;=$E144),IF(T$5-$D144+1&lt;=ROUND(($E144-$D144+1)*$F144,0),2,IF(T$5&lt;CFG_CurWeek,3,1)),""))</f>
        <v/>
      </c>
      <c r="U144" s="66" t="str">
        <f aca="false">IF(OR($D144="",$E144=""),"",IF(AND(U$5&gt;=$D144,U$5&lt;=$E144),IF(U$5-$D144+1&lt;=ROUND(($E144-$D144+1)*$F144,0),2,IF(U$5&lt;CFG_CurWeek,3,1)),""))</f>
        <v/>
      </c>
      <c r="V144" s="66" t="str">
        <f aca="false">IF(OR($D144="",$E144=""),"",IF(AND(V$5&gt;=$D144,V$5&lt;=$E144),IF(V$5-$D144+1&lt;=ROUND(($E144-$D144+1)*$F144,0),2,IF(V$5&lt;CFG_CurWeek,3,1)),""))</f>
        <v/>
      </c>
      <c r="W144" s="66" t="str">
        <f aca="false">IF(OR($D144="",$E144=""),"",IF(AND(W$5&gt;=$D144,W$5&lt;=$E144),IF(W$5-$D144+1&lt;=ROUND(($E144-$D144+1)*$F144,0),2,IF(W$5&lt;CFG_CurWeek,3,1)),""))</f>
        <v/>
      </c>
      <c r="X144" s="66" t="str">
        <f aca="false">IF(OR($D144="",$E144=""),"",IF(AND(X$5&gt;=$D144,X$5&lt;=$E144),IF(X$5-$D144+1&lt;=ROUND(($E144-$D144+1)*$F144,0),2,IF(X$5&lt;CFG_CurWeek,3,1)),""))</f>
        <v/>
      </c>
      <c r="Y144" s="66" t="str">
        <f aca="false">IF(OR($D144="",$E144=""),"",IF(AND(Y$5&gt;=$D144,Y$5&lt;=$E144),IF(Y$5-$D144+1&lt;=ROUND(($E144-$D144+1)*$F144,0),2,IF(Y$5&lt;CFG_CurWeek,3,1)),""))</f>
        <v/>
      </c>
      <c r="Z144" s="66" t="str">
        <f aca="false">IF(OR($D144="",$E144=""),"",IF(AND(Z$5&gt;=$D144,Z$5&lt;=$E144),IF(Z$5-$D144+1&lt;=ROUND(($E144-$D144+1)*$F144,0),2,IF(Z$5&lt;CFG_CurWeek,3,1)),""))</f>
        <v/>
      </c>
      <c r="AA144" s="66" t="str">
        <f aca="false">IF(OR($D144="",$E144=""),"",IF(AND(AA$5&gt;=$D144,AA$5&lt;=$E144),IF(AA$5-$D144+1&lt;=ROUND(($E144-$D144+1)*$F144,0),2,IF(AA$5&lt;CFG_CurWeek,3,1)),""))</f>
        <v/>
      </c>
      <c r="AB144" s="66" t="str">
        <f aca="false">IF(OR($D144="",$E144=""),"",IF(AND(AB$5&gt;=$D144,AB$5&lt;=$E144),IF(AB$5-$D144+1&lt;=ROUND(($E144-$D144+1)*$F144,0),2,IF(AB$5&lt;CFG_CurWeek,3,1)),""))</f>
        <v/>
      </c>
      <c r="AC144" s="66" t="str">
        <f aca="false">IF(OR($D144="",$E144=""),"",IF(AND(AC$5&gt;=$D144,AC$5&lt;=$E144),IF(AC$5-$D144+1&lt;=ROUND(($E144-$D144+1)*$F144,0),2,IF(AC$5&lt;CFG_CurWeek,3,1)),""))</f>
        <v/>
      </c>
      <c r="AD144" s="66" t="str">
        <f aca="false">IF(OR($D144="",$E144=""),"",IF(AND(AD$5&gt;=$D144,AD$5&lt;=$E144),IF(AD$5-$D144+1&lt;=ROUND(($E144-$D144+1)*$F144,0),2,IF(AD$5&lt;CFG_CurWeek,3,1)),""))</f>
        <v/>
      </c>
      <c r="AE144" s="66" t="str">
        <f aca="false">IF(OR($D144="",$E144=""),"",IF(AND(AE$5&gt;=$D144,AE$5&lt;=$E144),IF(AE$5-$D144+1&lt;=ROUND(($E144-$D144+1)*$F144,0),2,IF(AE$5&lt;CFG_CurWeek,3,1)),""))</f>
        <v/>
      </c>
      <c r="AF144" s="66" t="str">
        <f aca="false">IF(OR($D144="",$E144=""),"",IF(AND(AF$5&gt;=$D144,AF$5&lt;=$E144),IF(AF$5-$D144+1&lt;=ROUND(($E144-$D144+1)*$F144,0),2,IF(AF$5&lt;CFG_CurWeek,3,1)),""))</f>
        <v/>
      </c>
      <c r="AG144" s="66" t="str">
        <f aca="false">IF(OR($D144="",$E144=""),"",IF(AND(AG$5&gt;=$D144,AG$5&lt;=$E144),IF(AG$5-$D144+1&lt;=ROUND(($E144-$D144+1)*$F144,0),2,IF(AG$5&lt;CFG_CurWeek,3,1)),""))</f>
        <v/>
      </c>
      <c r="AH144" s="66" t="str">
        <f aca="false">IF(OR($D144="",$E144=""),"",IF(AND(AH$5&gt;=$D144,AH$5&lt;=$E144),IF(AH$5-$D144+1&lt;=ROUND(($E144-$D144+1)*$F144,0),2,IF(AH$5&lt;CFG_CurWeek,3,1)),""))</f>
        <v/>
      </c>
      <c r="AI144" s="66" t="str">
        <f aca="false">IF(OR($D144="",$E144=""),"",IF(AND(AI$5&gt;=$D144,AI$5&lt;=$E144),IF(AI$5-$D144+1&lt;=ROUND(($E144-$D144+1)*$F144,0),2,IF(AI$5&lt;CFG_CurWeek,3,1)),""))</f>
        <v/>
      </c>
      <c r="AJ144" s="66" t="str">
        <f aca="false">IF(OR($D144="",$E144=""),"",IF(AND(AJ$5&gt;=$D144,AJ$5&lt;=$E144),IF(AJ$5-$D144+1&lt;=ROUND(($E144-$D144+1)*$F144,0),2,IF(AJ$5&lt;CFG_CurWeek,3,1)),""))</f>
        <v/>
      </c>
      <c r="AK144" s="66" t="str">
        <f aca="false">IF(OR($D144="",$E144=""),"",IF(AND(AK$5&gt;=$D144,AK$5&lt;=$E144),IF(AK$5-$D144+1&lt;=ROUND(($E144-$D144+1)*$F144,0),2,IF(AK$5&lt;CFG_CurWeek,3,1)),""))</f>
        <v/>
      </c>
      <c r="AL144" s="66" t="str">
        <f aca="false">IF(OR($D144="",$E144=""),"",IF(AND(AL$5&gt;=$D144,AL$5&lt;=$E144),IF(AL$5-$D144+1&lt;=ROUND(($E144-$D144+1)*$F144,0),2,IF(AL$5&lt;CFG_CurWeek,3,1)),""))</f>
        <v/>
      </c>
      <c r="AM144" s="66" t="str">
        <f aca="false">IF(OR($D144="",$E144=""),"",IF(AND(AM$5&gt;=$D144,AM$5&lt;=$E144),IF(AM$5-$D144+1&lt;=ROUND(($E144-$D144+1)*$F144,0),2,IF(AM$5&lt;CFG_CurWeek,3,1)),""))</f>
        <v/>
      </c>
      <c r="AN144" s="66" t="str">
        <f aca="false">IF(OR($D144="",$E144=""),"",IF(AND(AN$5&gt;=$D144,AN$5&lt;=$E144),IF(AN$5-$D144+1&lt;=ROUND(($E144-$D144+1)*$F144,0),2,IF(AN$5&lt;CFG_CurWeek,3,1)),""))</f>
        <v/>
      </c>
      <c r="AO144" s="66" t="str">
        <f aca="false">IF(OR($D144="",$E144=""),"",IF(AND(AO$5&gt;=$D144,AO$5&lt;=$E144),IF(AO$5-$D144+1&lt;=ROUND(($E144-$D144+1)*$F144,0),2,IF(AO$5&lt;CFG_CurWeek,3,1)),""))</f>
        <v/>
      </c>
    </row>
    <row r="145" customFormat="false" ht="15" hidden="false" customHeight="false" outlineLevel="0" collapsed="false">
      <c r="A145" s="63" t="str">
        <f aca="false">IF('01_WBS &amp; Master Plan'!A142="","",'01_WBS &amp; Master Plan'!A142)</f>
        <v/>
      </c>
      <c r="B145" s="64" t="str">
        <f aca="false">IF('01_WBS &amp; Master Plan'!D142="","",'01_WBS &amp; Master Plan'!D142)</f>
        <v/>
      </c>
      <c r="C145" s="63" t="str">
        <f aca="false">IF('01_WBS &amp; Master Plan'!E142="","",'01_WBS &amp; Master Plan'!E142)</f>
        <v/>
      </c>
      <c r="D145" s="63" t="str">
        <f aca="false">IF('01_WBS &amp; Master Plan'!H142="","",'01_WBS &amp; Master Plan'!H142)</f>
        <v/>
      </c>
      <c r="E145" s="63" t="str">
        <f aca="false">IF('01_WBS &amp; Master Plan'!I142="","",'01_WBS &amp; Master Plan'!I142)</f>
        <v/>
      </c>
      <c r="F145" s="65" t="str">
        <f aca="false">IF(B145="","",IF('01_WBS &amp; Master Plan'!K142="Done",1,IF('01_WBS &amp; Master Plan'!L142="",0,'01_WBS &amp; Master Plan'!L142)))</f>
        <v/>
      </c>
      <c r="G145" s="63" t="str">
        <f aca="false">IF('01_WBS &amp; Master Plan'!K142="","",'01_WBS &amp; Master Plan'!K142)</f>
        <v/>
      </c>
      <c r="H145" s="66" t="str">
        <f aca="false">IF(OR($D145="",$E145=""),"",IF(AND(H$5&gt;=$D145,H$5&lt;=$E145),IF(H$5-$D145+1&lt;=ROUND(($E145-$D145+1)*$F145,0),2,IF(H$5&lt;CFG_CurWeek,3,1)),""))</f>
        <v/>
      </c>
      <c r="I145" s="66" t="str">
        <f aca="false">IF(OR($D145="",$E145=""),"",IF(AND(I$5&gt;=$D145,I$5&lt;=$E145),IF(I$5-$D145+1&lt;=ROUND(($E145-$D145+1)*$F145,0),2,IF(I$5&lt;CFG_CurWeek,3,1)),""))</f>
        <v/>
      </c>
      <c r="J145" s="66" t="str">
        <f aca="false">IF(OR($D145="",$E145=""),"",IF(AND(J$5&gt;=$D145,J$5&lt;=$E145),IF(J$5-$D145+1&lt;=ROUND(($E145-$D145+1)*$F145,0),2,IF(J$5&lt;CFG_CurWeek,3,1)),""))</f>
        <v/>
      </c>
      <c r="K145" s="66" t="str">
        <f aca="false">IF(OR($D145="",$E145=""),"",IF(AND(K$5&gt;=$D145,K$5&lt;=$E145),IF(K$5-$D145+1&lt;=ROUND(($E145-$D145+1)*$F145,0),2,IF(K$5&lt;CFG_CurWeek,3,1)),""))</f>
        <v/>
      </c>
      <c r="L145" s="66" t="str">
        <f aca="false">IF(OR($D145="",$E145=""),"",IF(AND(L$5&gt;=$D145,L$5&lt;=$E145),IF(L$5-$D145+1&lt;=ROUND(($E145-$D145+1)*$F145,0),2,IF(L$5&lt;CFG_CurWeek,3,1)),""))</f>
        <v/>
      </c>
      <c r="M145" s="66" t="str">
        <f aca="false">IF(OR($D145="",$E145=""),"",IF(AND(M$5&gt;=$D145,M$5&lt;=$E145),IF(M$5-$D145+1&lt;=ROUND(($E145-$D145+1)*$F145,0),2,IF(M$5&lt;CFG_CurWeek,3,1)),""))</f>
        <v/>
      </c>
      <c r="N145" s="66" t="str">
        <f aca="false">IF(OR($D145="",$E145=""),"",IF(AND(N$5&gt;=$D145,N$5&lt;=$E145),IF(N$5-$D145+1&lt;=ROUND(($E145-$D145+1)*$F145,0),2,IF(N$5&lt;CFG_CurWeek,3,1)),""))</f>
        <v/>
      </c>
      <c r="O145" s="66" t="str">
        <f aca="false">IF(OR($D145="",$E145=""),"",IF(AND(O$5&gt;=$D145,O$5&lt;=$E145),IF(O$5-$D145+1&lt;=ROUND(($E145-$D145+1)*$F145,0),2,IF(O$5&lt;CFG_CurWeek,3,1)),""))</f>
        <v/>
      </c>
      <c r="P145" s="66" t="str">
        <f aca="false">IF(OR($D145="",$E145=""),"",IF(AND(P$5&gt;=$D145,P$5&lt;=$E145),IF(P$5-$D145+1&lt;=ROUND(($E145-$D145+1)*$F145,0),2,IF(P$5&lt;CFG_CurWeek,3,1)),""))</f>
        <v/>
      </c>
      <c r="Q145" s="66" t="str">
        <f aca="false">IF(OR($D145="",$E145=""),"",IF(AND(Q$5&gt;=$D145,Q$5&lt;=$E145),IF(Q$5-$D145+1&lt;=ROUND(($E145-$D145+1)*$F145,0),2,IF(Q$5&lt;CFG_CurWeek,3,1)),""))</f>
        <v/>
      </c>
      <c r="R145" s="66" t="str">
        <f aca="false">IF(OR($D145="",$E145=""),"",IF(AND(R$5&gt;=$D145,R$5&lt;=$E145),IF(R$5-$D145+1&lt;=ROUND(($E145-$D145+1)*$F145,0),2,IF(R$5&lt;CFG_CurWeek,3,1)),""))</f>
        <v/>
      </c>
      <c r="S145" s="66" t="str">
        <f aca="false">IF(OR($D145="",$E145=""),"",IF(AND(S$5&gt;=$D145,S$5&lt;=$E145),IF(S$5-$D145+1&lt;=ROUND(($E145-$D145+1)*$F145,0),2,IF(S$5&lt;CFG_CurWeek,3,1)),""))</f>
        <v/>
      </c>
      <c r="T145" s="66" t="str">
        <f aca="false">IF(OR($D145="",$E145=""),"",IF(AND(T$5&gt;=$D145,T$5&lt;=$E145),IF(T$5-$D145+1&lt;=ROUND(($E145-$D145+1)*$F145,0),2,IF(T$5&lt;CFG_CurWeek,3,1)),""))</f>
        <v/>
      </c>
      <c r="U145" s="66" t="str">
        <f aca="false">IF(OR($D145="",$E145=""),"",IF(AND(U$5&gt;=$D145,U$5&lt;=$E145),IF(U$5-$D145+1&lt;=ROUND(($E145-$D145+1)*$F145,0),2,IF(U$5&lt;CFG_CurWeek,3,1)),""))</f>
        <v/>
      </c>
      <c r="V145" s="66" t="str">
        <f aca="false">IF(OR($D145="",$E145=""),"",IF(AND(V$5&gt;=$D145,V$5&lt;=$E145),IF(V$5-$D145+1&lt;=ROUND(($E145-$D145+1)*$F145,0),2,IF(V$5&lt;CFG_CurWeek,3,1)),""))</f>
        <v/>
      </c>
      <c r="W145" s="66" t="str">
        <f aca="false">IF(OR($D145="",$E145=""),"",IF(AND(W$5&gt;=$D145,W$5&lt;=$E145),IF(W$5-$D145+1&lt;=ROUND(($E145-$D145+1)*$F145,0),2,IF(W$5&lt;CFG_CurWeek,3,1)),""))</f>
        <v/>
      </c>
      <c r="X145" s="66" t="str">
        <f aca="false">IF(OR($D145="",$E145=""),"",IF(AND(X$5&gt;=$D145,X$5&lt;=$E145),IF(X$5-$D145+1&lt;=ROUND(($E145-$D145+1)*$F145,0),2,IF(X$5&lt;CFG_CurWeek,3,1)),""))</f>
        <v/>
      </c>
      <c r="Y145" s="66" t="str">
        <f aca="false">IF(OR($D145="",$E145=""),"",IF(AND(Y$5&gt;=$D145,Y$5&lt;=$E145),IF(Y$5-$D145+1&lt;=ROUND(($E145-$D145+1)*$F145,0),2,IF(Y$5&lt;CFG_CurWeek,3,1)),""))</f>
        <v/>
      </c>
      <c r="Z145" s="66" t="str">
        <f aca="false">IF(OR($D145="",$E145=""),"",IF(AND(Z$5&gt;=$D145,Z$5&lt;=$E145),IF(Z$5-$D145+1&lt;=ROUND(($E145-$D145+1)*$F145,0),2,IF(Z$5&lt;CFG_CurWeek,3,1)),""))</f>
        <v/>
      </c>
      <c r="AA145" s="66" t="str">
        <f aca="false">IF(OR($D145="",$E145=""),"",IF(AND(AA$5&gt;=$D145,AA$5&lt;=$E145),IF(AA$5-$D145+1&lt;=ROUND(($E145-$D145+1)*$F145,0),2,IF(AA$5&lt;CFG_CurWeek,3,1)),""))</f>
        <v/>
      </c>
      <c r="AB145" s="66" t="str">
        <f aca="false">IF(OR($D145="",$E145=""),"",IF(AND(AB$5&gt;=$D145,AB$5&lt;=$E145),IF(AB$5-$D145+1&lt;=ROUND(($E145-$D145+1)*$F145,0),2,IF(AB$5&lt;CFG_CurWeek,3,1)),""))</f>
        <v/>
      </c>
      <c r="AC145" s="66" t="str">
        <f aca="false">IF(OR($D145="",$E145=""),"",IF(AND(AC$5&gt;=$D145,AC$5&lt;=$E145),IF(AC$5-$D145+1&lt;=ROUND(($E145-$D145+1)*$F145,0),2,IF(AC$5&lt;CFG_CurWeek,3,1)),""))</f>
        <v/>
      </c>
      <c r="AD145" s="66" t="str">
        <f aca="false">IF(OR($D145="",$E145=""),"",IF(AND(AD$5&gt;=$D145,AD$5&lt;=$E145),IF(AD$5-$D145+1&lt;=ROUND(($E145-$D145+1)*$F145,0),2,IF(AD$5&lt;CFG_CurWeek,3,1)),""))</f>
        <v/>
      </c>
      <c r="AE145" s="66" t="str">
        <f aca="false">IF(OR($D145="",$E145=""),"",IF(AND(AE$5&gt;=$D145,AE$5&lt;=$E145),IF(AE$5-$D145+1&lt;=ROUND(($E145-$D145+1)*$F145,0),2,IF(AE$5&lt;CFG_CurWeek,3,1)),""))</f>
        <v/>
      </c>
      <c r="AF145" s="66" t="str">
        <f aca="false">IF(OR($D145="",$E145=""),"",IF(AND(AF$5&gt;=$D145,AF$5&lt;=$E145),IF(AF$5-$D145+1&lt;=ROUND(($E145-$D145+1)*$F145,0),2,IF(AF$5&lt;CFG_CurWeek,3,1)),""))</f>
        <v/>
      </c>
      <c r="AG145" s="66" t="str">
        <f aca="false">IF(OR($D145="",$E145=""),"",IF(AND(AG$5&gt;=$D145,AG$5&lt;=$E145),IF(AG$5-$D145+1&lt;=ROUND(($E145-$D145+1)*$F145,0),2,IF(AG$5&lt;CFG_CurWeek,3,1)),""))</f>
        <v/>
      </c>
      <c r="AH145" s="66" t="str">
        <f aca="false">IF(OR($D145="",$E145=""),"",IF(AND(AH$5&gt;=$D145,AH$5&lt;=$E145),IF(AH$5-$D145+1&lt;=ROUND(($E145-$D145+1)*$F145,0),2,IF(AH$5&lt;CFG_CurWeek,3,1)),""))</f>
        <v/>
      </c>
      <c r="AI145" s="66" t="str">
        <f aca="false">IF(OR($D145="",$E145=""),"",IF(AND(AI$5&gt;=$D145,AI$5&lt;=$E145),IF(AI$5-$D145+1&lt;=ROUND(($E145-$D145+1)*$F145,0),2,IF(AI$5&lt;CFG_CurWeek,3,1)),""))</f>
        <v/>
      </c>
      <c r="AJ145" s="66" t="str">
        <f aca="false">IF(OR($D145="",$E145=""),"",IF(AND(AJ$5&gt;=$D145,AJ$5&lt;=$E145),IF(AJ$5-$D145+1&lt;=ROUND(($E145-$D145+1)*$F145,0),2,IF(AJ$5&lt;CFG_CurWeek,3,1)),""))</f>
        <v/>
      </c>
      <c r="AK145" s="66" t="str">
        <f aca="false">IF(OR($D145="",$E145=""),"",IF(AND(AK$5&gt;=$D145,AK$5&lt;=$E145),IF(AK$5-$D145+1&lt;=ROUND(($E145-$D145+1)*$F145,0),2,IF(AK$5&lt;CFG_CurWeek,3,1)),""))</f>
        <v/>
      </c>
      <c r="AL145" s="66" t="str">
        <f aca="false">IF(OR($D145="",$E145=""),"",IF(AND(AL$5&gt;=$D145,AL$5&lt;=$E145),IF(AL$5-$D145+1&lt;=ROUND(($E145-$D145+1)*$F145,0),2,IF(AL$5&lt;CFG_CurWeek,3,1)),""))</f>
        <v/>
      </c>
      <c r="AM145" s="66" t="str">
        <f aca="false">IF(OR($D145="",$E145=""),"",IF(AND(AM$5&gt;=$D145,AM$5&lt;=$E145),IF(AM$5-$D145+1&lt;=ROUND(($E145-$D145+1)*$F145,0),2,IF(AM$5&lt;CFG_CurWeek,3,1)),""))</f>
        <v/>
      </c>
      <c r="AN145" s="66" t="str">
        <f aca="false">IF(OR($D145="",$E145=""),"",IF(AND(AN$5&gt;=$D145,AN$5&lt;=$E145),IF(AN$5-$D145+1&lt;=ROUND(($E145-$D145+1)*$F145,0),2,IF(AN$5&lt;CFG_CurWeek,3,1)),""))</f>
        <v/>
      </c>
      <c r="AO145" s="66" t="str">
        <f aca="false">IF(OR($D145="",$E145=""),"",IF(AND(AO$5&gt;=$D145,AO$5&lt;=$E145),IF(AO$5-$D145+1&lt;=ROUND(($E145-$D145+1)*$F145,0),2,IF(AO$5&lt;CFG_CurWeek,3,1)),""))</f>
        <v/>
      </c>
    </row>
    <row r="146" customFormat="false" ht="15" hidden="false" customHeight="false" outlineLevel="0" collapsed="false">
      <c r="A146" s="63" t="str">
        <f aca="false">IF('01_WBS &amp; Master Plan'!A143="","",'01_WBS &amp; Master Plan'!A143)</f>
        <v/>
      </c>
      <c r="B146" s="64" t="str">
        <f aca="false">IF('01_WBS &amp; Master Plan'!D143="","",'01_WBS &amp; Master Plan'!D143)</f>
        <v/>
      </c>
      <c r="C146" s="63" t="str">
        <f aca="false">IF('01_WBS &amp; Master Plan'!E143="","",'01_WBS &amp; Master Plan'!E143)</f>
        <v/>
      </c>
      <c r="D146" s="63" t="str">
        <f aca="false">IF('01_WBS &amp; Master Plan'!H143="","",'01_WBS &amp; Master Plan'!H143)</f>
        <v/>
      </c>
      <c r="E146" s="63" t="str">
        <f aca="false">IF('01_WBS &amp; Master Plan'!I143="","",'01_WBS &amp; Master Plan'!I143)</f>
        <v/>
      </c>
      <c r="F146" s="65" t="str">
        <f aca="false">IF(B146="","",IF('01_WBS &amp; Master Plan'!K143="Done",1,IF('01_WBS &amp; Master Plan'!L143="",0,'01_WBS &amp; Master Plan'!L143)))</f>
        <v/>
      </c>
      <c r="G146" s="63" t="str">
        <f aca="false">IF('01_WBS &amp; Master Plan'!K143="","",'01_WBS &amp; Master Plan'!K143)</f>
        <v/>
      </c>
      <c r="H146" s="66" t="str">
        <f aca="false">IF(OR($D146="",$E146=""),"",IF(AND(H$5&gt;=$D146,H$5&lt;=$E146),IF(H$5-$D146+1&lt;=ROUND(($E146-$D146+1)*$F146,0),2,IF(H$5&lt;CFG_CurWeek,3,1)),""))</f>
        <v/>
      </c>
      <c r="I146" s="66" t="str">
        <f aca="false">IF(OR($D146="",$E146=""),"",IF(AND(I$5&gt;=$D146,I$5&lt;=$E146),IF(I$5-$D146+1&lt;=ROUND(($E146-$D146+1)*$F146,0),2,IF(I$5&lt;CFG_CurWeek,3,1)),""))</f>
        <v/>
      </c>
      <c r="J146" s="66" t="str">
        <f aca="false">IF(OR($D146="",$E146=""),"",IF(AND(J$5&gt;=$D146,J$5&lt;=$E146),IF(J$5-$D146+1&lt;=ROUND(($E146-$D146+1)*$F146,0),2,IF(J$5&lt;CFG_CurWeek,3,1)),""))</f>
        <v/>
      </c>
      <c r="K146" s="66" t="str">
        <f aca="false">IF(OR($D146="",$E146=""),"",IF(AND(K$5&gt;=$D146,K$5&lt;=$E146),IF(K$5-$D146+1&lt;=ROUND(($E146-$D146+1)*$F146,0),2,IF(K$5&lt;CFG_CurWeek,3,1)),""))</f>
        <v/>
      </c>
      <c r="L146" s="66" t="str">
        <f aca="false">IF(OR($D146="",$E146=""),"",IF(AND(L$5&gt;=$D146,L$5&lt;=$E146),IF(L$5-$D146+1&lt;=ROUND(($E146-$D146+1)*$F146,0),2,IF(L$5&lt;CFG_CurWeek,3,1)),""))</f>
        <v/>
      </c>
      <c r="M146" s="66" t="str">
        <f aca="false">IF(OR($D146="",$E146=""),"",IF(AND(M$5&gt;=$D146,M$5&lt;=$E146),IF(M$5-$D146+1&lt;=ROUND(($E146-$D146+1)*$F146,0),2,IF(M$5&lt;CFG_CurWeek,3,1)),""))</f>
        <v/>
      </c>
      <c r="N146" s="66" t="str">
        <f aca="false">IF(OR($D146="",$E146=""),"",IF(AND(N$5&gt;=$D146,N$5&lt;=$E146),IF(N$5-$D146+1&lt;=ROUND(($E146-$D146+1)*$F146,0),2,IF(N$5&lt;CFG_CurWeek,3,1)),""))</f>
        <v/>
      </c>
      <c r="O146" s="66" t="str">
        <f aca="false">IF(OR($D146="",$E146=""),"",IF(AND(O$5&gt;=$D146,O$5&lt;=$E146),IF(O$5-$D146+1&lt;=ROUND(($E146-$D146+1)*$F146,0),2,IF(O$5&lt;CFG_CurWeek,3,1)),""))</f>
        <v/>
      </c>
      <c r="P146" s="66" t="str">
        <f aca="false">IF(OR($D146="",$E146=""),"",IF(AND(P$5&gt;=$D146,P$5&lt;=$E146),IF(P$5-$D146+1&lt;=ROUND(($E146-$D146+1)*$F146,0),2,IF(P$5&lt;CFG_CurWeek,3,1)),""))</f>
        <v/>
      </c>
      <c r="Q146" s="66" t="str">
        <f aca="false">IF(OR($D146="",$E146=""),"",IF(AND(Q$5&gt;=$D146,Q$5&lt;=$E146),IF(Q$5-$D146+1&lt;=ROUND(($E146-$D146+1)*$F146,0),2,IF(Q$5&lt;CFG_CurWeek,3,1)),""))</f>
        <v/>
      </c>
      <c r="R146" s="66" t="str">
        <f aca="false">IF(OR($D146="",$E146=""),"",IF(AND(R$5&gt;=$D146,R$5&lt;=$E146),IF(R$5-$D146+1&lt;=ROUND(($E146-$D146+1)*$F146,0),2,IF(R$5&lt;CFG_CurWeek,3,1)),""))</f>
        <v/>
      </c>
      <c r="S146" s="66" t="str">
        <f aca="false">IF(OR($D146="",$E146=""),"",IF(AND(S$5&gt;=$D146,S$5&lt;=$E146),IF(S$5-$D146+1&lt;=ROUND(($E146-$D146+1)*$F146,0),2,IF(S$5&lt;CFG_CurWeek,3,1)),""))</f>
        <v/>
      </c>
      <c r="T146" s="66" t="str">
        <f aca="false">IF(OR($D146="",$E146=""),"",IF(AND(T$5&gt;=$D146,T$5&lt;=$E146),IF(T$5-$D146+1&lt;=ROUND(($E146-$D146+1)*$F146,0),2,IF(T$5&lt;CFG_CurWeek,3,1)),""))</f>
        <v/>
      </c>
      <c r="U146" s="66" t="str">
        <f aca="false">IF(OR($D146="",$E146=""),"",IF(AND(U$5&gt;=$D146,U$5&lt;=$E146),IF(U$5-$D146+1&lt;=ROUND(($E146-$D146+1)*$F146,0),2,IF(U$5&lt;CFG_CurWeek,3,1)),""))</f>
        <v/>
      </c>
      <c r="V146" s="66" t="str">
        <f aca="false">IF(OR($D146="",$E146=""),"",IF(AND(V$5&gt;=$D146,V$5&lt;=$E146),IF(V$5-$D146+1&lt;=ROUND(($E146-$D146+1)*$F146,0),2,IF(V$5&lt;CFG_CurWeek,3,1)),""))</f>
        <v/>
      </c>
      <c r="W146" s="66" t="str">
        <f aca="false">IF(OR($D146="",$E146=""),"",IF(AND(W$5&gt;=$D146,W$5&lt;=$E146),IF(W$5-$D146+1&lt;=ROUND(($E146-$D146+1)*$F146,0),2,IF(W$5&lt;CFG_CurWeek,3,1)),""))</f>
        <v/>
      </c>
      <c r="X146" s="66" t="str">
        <f aca="false">IF(OR($D146="",$E146=""),"",IF(AND(X$5&gt;=$D146,X$5&lt;=$E146),IF(X$5-$D146+1&lt;=ROUND(($E146-$D146+1)*$F146,0),2,IF(X$5&lt;CFG_CurWeek,3,1)),""))</f>
        <v/>
      </c>
      <c r="Y146" s="66" t="str">
        <f aca="false">IF(OR($D146="",$E146=""),"",IF(AND(Y$5&gt;=$D146,Y$5&lt;=$E146),IF(Y$5-$D146+1&lt;=ROUND(($E146-$D146+1)*$F146,0),2,IF(Y$5&lt;CFG_CurWeek,3,1)),""))</f>
        <v/>
      </c>
      <c r="Z146" s="66" t="str">
        <f aca="false">IF(OR($D146="",$E146=""),"",IF(AND(Z$5&gt;=$D146,Z$5&lt;=$E146),IF(Z$5-$D146+1&lt;=ROUND(($E146-$D146+1)*$F146,0),2,IF(Z$5&lt;CFG_CurWeek,3,1)),""))</f>
        <v/>
      </c>
      <c r="AA146" s="66" t="str">
        <f aca="false">IF(OR($D146="",$E146=""),"",IF(AND(AA$5&gt;=$D146,AA$5&lt;=$E146),IF(AA$5-$D146+1&lt;=ROUND(($E146-$D146+1)*$F146,0),2,IF(AA$5&lt;CFG_CurWeek,3,1)),""))</f>
        <v/>
      </c>
      <c r="AB146" s="66" t="str">
        <f aca="false">IF(OR($D146="",$E146=""),"",IF(AND(AB$5&gt;=$D146,AB$5&lt;=$E146),IF(AB$5-$D146+1&lt;=ROUND(($E146-$D146+1)*$F146,0),2,IF(AB$5&lt;CFG_CurWeek,3,1)),""))</f>
        <v/>
      </c>
      <c r="AC146" s="66" t="str">
        <f aca="false">IF(OR($D146="",$E146=""),"",IF(AND(AC$5&gt;=$D146,AC$5&lt;=$E146),IF(AC$5-$D146+1&lt;=ROUND(($E146-$D146+1)*$F146,0),2,IF(AC$5&lt;CFG_CurWeek,3,1)),""))</f>
        <v/>
      </c>
      <c r="AD146" s="66" t="str">
        <f aca="false">IF(OR($D146="",$E146=""),"",IF(AND(AD$5&gt;=$D146,AD$5&lt;=$E146),IF(AD$5-$D146+1&lt;=ROUND(($E146-$D146+1)*$F146,0),2,IF(AD$5&lt;CFG_CurWeek,3,1)),""))</f>
        <v/>
      </c>
      <c r="AE146" s="66" t="str">
        <f aca="false">IF(OR($D146="",$E146=""),"",IF(AND(AE$5&gt;=$D146,AE$5&lt;=$E146),IF(AE$5-$D146+1&lt;=ROUND(($E146-$D146+1)*$F146,0),2,IF(AE$5&lt;CFG_CurWeek,3,1)),""))</f>
        <v/>
      </c>
      <c r="AF146" s="66" t="str">
        <f aca="false">IF(OR($D146="",$E146=""),"",IF(AND(AF$5&gt;=$D146,AF$5&lt;=$E146),IF(AF$5-$D146+1&lt;=ROUND(($E146-$D146+1)*$F146,0),2,IF(AF$5&lt;CFG_CurWeek,3,1)),""))</f>
        <v/>
      </c>
      <c r="AG146" s="66" t="str">
        <f aca="false">IF(OR($D146="",$E146=""),"",IF(AND(AG$5&gt;=$D146,AG$5&lt;=$E146),IF(AG$5-$D146+1&lt;=ROUND(($E146-$D146+1)*$F146,0),2,IF(AG$5&lt;CFG_CurWeek,3,1)),""))</f>
        <v/>
      </c>
      <c r="AH146" s="66" t="str">
        <f aca="false">IF(OR($D146="",$E146=""),"",IF(AND(AH$5&gt;=$D146,AH$5&lt;=$E146),IF(AH$5-$D146+1&lt;=ROUND(($E146-$D146+1)*$F146,0),2,IF(AH$5&lt;CFG_CurWeek,3,1)),""))</f>
        <v/>
      </c>
      <c r="AI146" s="66" t="str">
        <f aca="false">IF(OR($D146="",$E146=""),"",IF(AND(AI$5&gt;=$D146,AI$5&lt;=$E146),IF(AI$5-$D146+1&lt;=ROUND(($E146-$D146+1)*$F146,0),2,IF(AI$5&lt;CFG_CurWeek,3,1)),""))</f>
        <v/>
      </c>
      <c r="AJ146" s="66" t="str">
        <f aca="false">IF(OR($D146="",$E146=""),"",IF(AND(AJ$5&gt;=$D146,AJ$5&lt;=$E146),IF(AJ$5-$D146+1&lt;=ROUND(($E146-$D146+1)*$F146,0),2,IF(AJ$5&lt;CFG_CurWeek,3,1)),""))</f>
        <v/>
      </c>
      <c r="AK146" s="66" t="str">
        <f aca="false">IF(OR($D146="",$E146=""),"",IF(AND(AK$5&gt;=$D146,AK$5&lt;=$E146),IF(AK$5-$D146+1&lt;=ROUND(($E146-$D146+1)*$F146,0),2,IF(AK$5&lt;CFG_CurWeek,3,1)),""))</f>
        <v/>
      </c>
      <c r="AL146" s="66" t="str">
        <f aca="false">IF(OR($D146="",$E146=""),"",IF(AND(AL$5&gt;=$D146,AL$5&lt;=$E146),IF(AL$5-$D146+1&lt;=ROUND(($E146-$D146+1)*$F146,0),2,IF(AL$5&lt;CFG_CurWeek,3,1)),""))</f>
        <v/>
      </c>
      <c r="AM146" s="66" t="str">
        <f aca="false">IF(OR($D146="",$E146=""),"",IF(AND(AM$5&gt;=$D146,AM$5&lt;=$E146),IF(AM$5-$D146+1&lt;=ROUND(($E146-$D146+1)*$F146,0),2,IF(AM$5&lt;CFG_CurWeek,3,1)),""))</f>
        <v/>
      </c>
      <c r="AN146" s="66" t="str">
        <f aca="false">IF(OR($D146="",$E146=""),"",IF(AND(AN$5&gt;=$D146,AN$5&lt;=$E146),IF(AN$5-$D146+1&lt;=ROUND(($E146-$D146+1)*$F146,0),2,IF(AN$5&lt;CFG_CurWeek,3,1)),""))</f>
        <v/>
      </c>
      <c r="AO146" s="66" t="str">
        <f aca="false">IF(OR($D146="",$E146=""),"",IF(AND(AO$5&gt;=$D146,AO$5&lt;=$E146),IF(AO$5-$D146+1&lt;=ROUND(($E146-$D146+1)*$F146,0),2,IF(AO$5&lt;CFG_CurWeek,3,1)),""))</f>
        <v/>
      </c>
    </row>
    <row r="147" customFormat="false" ht="15" hidden="false" customHeight="false" outlineLevel="0" collapsed="false">
      <c r="A147" s="63" t="str">
        <f aca="false">IF('01_WBS &amp; Master Plan'!A144="","",'01_WBS &amp; Master Plan'!A144)</f>
        <v/>
      </c>
      <c r="B147" s="64" t="str">
        <f aca="false">IF('01_WBS &amp; Master Plan'!D144="","",'01_WBS &amp; Master Plan'!D144)</f>
        <v/>
      </c>
      <c r="C147" s="63" t="str">
        <f aca="false">IF('01_WBS &amp; Master Plan'!E144="","",'01_WBS &amp; Master Plan'!E144)</f>
        <v/>
      </c>
      <c r="D147" s="63" t="str">
        <f aca="false">IF('01_WBS &amp; Master Plan'!H144="","",'01_WBS &amp; Master Plan'!H144)</f>
        <v/>
      </c>
      <c r="E147" s="63" t="str">
        <f aca="false">IF('01_WBS &amp; Master Plan'!I144="","",'01_WBS &amp; Master Plan'!I144)</f>
        <v/>
      </c>
      <c r="F147" s="65" t="str">
        <f aca="false">IF(B147="","",IF('01_WBS &amp; Master Plan'!K144="Done",1,IF('01_WBS &amp; Master Plan'!L144="",0,'01_WBS &amp; Master Plan'!L144)))</f>
        <v/>
      </c>
      <c r="G147" s="63" t="str">
        <f aca="false">IF('01_WBS &amp; Master Plan'!K144="","",'01_WBS &amp; Master Plan'!K144)</f>
        <v/>
      </c>
      <c r="H147" s="66" t="str">
        <f aca="false">IF(OR($D147="",$E147=""),"",IF(AND(H$5&gt;=$D147,H$5&lt;=$E147),IF(H$5-$D147+1&lt;=ROUND(($E147-$D147+1)*$F147,0),2,IF(H$5&lt;CFG_CurWeek,3,1)),""))</f>
        <v/>
      </c>
      <c r="I147" s="66" t="str">
        <f aca="false">IF(OR($D147="",$E147=""),"",IF(AND(I$5&gt;=$D147,I$5&lt;=$E147),IF(I$5-$D147+1&lt;=ROUND(($E147-$D147+1)*$F147,0),2,IF(I$5&lt;CFG_CurWeek,3,1)),""))</f>
        <v/>
      </c>
      <c r="J147" s="66" t="str">
        <f aca="false">IF(OR($D147="",$E147=""),"",IF(AND(J$5&gt;=$D147,J$5&lt;=$E147),IF(J$5-$D147+1&lt;=ROUND(($E147-$D147+1)*$F147,0),2,IF(J$5&lt;CFG_CurWeek,3,1)),""))</f>
        <v/>
      </c>
      <c r="K147" s="66" t="str">
        <f aca="false">IF(OR($D147="",$E147=""),"",IF(AND(K$5&gt;=$D147,K$5&lt;=$E147),IF(K$5-$D147+1&lt;=ROUND(($E147-$D147+1)*$F147,0),2,IF(K$5&lt;CFG_CurWeek,3,1)),""))</f>
        <v/>
      </c>
      <c r="L147" s="66" t="str">
        <f aca="false">IF(OR($D147="",$E147=""),"",IF(AND(L$5&gt;=$D147,L$5&lt;=$E147),IF(L$5-$D147+1&lt;=ROUND(($E147-$D147+1)*$F147,0),2,IF(L$5&lt;CFG_CurWeek,3,1)),""))</f>
        <v/>
      </c>
      <c r="M147" s="66" t="str">
        <f aca="false">IF(OR($D147="",$E147=""),"",IF(AND(M$5&gt;=$D147,M$5&lt;=$E147),IF(M$5-$D147+1&lt;=ROUND(($E147-$D147+1)*$F147,0),2,IF(M$5&lt;CFG_CurWeek,3,1)),""))</f>
        <v/>
      </c>
      <c r="N147" s="66" t="str">
        <f aca="false">IF(OR($D147="",$E147=""),"",IF(AND(N$5&gt;=$D147,N$5&lt;=$E147),IF(N$5-$D147+1&lt;=ROUND(($E147-$D147+1)*$F147,0),2,IF(N$5&lt;CFG_CurWeek,3,1)),""))</f>
        <v/>
      </c>
      <c r="O147" s="66" t="str">
        <f aca="false">IF(OR($D147="",$E147=""),"",IF(AND(O$5&gt;=$D147,O$5&lt;=$E147),IF(O$5-$D147+1&lt;=ROUND(($E147-$D147+1)*$F147,0),2,IF(O$5&lt;CFG_CurWeek,3,1)),""))</f>
        <v/>
      </c>
      <c r="P147" s="66" t="str">
        <f aca="false">IF(OR($D147="",$E147=""),"",IF(AND(P$5&gt;=$D147,P$5&lt;=$E147),IF(P$5-$D147+1&lt;=ROUND(($E147-$D147+1)*$F147,0),2,IF(P$5&lt;CFG_CurWeek,3,1)),""))</f>
        <v/>
      </c>
      <c r="Q147" s="66" t="str">
        <f aca="false">IF(OR($D147="",$E147=""),"",IF(AND(Q$5&gt;=$D147,Q$5&lt;=$E147),IF(Q$5-$D147+1&lt;=ROUND(($E147-$D147+1)*$F147,0),2,IF(Q$5&lt;CFG_CurWeek,3,1)),""))</f>
        <v/>
      </c>
      <c r="R147" s="66" t="str">
        <f aca="false">IF(OR($D147="",$E147=""),"",IF(AND(R$5&gt;=$D147,R$5&lt;=$E147),IF(R$5-$D147+1&lt;=ROUND(($E147-$D147+1)*$F147,0),2,IF(R$5&lt;CFG_CurWeek,3,1)),""))</f>
        <v/>
      </c>
      <c r="S147" s="66" t="str">
        <f aca="false">IF(OR($D147="",$E147=""),"",IF(AND(S$5&gt;=$D147,S$5&lt;=$E147),IF(S$5-$D147+1&lt;=ROUND(($E147-$D147+1)*$F147,0),2,IF(S$5&lt;CFG_CurWeek,3,1)),""))</f>
        <v/>
      </c>
      <c r="T147" s="66" t="str">
        <f aca="false">IF(OR($D147="",$E147=""),"",IF(AND(T$5&gt;=$D147,T$5&lt;=$E147),IF(T$5-$D147+1&lt;=ROUND(($E147-$D147+1)*$F147,0),2,IF(T$5&lt;CFG_CurWeek,3,1)),""))</f>
        <v/>
      </c>
      <c r="U147" s="66" t="str">
        <f aca="false">IF(OR($D147="",$E147=""),"",IF(AND(U$5&gt;=$D147,U$5&lt;=$E147),IF(U$5-$D147+1&lt;=ROUND(($E147-$D147+1)*$F147,0),2,IF(U$5&lt;CFG_CurWeek,3,1)),""))</f>
        <v/>
      </c>
      <c r="V147" s="66" t="str">
        <f aca="false">IF(OR($D147="",$E147=""),"",IF(AND(V$5&gt;=$D147,V$5&lt;=$E147),IF(V$5-$D147+1&lt;=ROUND(($E147-$D147+1)*$F147,0),2,IF(V$5&lt;CFG_CurWeek,3,1)),""))</f>
        <v/>
      </c>
      <c r="W147" s="66" t="str">
        <f aca="false">IF(OR($D147="",$E147=""),"",IF(AND(W$5&gt;=$D147,W$5&lt;=$E147),IF(W$5-$D147+1&lt;=ROUND(($E147-$D147+1)*$F147,0),2,IF(W$5&lt;CFG_CurWeek,3,1)),""))</f>
        <v/>
      </c>
      <c r="X147" s="66" t="str">
        <f aca="false">IF(OR($D147="",$E147=""),"",IF(AND(X$5&gt;=$D147,X$5&lt;=$E147),IF(X$5-$D147+1&lt;=ROUND(($E147-$D147+1)*$F147,0),2,IF(X$5&lt;CFG_CurWeek,3,1)),""))</f>
        <v/>
      </c>
      <c r="Y147" s="66" t="str">
        <f aca="false">IF(OR($D147="",$E147=""),"",IF(AND(Y$5&gt;=$D147,Y$5&lt;=$E147),IF(Y$5-$D147+1&lt;=ROUND(($E147-$D147+1)*$F147,0),2,IF(Y$5&lt;CFG_CurWeek,3,1)),""))</f>
        <v/>
      </c>
      <c r="Z147" s="66" t="str">
        <f aca="false">IF(OR($D147="",$E147=""),"",IF(AND(Z$5&gt;=$D147,Z$5&lt;=$E147),IF(Z$5-$D147+1&lt;=ROUND(($E147-$D147+1)*$F147,0),2,IF(Z$5&lt;CFG_CurWeek,3,1)),""))</f>
        <v/>
      </c>
      <c r="AA147" s="66" t="str">
        <f aca="false">IF(OR($D147="",$E147=""),"",IF(AND(AA$5&gt;=$D147,AA$5&lt;=$E147),IF(AA$5-$D147+1&lt;=ROUND(($E147-$D147+1)*$F147,0),2,IF(AA$5&lt;CFG_CurWeek,3,1)),""))</f>
        <v/>
      </c>
      <c r="AB147" s="66" t="str">
        <f aca="false">IF(OR($D147="",$E147=""),"",IF(AND(AB$5&gt;=$D147,AB$5&lt;=$E147),IF(AB$5-$D147+1&lt;=ROUND(($E147-$D147+1)*$F147,0),2,IF(AB$5&lt;CFG_CurWeek,3,1)),""))</f>
        <v/>
      </c>
      <c r="AC147" s="66" t="str">
        <f aca="false">IF(OR($D147="",$E147=""),"",IF(AND(AC$5&gt;=$D147,AC$5&lt;=$E147),IF(AC$5-$D147+1&lt;=ROUND(($E147-$D147+1)*$F147,0),2,IF(AC$5&lt;CFG_CurWeek,3,1)),""))</f>
        <v/>
      </c>
      <c r="AD147" s="66" t="str">
        <f aca="false">IF(OR($D147="",$E147=""),"",IF(AND(AD$5&gt;=$D147,AD$5&lt;=$E147),IF(AD$5-$D147+1&lt;=ROUND(($E147-$D147+1)*$F147,0),2,IF(AD$5&lt;CFG_CurWeek,3,1)),""))</f>
        <v/>
      </c>
      <c r="AE147" s="66" t="str">
        <f aca="false">IF(OR($D147="",$E147=""),"",IF(AND(AE$5&gt;=$D147,AE$5&lt;=$E147),IF(AE$5-$D147+1&lt;=ROUND(($E147-$D147+1)*$F147,0),2,IF(AE$5&lt;CFG_CurWeek,3,1)),""))</f>
        <v/>
      </c>
      <c r="AF147" s="66" t="str">
        <f aca="false">IF(OR($D147="",$E147=""),"",IF(AND(AF$5&gt;=$D147,AF$5&lt;=$E147),IF(AF$5-$D147+1&lt;=ROUND(($E147-$D147+1)*$F147,0),2,IF(AF$5&lt;CFG_CurWeek,3,1)),""))</f>
        <v/>
      </c>
      <c r="AG147" s="66" t="str">
        <f aca="false">IF(OR($D147="",$E147=""),"",IF(AND(AG$5&gt;=$D147,AG$5&lt;=$E147),IF(AG$5-$D147+1&lt;=ROUND(($E147-$D147+1)*$F147,0),2,IF(AG$5&lt;CFG_CurWeek,3,1)),""))</f>
        <v/>
      </c>
      <c r="AH147" s="66" t="str">
        <f aca="false">IF(OR($D147="",$E147=""),"",IF(AND(AH$5&gt;=$D147,AH$5&lt;=$E147),IF(AH$5-$D147+1&lt;=ROUND(($E147-$D147+1)*$F147,0),2,IF(AH$5&lt;CFG_CurWeek,3,1)),""))</f>
        <v/>
      </c>
      <c r="AI147" s="66" t="str">
        <f aca="false">IF(OR($D147="",$E147=""),"",IF(AND(AI$5&gt;=$D147,AI$5&lt;=$E147),IF(AI$5-$D147+1&lt;=ROUND(($E147-$D147+1)*$F147,0),2,IF(AI$5&lt;CFG_CurWeek,3,1)),""))</f>
        <v/>
      </c>
      <c r="AJ147" s="66" t="str">
        <f aca="false">IF(OR($D147="",$E147=""),"",IF(AND(AJ$5&gt;=$D147,AJ$5&lt;=$E147),IF(AJ$5-$D147+1&lt;=ROUND(($E147-$D147+1)*$F147,0),2,IF(AJ$5&lt;CFG_CurWeek,3,1)),""))</f>
        <v/>
      </c>
      <c r="AK147" s="66" t="str">
        <f aca="false">IF(OR($D147="",$E147=""),"",IF(AND(AK$5&gt;=$D147,AK$5&lt;=$E147),IF(AK$5-$D147+1&lt;=ROUND(($E147-$D147+1)*$F147,0),2,IF(AK$5&lt;CFG_CurWeek,3,1)),""))</f>
        <v/>
      </c>
      <c r="AL147" s="66" t="str">
        <f aca="false">IF(OR($D147="",$E147=""),"",IF(AND(AL$5&gt;=$D147,AL$5&lt;=$E147),IF(AL$5-$D147+1&lt;=ROUND(($E147-$D147+1)*$F147,0),2,IF(AL$5&lt;CFG_CurWeek,3,1)),""))</f>
        <v/>
      </c>
      <c r="AM147" s="66" t="str">
        <f aca="false">IF(OR($D147="",$E147=""),"",IF(AND(AM$5&gt;=$D147,AM$5&lt;=$E147),IF(AM$5-$D147+1&lt;=ROUND(($E147-$D147+1)*$F147,0),2,IF(AM$5&lt;CFG_CurWeek,3,1)),""))</f>
        <v/>
      </c>
      <c r="AN147" s="66" t="str">
        <f aca="false">IF(OR($D147="",$E147=""),"",IF(AND(AN$5&gt;=$D147,AN$5&lt;=$E147),IF(AN$5-$D147+1&lt;=ROUND(($E147-$D147+1)*$F147,0),2,IF(AN$5&lt;CFG_CurWeek,3,1)),""))</f>
        <v/>
      </c>
      <c r="AO147" s="66" t="str">
        <f aca="false">IF(OR($D147="",$E147=""),"",IF(AND(AO$5&gt;=$D147,AO$5&lt;=$E147),IF(AO$5-$D147+1&lt;=ROUND(($E147-$D147+1)*$F147,0),2,IF(AO$5&lt;CFG_CurWeek,3,1)),""))</f>
        <v/>
      </c>
    </row>
    <row r="148" customFormat="false" ht="15" hidden="false" customHeight="false" outlineLevel="0" collapsed="false">
      <c r="A148" s="63" t="str">
        <f aca="false">IF('01_WBS &amp; Master Plan'!A145="","",'01_WBS &amp; Master Plan'!A145)</f>
        <v/>
      </c>
      <c r="B148" s="64" t="str">
        <f aca="false">IF('01_WBS &amp; Master Plan'!D145="","",'01_WBS &amp; Master Plan'!D145)</f>
        <v/>
      </c>
      <c r="C148" s="63" t="str">
        <f aca="false">IF('01_WBS &amp; Master Plan'!E145="","",'01_WBS &amp; Master Plan'!E145)</f>
        <v/>
      </c>
      <c r="D148" s="63" t="str">
        <f aca="false">IF('01_WBS &amp; Master Plan'!H145="","",'01_WBS &amp; Master Plan'!H145)</f>
        <v/>
      </c>
      <c r="E148" s="63" t="str">
        <f aca="false">IF('01_WBS &amp; Master Plan'!I145="","",'01_WBS &amp; Master Plan'!I145)</f>
        <v/>
      </c>
      <c r="F148" s="65" t="str">
        <f aca="false">IF(B148="","",IF('01_WBS &amp; Master Plan'!K145="Done",1,IF('01_WBS &amp; Master Plan'!L145="",0,'01_WBS &amp; Master Plan'!L145)))</f>
        <v/>
      </c>
      <c r="G148" s="63" t="str">
        <f aca="false">IF('01_WBS &amp; Master Plan'!K145="","",'01_WBS &amp; Master Plan'!K145)</f>
        <v/>
      </c>
      <c r="H148" s="66" t="str">
        <f aca="false">IF(OR($D148="",$E148=""),"",IF(AND(H$5&gt;=$D148,H$5&lt;=$E148),IF(H$5-$D148+1&lt;=ROUND(($E148-$D148+1)*$F148,0),2,IF(H$5&lt;CFG_CurWeek,3,1)),""))</f>
        <v/>
      </c>
      <c r="I148" s="66" t="str">
        <f aca="false">IF(OR($D148="",$E148=""),"",IF(AND(I$5&gt;=$D148,I$5&lt;=$E148),IF(I$5-$D148+1&lt;=ROUND(($E148-$D148+1)*$F148,0),2,IF(I$5&lt;CFG_CurWeek,3,1)),""))</f>
        <v/>
      </c>
      <c r="J148" s="66" t="str">
        <f aca="false">IF(OR($D148="",$E148=""),"",IF(AND(J$5&gt;=$D148,J$5&lt;=$E148),IF(J$5-$D148+1&lt;=ROUND(($E148-$D148+1)*$F148,0),2,IF(J$5&lt;CFG_CurWeek,3,1)),""))</f>
        <v/>
      </c>
      <c r="K148" s="66" t="str">
        <f aca="false">IF(OR($D148="",$E148=""),"",IF(AND(K$5&gt;=$D148,K$5&lt;=$E148),IF(K$5-$D148+1&lt;=ROUND(($E148-$D148+1)*$F148,0),2,IF(K$5&lt;CFG_CurWeek,3,1)),""))</f>
        <v/>
      </c>
      <c r="L148" s="66" t="str">
        <f aca="false">IF(OR($D148="",$E148=""),"",IF(AND(L$5&gt;=$D148,L$5&lt;=$E148),IF(L$5-$D148+1&lt;=ROUND(($E148-$D148+1)*$F148,0),2,IF(L$5&lt;CFG_CurWeek,3,1)),""))</f>
        <v/>
      </c>
      <c r="M148" s="66" t="str">
        <f aca="false">IF(OR($D148="",$E148=""),"",IF(AND(M$5&gt;=$D148,M$5&lt;=$E148),IF(M$5-$D148+1&lt;=ROUND(($E148-$D148+1)*$F148,0),2,IF(M$5&lt;CFG_CurWeek,3,1)),""))</f>
        <v/>
      </c>
      <c r="N148" s="66" t="str">
        <f aca="false">IF(OR($D148="",$E148=""),"",IF(AND(N$5&gt;=$D148,N$5&lt;=$E148),IF(N$5-$D148+1&lt;=ROUND(($E148-$D148+1)*$F148,0),2,IF(N$5&lt;CFG_CurWeek,3,1)),""))</f>
        <v/>
      </c>
      <c r="O148" s="66" t="str">
        <f aca="false">IF(OR($D148="",$E148=""),"",IF(AND(O$5&gt;=$D148,O$5&lt;=$E148),IF(O$5-$D148+1&lt;=ROUND(($E148-$D148+1)*$F148,0),2,IF(O$5&lt;CFG_CurWeek,3,1)),""))</f>
        <v/>
      </c>
      <c r="P148" s="66" t="str">
        <f aca="false">IF(OR($D148="",$E148=""),"",IF(AND(P$5&gt;=$D148,P$5&lt;=$E148),IF(P$5-$D148+1&lt;=ROUND(($E148-$D148+1)*$F148,0),2,IF(P$5&lt;CFG_CurWeek,3,1)),""))</f>
        <v/>
      </c>
      <c r="Q148" s="66" t="str">
        <f aca="false">IF(OR($D148="",$E148=""),"",IF(AND(Q$5&gt;=$D148,Q$5&lt;=$E148),IF(Q$5-$D148+1&lt;=ROUND(($E148-$D148+1)*$F148,0),2,IF(Q$5&lt;CFG_CurWeek,3,1)),""))</f>
        <v/>
      </c>
      <c r="R148" s="66" t="str">
        <f aca="false">IF(OR($D148="",$E148=""),"",IF(AND(R$5&gt;=$D148,R$5&lt;=$E148),IF(R$5-$D148+1&lt;=ROUND(($E148-$D148+1)*$F148,0),2,IF(R$5&lt;CFG_CurWeek,3,1)),""))</f>
        <v/>
      </c>
      <c r="S148" s="66" t="str">
        <f aca="false">IF(OR($D148="",$E148=""),"",IF(AND(S$5&gt;=$D148,S$5&lt;=$E148),IF(S$5-$D148+1&lt;=ROUND(($E148-$D148+1)*$F148,0),2,IF(S$5&lt;CFG_CurWeek,3,1)),""))</f>
        <v/>
      </c>
      <c r="T148" s="66" t="str">
        <f aca="false">IF(OR($D148="",$E148=""),"",IF(AND(T$5&gt;=$D148,T$5&lt;=$E148),IF(T$5-$D148+1&lt;=ROUND(($E148-$D148+1)*$F148,0),2,IF(T$5&lt;CFG_CurWeek,3,1)),""))</f>
        <v/>
      </c>
      <c r="U148" s="66" t="str">
        <f aca="false">IF(OR($D148="",$E148=""),"",IF(AND(U$5&gt;=$D148,U$5&lt;=$E148),IF(U$5-$D148+1&lt;=ROUND(($E148-$D148+1)*$F148,0),2,IF(U$5&lt;CFG_CurWeek,3,1)),""))</f>
        <v/>
      </c>
      <c r="V148" s="66" t="str">
        <f aca="false">IF(OR($D148="",$E148=""),"",IF(AND(V$5&gt;=$D148,V$5&lt;=$E148),IF(V$5-$D148+1&lt;=ROUND(($E148-$D148+1)*$F148,0),2,IF(V$5&lt;CFG_CurWeek,3,1)),""))</f>
        <v/>
      </c>
      <c r="W148" s="66" t="str">
        <f aca="false">IF(OR($D148="",$E148=""),"",IF(AND(W$5&gt;=$D148,W$5&lt;=$E148),IF(W$5-$D148+1&lt;=ROUND(($E148-$D148+1)*$F148,0),2,IF(W$5&lt;CFG_CurWeek,3,1)),""))</f>
        <v/>
      </c>
      <c r="X148" s="66" t="str">
        <f aca="false">IF(OR($D148="",$E148=""),"",IF(AND(X$5&gt;=$D148,X$5&lt;=$E148),IF(X$5-$D148+1&lt;=ROUND(($E148-$D148+1)*$F148,0),2,IF(X$5&lt;CFG_CurWeek,3,1)),""))</f>
        <v/>
      </c>
      <c r="Y148" s="66" t="str">
        <f aca="false">IF(OR($D148="",$E148=""),"",IF(AND(Y$5&gt;=$D148,Y$5&lt;=$E148),IF(Y$5-$D148+1&lt;=ROUND(($E148-$D148+1)*$F148,0),2,IF(Y$5&lt;CFG_CurWeek,3,1)),""))</f>
        <v/>
      </c>
      <c r="Z148" s="66" t="str">
        <f aca="false">IF(OR($D148="",$E148=""),"",IF(AND(Z$5&gt;=$D148,Z$5&lt;=$E148),IF(Z$5-$D148+1&lt;=ROUND(($E148-$D148+1)*$F148,0),2,IF(Z$5&lt;CFG_CurWeek,3,1)),""))</f>
        <v/>
      </c>
      <c r="AA148" s="66" t="str">
        <f aca="false">IF(OR($D148="",$E148=""),"",IF(AND(AA$5&gt;=$D148,AA$5&lt;=$E148),IF(AA$5-$D148+1&lt;=ROUND(($E148-$D148+1)*$F148,0),2,IF(AA$5&lt;CFG_CurWeek,3,1)),""))</f>
        <v/>
      </c>
      <c r="AB148" s="66" t="str">
        <f aca="false">IF(OR($D148="",$E148=""),"",IF(AND(AB$5&gt;=$D148,AB$5&lt;=$E148),IF(AB$5-$D148+1&lt;=ROUND(($E148-$D148+1)*$F148,0),2,IF(AB$5&lt;CFG_CurWeek,3,1)),""))</f>
        <v/>
      </c>
      <c r="AC148" s="66" t="str">
        <f aca="false">IF(OR($D148="",$E148=""),"",IF(AND(AC$5&gt;=$D148,AC$5&lt;=$E148),IF(AC$5-$D148+1&lt;=ROUND(($E148-$D148+1)*$F148,0),2,IF(AC$5&lt;CFG_CurWeek,3,1)),""))</f>
        <v/>
      </c>
      <c r="AD148" s="66" t="str">
        <f aca="false">IF(OR($D148="",$E148=""),"",IF(AND(AD$5&gt;=$D148,AD$5&lt;=$E148),IF(AD$5-$D148+1&lt;=ROUND(($E148-$D148+1)*$F148,0),2,IF(AD$5&lt;CFG_CurWeek,3,1)),""))</f>
        <v/>
      </c>
      <c r="AE148" s="66" t="str">
        <f aca="false">IF(OR($D148="",$E148=""),"",IF(AND(AE$5&gt;=$D148,AE$5&lt;=$E148),IF(AE$5-$D148+1&lt;=ROUND(($E148-$D148+1)*$F148,0),2,IF(AE$5&lt;CFG_CurWeek,3,1)),""))</f>
        <v/>
      </c>
      <c r="AF148" s="66" t="str">
        <f aca="false">IF(OR($D148="",$E148=""),"",IF(AND(AF$5&gt;=$D148,AF$5&lt;=$E148),IF(AF$5-$D148+1&lt;=ROUND(($E148-$D148+1)*$F148,0),2,IF(AF$5&lt;CFG_CurWeek,3,1)),""))</f>
        <v/>
      </c>
      <c r="AG148" s="66" t="str">
        <f aca="false">IF(OR($D148="",$E148=""),"",IF(AND(AG$5&gt;=$D148,AG$5&lt;=$E148),IF(AG$5-$D148+1&lt;=ROUND(($E148-$D148+1)*$F148,0),2,IF(AG$5&lt;CFG_CurWeek,3,1)),""))</f>
        <v/>
      </c>
      <c r="AH148" s="66" t="str">
        <f aca="false">IF(OR($D148="",$E148=""),"",IF(AND(AH$5&gt;=$D148,AH$5&lt;=$E148),IF(AH$5-$D148+1&lt;=ROUND(($E148-$D148+1)*$F148,0),2,IF(AH$5&lt;CFG_CurWeek,3,1)),""))</f>
        <v/>
      </c>
      <c r="AI148" s="66" t="str">
        <f aca="false">IF(OR($D148="",$E148=""),"",IF(AND(AI$5&gt;=$D148,AI$5&lt;=$E148),IF(AI$5-$D148+1&lt;=ROUND(($E148-$D148+1)*$F148,0),2,IF(AI$5&lt;CFG_CurWeek,3,1)),""))</f>
        <v/>
      </c>
      <c r="AJ148" s="66" t="str">
        <f aca="false">IF(OR($D148="",$E148=""),"",IF(AND(AJ$5&gt;=$D148,AJ$5&lt;=$E148),IF(AJ$5-$D148+1&lt;=ROUND(($E148-$D148+1)*$F148,0),2,IF(AJ$5&lt;CFG_CurWeek,3,1)),""))</f>
        <v/>
      </c>
      <c r="AK148" s="66" t="str">
        <f aca="false">IF(OR($D148="",$E148=""),"",IF(AND(AK$5&gt;=$D148,AK$5&lt;=$E148),IF(AK$5-$D148+1&lt;=ROUND(($E148-$D148+1)*$F148,0),2,IF(AK$5&lt;CFG_CurWeek,3,1)),""))</f>
        <v/>
      </c>
      <c r="AL148" s="66" t="str">
        <f aca="false">IF(OR($D148="",$E148=""),"",IF(AND(AL$5&gt;=$D148,AL$5&lt;=$E148),IF(AL$5-$D148+1&lt;=ROUND(($E148-$D148+1)*$F148,0),2,IF(AL$5&lt;CFG_CurWeek,3,1)),""))</f>
        <v/>
      </c>
      <c r="AM148" s="66" t="str">
        <f aca="false">IF(OR($D148="",$E148=""),"",IF(AND(AM$5&gt;=$D148,AM$5&lt;=$E148),IF(AM$5-$D148+1&lt;=ROUND(($E148-$D148+1)*$F148,0),2,IF(AM$5&lt;CFG_CurWeek,3,1)),""))</f>
        <v/>
      </c>
      <c r="AN148" s="66" t="str">
        <f aca="false">IF(OR($D148="",$E148=""),"",IF(AND(AN$5&gt;=$D148,AN$5&lt;=$E148),IF(AN$5-$D148+1&lt;=ROUND(($E148-$D148+1)*$F148,0),2,IF(AN$5&lt;CFG_CurWeek,3,1)),""))</f>
        <v/>
      </c>
      <c r="AO148" s="66" t="str">
        <f aca="false">IF(OR($D148="",$E148=""),"",IF(AND(AO$5&gt;=$D148,AO$5&lt;=$E148),IF(AO$5-$D148+1&lt;=ROUND(($E148-$D148+1)*$F148,0),2,IF(AO$5&lt;CFG_CurWeek,3,1)),""))</f>
        <v/>
      </c>
    </row>
    <row r="149" customFormat="false" ht="15" hidden="false" customHeight="false" outlineLevel="0" collapsed="false">
      <c r="A149" s="63" t="str">
        <f aca="false">IF('01_WBS &amp; Master Plan'!A146="","",'01_WBS &amp; Master Plan'!A146)</f>
        <v/>
      </c>
      <c r="B149" s="64" t="str">
        <f aca="false">IF('01_WBS &amp; Master Plan'!D146="","",'01_WBS &amp; Master Plan'!D146)</f>
        <v/>
      </c>
      <c r="C149" s="63" t="str">
        <f aca="false">IF('01_WBS &amp; Master Plan'!E146="","",'01_WBS &amp; Master Plan'!E146)</f>
        <v/>
      </c>
      <c r="D149" s="63" t="str">
        <f aca="false">IF('01_WBS &amp; Master Plan'!H146="","",'01_WBS &amp; Master Plan'!H146)</f>
        <v/>
      </c>
      <c r="E149" s="63" t="str">
        <f aca="false">IF('01_WBS &amp; Master Plan'!I146="","",'01_WBS &amp; Master Plan'!I146)</f>
        <v/>
      </c>
      <c r="F149" s="65" t="str">
        <f aca="false">IF(B149="","",IF('01_WBS &amp; Master Plan'!K146="Done",1,IF('01_WBS &amp; Master Plan'!L146="",0,'01_WBS &amp; Master Plan'!L146)))</f>
        <v/>
      </c>
      <c r="G149" s="63" t="str">
        <f aca="false">IF('01_WBS &amp; Master Plan'!K146="","",'01_WBS &amp; Master Plan'!K146)</f>
        <v/>
      </c>
      <c r="H149" s="66" t="str">
        <f aca="false">IF(OR($D149="",$E149=""),"",IF(AND(H$5&gt;=$D149,H$5&lt;=$E149),IF(H$5-$D149+1&lt;=ROUND(($E149-$D149+1)*$F149,0),2,IF(H$5&lt;CFG_CurWeek,3,1)),""))</f>
        <v/>
      </c>
      <c r="I149" s="66" t="str">
        <f aca="false">IF(OR($D149="",$E149=""),"",IF(AND(I$5&gt;=$D149,I$5&lt;=$E149),IF(I$5-$D149+1&lt;=ROUND(($E149-$D149+1)*$F149,0),2,IF(I$5&lt;CFG_CurWeek,3,1)),""))</f>
        <v/>
      </c>
      <c r="J149" s="66" t="str">
        <f aca="false">IF(OR($D149="",$E149=""),"",IF(AND(J$5&gt;=$D149,J$5&lt;=$E149),IF(J$5-$D149+1&lt;=ROUND(($E149-$D149+1)*$F149,0),2,IF(J$5&lt;CFG_CurWeek,3,1)),""))</f>
        <v/>
      </c>
      <c r="K149" s="66" t="str">
        <f aca="false">IF(OR($D149="",$E149=""),"",IF(AND(K$5&gt;=$D149,K$5&lt;=$E149),IF(K$5-$D149+1&lt;=ROUND(($E149-$D149+1)*$F149,0),2,IF(K$5&lt;CFG_CurWeek,3,1)),""))</f>
        <v/>
      </c>
      <c r="L149" s="66" t="str">
        <f aca="false">IF(OR($D149="",$E149=""),"",IF(AND(L$5&gt;=$D149,L$5&lt;=$E149),IF(L$5-$D149+1&lt;=ROUND(($E149-$D149+1)*$F149,0),2,IF(L$5&lt;CFG_CurWeek,3,1)),""))</f>
        <v/>
      </c>
      <c r="M149" s="66" t="str">
        <f aca="false">IF(OR($D149="",$E149=""),"",IF(AND(M$5&gt;=$D149,M$5&lt;=$E149),IF(M$5-$D149+1&lt;=ROUND(($E149-$D149+1)*$F149,0),2,IF(M$5&lt;CFG_CurWeek,3,1)),""))</f>
        <v/>
      </c>
      <c r="N149" s="66" t="str">
        <f aca="false">IF(OR($D149="",$E149=""),"",IF(AND(N$5&gt;=$D149,N$5&lt;=$E149),IF(N$5-$D149+1&lt;=ROUND(($E149-$D149+1)*$F149,0),2,IF(N$5&lt;CFG_CurWeek,3,1)),""))</f>
        <v/>
      </c>
      <c r="O149" s="66" t="str">
        <f aca="false">IF(OR($D149="",$E149=""),"",IF(AND(O$5&gt;=$D149,O$5&lt;=$E149),IF(O$5-$D149+1&lt;=ROUND(($E149-$D149+1)*$F149,0),2,IF(O$5&lt;CFG_CurWeek,3,1)),""))</f>
        <v/>
      </c>
      <c r="P149" s="66" t="str">
        <f aca="false">IF(OR($D149="",$E149=""),"",IF(AND(P$5&gt;=$D149,P$5&lt;=$E149),IF(P$5-$D149+1&lt;=ROUND(($E149-$D149+1)*$F149,0),2,IF(P$5&lt;CFG_CurWeek,3,1)),""))</f>
        <v/>
      </c>
      <c r="Q149" s="66" t="str">
        <f aca="false">IF(OR($D149="",$E149=""),"",IF(AND(Q$5&gt;=$D149,Q$5&lt;=$E149),IF(Q$5-$D149+1&lt;=ROUND(($E149-$D149+1)*$F149,0),2,IF(Q$5&lt;CFG_CurWeek,3,1)),""))</f>
        <v/>
      </c>
      <c r="R149" s="66" t="str">
        <f aca="false">IF(OR($D149="",$E149=""),"",IF(AND(R$5&gt;=$D149,R$5&lt;=$E149),IF(R$5-$D149+1&lt;=ROUND(($E149-$D149+1)*$F149,0),2,IF(R$5&lt;CFG_CurWeek,3,1)),""))</f>
        <v/>
      </c>
      <c r="S149" s="66" t="str">
        <f aca="false">IF(OR($D149="",$E149=""),"",IF(AND(S$5&gt;=$D149,S$5&lt;=$E149),IF(S$5-$D149+1&lt;=ROUND(($E149-$D149+1)*$F149,0),2,IF(S$5&lt;CFG_CurWeek,3,1)),""))</f>
        <v/>
      </c>
      <c r="T149" s="66" t="str">
        <f aca="false">IF(OR($D149="",$E149=""),"",IF(AND(T$5&gt;=$D149,T$5&lt;=$E149),IF(T$5-$D149+1&lt;=ROUND(($E149-$D149+1)*$F149,0),2,IF(T$5&lt;CFG_CurWeek,3,1)),""))</f>
        <v/>
      </c>
      <c r="U149" s="66" t="str">
        <f aca="false">IF(OR($D149="",$E149=""),"",IF(AND(U$5&gt;=$D149,U$5&lt;=$E149),IF(U$5-$D149+1&lt;=ROUND(($E149-$D149+1)*$F149,0),2,IF(U$5&lt;CFG_CurWeek,3,1)),""))</f>
        <v/>
      </c>
      <c r="V149" s="66" t="str">
        <f aca="false">IF(OR($D149="",$E149=""),"",IF(AND(V$5&gt;=$D149,V$5&lt;=$E149),IF(V$5-$D149+1&lt;=ROUND(($E149-$D149+1)*$F149,0),2,IF(V$5&lt;CFG_CurWeek,3,1)),""))</f>
        <v/>
      </c>
      <c r="W149" s="66" t="str">
        <f aca="false">IF(OR($D149="",$E149=""),"",IF(AND(W$5&gt;=$D149,W$5&lt;=$E149),IF(W$5-$D149+1&lt;=ROUND(($E149-$D149+1)*$F149,0),2,IF(W$5&lt;CFG_CurWeek,3,1)),""))</f>
        <v/>
      </c>
      <c r="X149" s="66" t="str">
        <f aca="false">IF(OR($D149="",$E149=""),"",IF(AND(X$5&gt;=$D149,X$5&lt;=$E149),IF(X$5-$D149+1&lt;=ROUND(($E149-$D149+1)*$F149,0),2,IF(X$5&lt;CFG_CurWeek,3,1)),""))</f>
        <v/>
      </c>
      <c r="Y149" s="66" t="str">
        <f aca="false">IF(OR($D149="",$E149=""),"",IF(AND(Y$5&gt;=$D149,Y$5&lt;=$E149),IF(Y$5-$D149+1&lt;=ROUND(($E149-$D149+1)*$F149,0),2,IF(Y$5&lt;CFG_CurWeek,3,1)),""))</f>
        <v/>
      </c>
      <c r="Z149" s="66" t="str">
        <f aca="false">IF(OR($D149="",$E149=""),"",IF(AND(Z$5&gt;=$D149,Z$5&lt;=$E149),IF(Z$5-$D149+1&lt;=ROUND(($E149-$D149+1)*$F149,0),2,IF(Z$5&lt;CFG_CurWeek,3,1)),""))</f>
        <v/>
      </c>
      <c r="AA149" s="66" t="str">
        <f aca="false">IF(OR($D149="",$E149=""),"",IF(AND(AA$5&gt;=$D149,AA$5&lt;=$E149),IF(AA$5-$D149+1&lt;=ROUND(($E149-$D149+1)*$F149,0),2,IF(AA$5&lt;CFG_CurWeek,3,1)),""))</f>
        <v/>
      </c>
      <c r="AB149" s="66" t="str">
        <f aca="false">IF(OR($D149="",$E149=""),"",IF(AND(AB$5&gt;=$D149,AB$5&lt;=$E149),IF(AB$5-$D149+1&lt;=ROUND(($E149-$D149+1)*$F149,0),2,IF(AB$5&lt;CFG_CurWeek,3,1)),""))</f>
        <v/>
      </c>
      <c r="AC149" s="66" t="str">
        <f aca="false">IF(OR($D149="",$E149=""),"",IF(AND(AC$5&gt;=$D149,AC$5&lt;=$E149),IF(AC$5-$D149+1&lt;=ROUND(($E149-$D149+1)*$F149,0),2,IF(AC$5&lt;CFG_CurWeek,3,1)),""))</f>
        <v/>
      </c>
      <c r="AD149" s="66" t="str">
        <f aca="false">IF(OR($D149="",$E149=""),"",IF(AND(AD$5&gt;=$D149,AD$5&lt;=$E149),IF(AD$5-$D149+1&lt;=ROUND(($E149-$D149+1)*$F149,0),2,IF(AD$5&lt;CFG_CurWeek,3,1)),""))</f>
        <v/>
      </c>
      <c r="AE149" s="66" t="str">
        <f aca="false">IF(OR($D149="",$E149=""),"",IF(AND(AE$5&gt;=$D149,AE$5&lt;=$E149),IF(AE$5-$D149+1&lt;=ROUND(($E149-$D149+1)*$F149,0),2,IF(AE$5&lt;CFG_CurWeek,3,1)),""))</f>
        <v/>
      </c>
      <c r="AF149" s="66" t="str">
        <f aca="false">IF(OR($D149="",$E149=""),"",IF(AND(AF$5&gt;=$D149,AF$5&lt;=$E149),IF(AF$5-$D149+1&lt;=ROUND(($E149-$D149+1)*$F149,0),2,IF(AF$5&lt;CFG_CurWeek,3,1)),""))</f>
        <v/>
      </c>
      <c r="AG149" s="66" t="str">
        <f aca="false">IF(OR($D149="",$E149=""),"",IF(AND(AG$5&gt;=$D149,AG$5&lt;=$E149),IF(AG$5-$D149+1&lt;=ROUND(($E149-$D149+1)*$F149,0),2,IF(AG$5&lt;CFG_CurWeek,3,1)),""))</f>
        <v/>
      </c>
      <c r="AH149" s="66" t="str">
        <f aca="false">IF(OR($D149="",$E149=""),"",IF(AND(AH$5&gt;=$D149,AH$5&lt;=$E149),IF(AH$5-$D149+1&lt;=ROUND(($E149-$D149+1)*$F149,0),2,IF(AH$5&lt;CFG_CurWeek,3,1)),""))</f>
        <v/>
      </c>
      <c r="AI149" s="66" t="str">
        <f aca="false">IF(OR($D149="",$E149=""),"",IF(AND(AI$5&gt;=$D149,AI$5&lt;=$E149),IF(AI$5-$D149+1&lt;=ROUND(($E149-$D149+1)*$F149,0),2,IF(AI$5&lt;CFG_CurWeek,3,1)),""))</f>
        <v/>
      </c>
      <c r="AJ149" s="66" t="str">
        <f aca="false">IF(OR($D149="",$E149=""),"",IF(AND(AJ$5&gt;=$D149,AJ$5&lt;=$E149),IF(AJ$5-$D149+1&lt;=ROUND(($E149-$D149+1)*$F149,0),2,IF(AJ$5&lt;CFG_CurWeek,3,1)),""))</f>
        <v/>
      </c>
      <c r="AK149" s="66" t="str">
        <f aca="false">IF(OR($D149="",$E149=""),"",IF(AND(AK$5&gt;=$D149,AK$5&lt;=$E149),IF(AK$5-$D149+1&lt;=ROUND(($E149-$D149+1)*$F149,0),2,IF(AK$5&lt;CFG_CurWeek,3,1)),""))</f>
        <v/>
      </c>
      <c r="AL149" s="66" t="str">
        <f aca="false">IF(OR($D149="",$E149=""),"",IF(AND(AL$5&gt;=$D149,AL$5&lt;=$E149),IF(AL$5-$D149+1&lt;=ROUND(($E149-$D149+1)*$F149,0),2,IF(AL$5&lt;CFG_CurWeek,3,1)),""))</f>
        <v/>
      </c>
      <c r="AM149" s="66" t="str">
        <f aca="false">IF(OR($D149="",$E149=""),"",IF(AND(AM$5&gt;=$D149,AM$5&lt;=$E149),IF(AM$5-$D149+1&lt;=ROUND(($E149-$D149+1)*$F149,0),2,IF(AM$5&lt;CFG_CurWeek,3,1)),""))</f>
        <v/>
      </c>
      <c r="AN149" s="66" t="str">
        <f aca="false">IF(OR($D149="",$E149=""),"",IF(AND(AN$5&gt;=$D149,AN$5&lt;=$E149),IF(AN$5-$D149+1&lt;=ROUND(($E149-$D149+1)*$F149,0),2,IF(AN$5&lt;CFG_CurWeek,3,1)),""))</f>
        <v/>
      </c>
      <c r="AO149" s="66" t="str">
        <f aca="false">IF(OR($D149="",$E149=""),"",IF(AND(AO$5&gt;=$D149,AO$5&lt;=$E149),IF(AO$5-$D149+1&lt;=ROUND(($E149-$D149+1)*$F149,0),2,IF(AO$5&lt;CFG_CurWeek,3,1)),""))</f>
        <v/>
      </c>
    </row>
    <row r="150" customFormat="false" ht="15" hidden="false" customHeight="false" outlineLevel="0" collapsed="false">
      <c r="A150" s="63" t="str">
        <f aca="false">IF('01_WBS &amp; Master Plan'!A147="","",'01_WBS &amp; Master Plan'!A147)</f>
        <v/>
      </c>
      <c r="B150" s="64" t="str">
        <f aca="false">IF('01_WBS &amp; Master Plan'!D147="","",'01_WBS &amp; Master Plan'!D147)</f>
        <v/>
      </c>
      <c r="C150" s="63" t="str">
        <f aca="false">IF('01_WBS &amp; Master Plan'!E147="","",'01_WBS &amp; Master Plan'!E147)</f>
        <v/>
      </c>
      <c r="D150" s="63" t="str">
        <f aca="false">IF('01_WBS &amp; Master Plan'!H147="","",'01_WBS &amp; Master Plan'!H147)</f>
        <v/>
      </c>
      <c r="E150" s="63" t="str">
        <f aca="false">IF('01_WBS &amp; Master Plan'!I147="","",'01_WBS &amp; Master Plan'!I147)</f>
        <v/>
      </c>
      <c r="F150" s="65" t="str">
        <f aca="false">IF(B150="","",IF('01_WBS &amp; Master Plan'!K147="Done",1,IF('01_WBS &amp; Master Plan'!L147="",0,'01_WBS &amp; Master Plan'!L147)))</f>
        <v/>
      </c>
      <c r="G150" s="63" t="str">
        <f aca="false">IF('01_WBS &amp; Master Plan'!K147="","",'01_WBS &amp; Master Plan'!K147)</f>
        <v/>
      </c>
      <c r="H150" s="66" t="str">
        <f aca="false">IF(OR($D150="",$E150=""),"",IF(AND(H$5&gt;=$D150,H$5&lt;=$E150),IF(H$5-$D150+1&lt;=ROUND(($E150-$D150+1)*$F150,0),2,IF(H$5&lt;CFG_CurWeek,3,1)),""))</f>
        <v/>
      </c>
      <c r="I150" s="66" t="str">
        <f aca="false">IF(OR($D150="",$E150=""),"",IF(AND(I$5&gt;=$D150,I$5&lt;=$E150),IF(I$5-$D150+1&lt;=ROUND(($E150-$D150+1)*$F150,0),2,IF(I$5&lt;CFG_CurWeek,3,1)),""))</f>
        <v/>
      </c>
      <c r="J150" s="66" t="str">
        <f aca="false">IF(OR($D150="",$E150=""),"",IF(AND(J$5&gt;=$D150,J$5&lt;=$E150),IF(J$5-$D150+1&lt;=ROUND(($E150-$D150+1)*$F150,0),2,IF(J$5&lt;CFG_CurWeek,3,1)),""))</f>
        <v/>
      </c>
      <c r="K150" s="66" t="str">
        <f aca="false">IF(OR($D150="",$E150=""),"",IF(AND(K$5&gt;=$D150,K$5&lt;=$E150),IF(K$5-$D150+1&lt;=ROUND(($E150-$D150+1)*$F150,0),2,IF(K$5&lt;CFG_CurWeek,3,1)),""))</f>
        <v/>
      </c>
      <c r="L150" s="66" t="str">
        <f aca="false">IF(OR($D150="",$E150=""),"",IF(AND(L$5&gt;=$D150,L$5&lt;=$E150),IF(L$5-$D150+1&lt;=ROUND(($E150-$D150+1)*$F150,0),2,IF(L$5&lt;CFG_CurWeek,3,1)),""))</f>
        <v/>
      </c>
      <c r="M150" s="66" t="str">
        <f aca="false">IF(OR($D150="",$E150=""),"",IF(AND(M$5&gt;=$D150,M$5&lt;=$E150),IF(M$5-$D150+1&lt;=ROUND(($E150-$D150+1)*$F150,0),2,IF(M$5&lt;CFG_CurWeek,3,1)),""))</f>
        <v/>
      </c>
      <c r="N150" s="66" t="str">
        <f aca="false">IF(OR($D150="",$E150=""),"",IF(AND(N$5&gt;=$D150,N$5&lt;=$E150),IF(N$5-$D150+1&lt;=ROUND(($E150-$D150+1)*$F150,0),2,IF(N$5&lt;CFG_CurWeek,3,1)),""))</f>
        <v/>
      </c>
      <c r="O150" s="66" t="str">
        <f aca="false">IF(OR($D150="",$E150=""),"",IF(AND(O$5&gt;=$D150,O$5&lt;=$E150),IF(O$5-$D150+1&lt;=ROUND(($E150-$D150+1)*$F150,0),2,IF(O$5&lt;CFG_CurWeek,3,1)),""))</f>
        <v/>
      </c>
      <c r="P150" s="66" t="str">
        <f aca="false">IF(OR($D150="",$E150=""),"",IF(AND(P$5&gt;=$D150,P$5&lt;=$E150),IF(P$5-$D150+1&lt;=ROUND(($E150-$D150+1)*$F150,0),2,IF(P$5&lt;CFG_CurWeek,3,1)),""))</f>
        <v/>
      </c>
      <c r="Q150" s="66" t="str">
        <f aca="false">IF(OR($D150="",$E150=""),"",IF(AND(Q$5&gt;=$D150,Q$5&lt;=$E150),IF(Q$5-$D150+1&lt;=ROUND(($E150-$D150+1)*$F150,0),2,IF(Q$5&lt;CFG_CurWeek,3,1)),""))</f>
        <v/>
      </c>
      <c r="R150" s="66" t="str">
        <f aca="false">IF(OR($D150="",$E150=""),"",IF(AND(R$5&gt;=$D150,R$5&lt;=$E150),IF(R$5-$D150+1&lt;=ROUND(($E150-$D150+1)*$F150,0),2,IF(R$5&lt;CFG_CurWeek,3,1)),""))</f>
        <v/>
      </c>
      <c r="S150" s="66" t="str">
        <f aca="false">IF(OR($D150="",$E150=""),"",IF(AND(S$5&gt;=$D150,S$5&lt;=$E150),IF(S$5-$D150+1&lt;=ROUND(($E150-$D150+1)*$F150,0),2,IF(S$5&lt;CFG_CurWeek,3,1)),""))</f>
        <v/>
      </c>
      <c r="T150" s="66" t="str">
        <f aca="false">IF(OR($D150="",$E150=""),"",IF(AND(T$5&gt;=$D150,T$5&lt;=$E150),IF(T$5-$D150+1&lt;=ROUND(($E150-$D150+1)*$F150,0),2,IF(T$5&lt;CFG_CurWeek,3,1)),""))</f>
        <v/>
      </c>
      <c r="U150" s="66" t="str">
        <f aca="false">IF(OR($D150="",$E150=""),"",IF(AND(U$5&gt;=$D150,U$5&lt;=$E150),IF(U$5-$D150+1&lt;=ROUND(($E150-$D150+1)*$F150,0),2,IF(U$5&lt;CFG_CurWeek,3,1)),""))</f>
        <v/>
      </c>
      <c r="V150" s="66" t="str">
        <f aca="false">IF(OR($D150="",$E150=""),"",IF(AND(V$5&gt;=$D150,V$5&lt;=$E150),IF(V$5-$D150+1&lt;=ROUND(($E150-$D150+1)*$F150,0),2,IF(V$5&lt;CFG_CurWeek,3,1)),""))</f>
        <v/>
      </c>
      <c r="W150" s="66" t="str">
        <f aca="false">IF(OR($D150="",$E150=""),"",IF(AND(W$5&gt;=$D150,W$5&lt;=$E150),IF(W$5-$D150+1&lt;=ROUND(($E150-$D150+1)*$F150,0),2,IF(W$5&lt;CFG_CurWeek,3,1)),""))</f>
        <v/>
      </c>
      <c r="X150" s="66" t="str">
        <f aca="false">IF(OR($D150="",$E150=""),"",IF(AND(X$5&gt;=$D150,X$5&lt;=$E150),IF(X$5-$D150+1&lt;=ROUND(($E150-$D150+1)*$F150,0),2,IF(X$5&lt;CFG_CurWeek,3,1)),""))</f>
        <v/>
      </c>
      <c r="Y150" s="66" t="str">
        <f aca="false">IF(OR($D150="",$E150=""),"",IF(AND(Y$5&gt;=$D150,Y$5&lt;=$E150),IF(Y$5-$D150+1&lt;=ROUND(($E150-$D150+1)*$F150,0),2,IF(Y$5&lt;CFG_CurWeek,3,1)),""))</f>
        <v/>
      </c>
      <c r="Z150" s="66" t="str">
        <f aca="false">IF(OR($D150="",$E150=""),"",IF(AND(Z$5&gt;=$D150,Z$5&lt;=$E150),IF(Z$5-$D150+1&lt;=ROUND(($E150-$D150+1)*$F150,0),2,IF(Z$5&lt;CFG_CurWeek,3,1)),""))</f>
        <v/>
      </c>
      <c r="AA150" s="66" t="str">
        <f aca="false">IF(OR($D150="",$E150=""),"",IF(AND(AA$5&gt;=$D150,AA$5&lt;=$E150),IF(AA$5-$D150+1&lt;=ROUND(($E150-$D150+1)*$F150,0),2,IF(AA$5&lt;CFG_CurWeek,3,1)),""))</f>
        <v/>
      </c>
      <c r="AB150" s="66" t="str">
        <f aca="false">IF(OR($D150="",$E150=""),"",IF(AND(AB$5&gt;=$D150,AB$5&lt;=$E150),IF(AB$5-$D150+1&lt;=ROUND(($E150-$D150+1)*$F150,0),2,IF(AB$5&lt;CFG_CurWeek,3,1)),""))</f>
        <v/>
      </c>
      <c r="AC150" s="66" t="str">
        <f aca="false">IF(OR($D150="",$E150=""),"",IF(AND(AC$5&gt;=$D150,AC$5&lt;=$E150),IF(AC$5-$D150+1&lt;=ROUND(($E150-$D150+1)*$F150,0),2,IF(AC$5&lt;CFG_CurWeek,3,1)),""))</f>
        <v/>
      </c>
      <c r="AD150" s="66" t="str">
        <f aca="false">IF(OR($D150="",$E150=""),"",IF(AND(AD$5&gt;=$D150,AD$5&lt;=$E150),IF(AD$5-$D150+1&lt;=ROUND(($E150-$D150+1)*$F150,0),2,IF(AD$5&lt;CFG_CurWeek,3,1)),""))</f>
        <v/>
      </c>
      <c r="AE150" s="66" t="str">
        <f aca="false">IF(OR($D150="",$E150=""),"",IF(AND(AE$5&gt;=$D150,AE$5&lt;=$E150),IF(AE$5-$D150+1&lt;=ROUND(($E150-$D150+1)*$F150,0),2,IF(AE$5&lt;CFG_CurWeek,3,1)),""))</f>
        <v/>
      </c>
      <c r="AF150" s="66" t="str">
        <f aca="false">IF(OR($D150="",$E150=""),"",IF(AND(AF$5&gt;=$D150,AF$5&lt;=$E150),IF(AF$5-$D150+1&lt;=ROUND(($E150-$D150+1)*$F150,0),2,IF(AF$5&lt;CFG_CurWeek,3,1)),""))</f>
        <v/>
      </c>
      <c r="AG150" s="66" t="str">
        <f aca="false">IF(OR($D150="",$E150=""),"",IF(AND(AG$5&gt;=$D150,AG$5&lt;=$E150),IF(AG$5-$D150+1&lt;=ROUND(($E150-$D150+1)*$F150,0),2,IF(AG$5&lt;CFG_CurWeek,3,1)),""))</f>
        <v/>
      </c>
      <c r="AH150" s="66" t="str">
        <f aca="false">IF(OR($D150="",$E150=""),"",IF(AND(AH$5&gt;=$D150,AH$5&lt;=$E150),IF(AH$5-$D150+1&lt;=ROUND(($E150-$D150+1)*$F150,0),2,IF(AH$5&lt;CFG_CurWeek,3,1)),""))</f>
        <v/>
      </c>
      <c r="AI150" s="66" t="str">
        <f aca="false">IF(OR($D150="",$E150=""),"",IF(AND(AI$5&gt;=$D150,AI$5&lt;=$E150),IF(AI$5-$D150+1&lt;=ROUND(($E150-$D150+1)*$F150,0),2,IF(AI$5&lt;CFG_CurWeek,3,1)),""))</f>
        <v/>
      </c>
      <c r="AJ150" s="66" t="str">
        <f aca="false">IF(OR($D150="",$E150=""),"",IF(AND(AJ$5&gt;=$D150,AJ$5&lt;=$E150),IF(AJ$5-$D150+1&lt;=ROUND(($E150-$D150+1)*$F150,0),2,IF(AJ$5&lt;CFG_CurWeek,3,1)),""))</f>
        <v/>
      </c>
      <c r="AK150" s="66" t="str">
        <f aca="false">IF(OR($D150="",$E150=""),"",IF(AND(AK$5&gt;=$D150,AK$5&lt;=$E150),IF(AK$5-$D150+1&lt;=ROUND(($E150-$D150+1)*$F150,0),2,IF(AK$5&lt;CFG_CurWeek,3,1)),""))</f>
        <v/>
      </c>
      <c r="AL150" s="66" t="str">
        <f aca="false">IF(OR($D150="",$E150=""),"",IF(AND(AL$5&gt;=$D150,AL$5&lt;=$E150),IF(AL$5-$D150+1&lt;=ROUND(($E150-$D150+1)*$F150,0),2,IF(AL$5&lt;CFG_CurWeek,3,1)),""))</f>
        <v/>
      </c>
      <c r="AM150" s="66" t="str">
        <f aca="false">IF(OR($D150="",$E150=""),"",IF(AND(AM$5&gt;=$D150,AM$5&lt;=$E150),IF(AM$5-$D150+1&lt;=ROUND(($E150-$D150+1)*$F150,0),2,IF(AM$5&lt;CFG_CurWeek,3,1)),""))</f>
        <v/>
      </c>
      <c r="AN150" s="66" t="str">
        <f aca="false">IF(OR($D150="",$E150=""),"",IF(AND(AN$5&gt;=$D150,AN$5&lt;=$E150),IF(AN$5-$D150+1&lt;=ROUND(($E150-$D150+1)*$F150,0),2,IF(AN$5&lt;CFG_CurWeek,3,1)),""))</f>
        <v/>
      </c>
      <c r="AO150" s="66" t="str">
        <f aca="false">IF(OR($D150="",$E150=""),"",IF(AND(AO$5&gt;=$D150,AO$5&lt;=$E150),IF(AO$5-$D150+1&lt;=ROUND(($E150-$D150+1)*$F150,0),2,IF(AO$5&lt;CFG_CurWeek,3,1)),""))</f>
        <v/>
      </c>
    </row>
    <row r="151" customFormat="false" ht="15" hidden="false" customHeight="false" outlineLevel="0" collapsed="false">
      <c r="A151" s="63" t="str">
        <f aca="false">IF('01_WBS &amp; Master Plan'!A148="","",'01_WBS &amp; Master Plan'!A148)</f>
        <v/>
      </c>
      <c r="B151" s="64" t="str">
        <f aca="false">IF('01_WBS &amp; Master Plan'!D148="","",'01_WBS &amp; Master Plan'!D148)</f>
        <v/>
      </c>
      <c r="C151" s="63" t="str">
        <f aca="false">IF('01_WBS &amp; Master Plan'!E148="","",'01_WBS &amp; Master Plan'!E148)</f>
        <v/>
      </c>
      <c r="D151" s="63" t="str">
        <f aca="false">IF('01_WBS &amp; Master Plan'!H148="","",'01_WBS &amp; Master Plan'!H148)</f>
        <v/>
      </c>
      <c r="E151" s="63" t="str">
        <f aca="false">IF('01_WBS &amp; Master Plan'!I148="","",'01_WBS &amp; Master Plan'!I148)</f>
        <v/>
      </c>
      <c r="F151" s="65" t="str">
        <f aca="false">IF(B151="","",IF('01_WBS &amp; Master Plan'!K148="Done",1,IF('01_WBS &amp; Master Plan'!L148="",0,'01_WBS &amp; Master Plan'!L148)))</f>
        <v/>
      </c>
      <c r="G151" s="63" t="str">
        <f aca="false">IF('01_WBS &amp; Master Plan'!K148="","",'01_WBS &amp; Master Plan'!K148)</f>
        <v/>
      </c>
      <c r="H151" s="66" t="str">
        <f aca="false">IF(OR($D151="",$E151=""),"",IF(AND(H$5&gt;=$D151,H$5&lt;=$E151),IF(H$5-$D151+1&lt;=ROUND(($E151-$D151+1)*$F151,0),2,IF(H$5&lt;CFG_CurWeek,3,1)),""))</f>
        <v/>
      </c>
      <c r="I151" s="66" t="str">
        <f aca="false">IF(OR($D151="",$E151=""),"",IF(AND(I$5&gt;=$D151,I$5&lt;=$E151),IF(I$5-$D151+1&lt;=ROUND(($E151-$D151+1)*$F151,0),2,IF(I$5&lt;CFG_CurWeek,3,1)),""))</f>
        <v/>
      </c>
      <c r="J151" s="66" t="str">
        <f aca="false">IF(OR($D151="",$E151=""),"",IF(AND(J$5&gt;=$D151,J$5&lt;=$E151),IF(J$5-$D151+1&lt;=ROUND(($E151-$D151+1)*$F151,0),2,IF(J$5&lt;CFG_CurWeek,3,1)),""))</f>
        <v/>
      </c>
      <c r="K151" s="66" t="str">
        <f aca="false">IF(OR($D151="",$E151=""),"",IF(AND(K$5&gt;=$D151,K$5&lt;=$E151),IF(K$5-$D151+1&lt;=ROUND(($E151-$D151+1)*$F151,0),2,IF(K$5&lt;CFG_CurWeek,3,1)),""))</f>
        <v/>
      </c>
      <c r="L151" s="66" t="str">
        <f aca="false">IF(OR($D151="",$E151=""),"",IF(AND(L$5&gt;=$D151,L$5&lt;=$E151),IF(L$5-$D151+1&lt;=ROUND(($E151-$D151+1)*$F151,0),2,IF(L$5&lt;CFG_CurWeek,3,1)),""))</f>
        <v/>
      </c>
      <c r="M151" s="66" t="str">
        <f aca="false">IF(OR($D151="",$E151=""),"",IF(AND(M$5&gt;=$D151,M$5&lt;=$E151),IF(M$5-$D151+1&lt;=ROUND(($E151-$D151+1)*$F151,0),2,IF(M$5&lt;CFG_CurWeek,3,1)),""))</f>
        <v/>
      </c>
      <c r="N151" s="66" t="str">
        <f aca="false">IF(OR($D151="",$E151=""),"",IF(AND(N$5&gt;=$D151,N$5&lt;=$E151),IF(N$5-$D151+1&lt;=ROUND(($E151-$D151+1)*$F151,0),2,IF(N$5&lt;CFG_CurWeek,3,1)),""))</f>
        <v/>
      </c>
      <c r="O151" s="66" t="str">
        <f aca="false">IF(OR($D151="",$E151=""),"",IF(AND(O$5&gt;=$D151,O$5&lt;=$E151),IF(O$5-$D151+1&lt;=ROUND(($E151-$D151+1)*$F151,0),2,IF(O$5&lt;CFG_CurWeek,3,1)),""))</f>
        <v/>
      </c>
      <c r="P151" s="66" t="str">
        <f aca="false">IF(OR($D151="",$E151=""),"",IF(AND(P$5&gt;=$D151,P$5&lt;=$E151),IF(P$5-$D151+1&lt;=ROUND(($E151-$D151+1)*$F151,0),2,IF(P$5&lt;CFG_CurWeek,3,1)),""))</f>
        <v/>
      </c>
      <c r="Q151" s="66" t="str">
        <f aca="false">IF(OR($D151="",$E151=""),"",IF(AND(Q$5&gt;=$D151,Q$5&lt;=$E151),IF(Q$5-$D151+1&lt;=ROUND(($E151-$D151+1)*$F151,0),2,IF(Q$5&lt;CFG_CurWeek,3,1)),""))</f>
        <v/>
      </c>
      <c r="R151" s="66" t="str">
        <f aca="false">IF(OR($D151="",$E151=""),"",IF(AND(R$5&gt;=$D151,R$5&lt;=$E151),IF(R$5-$D151+1&lt;=ROUND(($E151-$D151+1)*$F151,0),2,IF(R$5&lt;CFG_CurWeek,3,1)),""))</f>
        <v/>
      </c>
      <c r="S151" s="66" t="str">
        <f aca="false">IF(OR($D151="",$E151=""),"",IF(AND(S$5&gt;=$D151,S$5&lt;=$E151),IF(S$5-$D151+1&lt;=ROUND(($E151-$D151+1)*$F151,0),2,IF(S$5&lt;CFG_CurWeek,3,1)),""))</f>
        <v/>
      </c>
      <c r="T151" s="66" t="str">
        <f aca="false">IF(OR($D151="",$E151=""),"",IF(AND(T$5&gt;=$D151,T$5&lt;=$E151),IF(T$5-$D151+1&lt;=ROUND(($E151-$D151+1)*$F151,0),2,IF(T$5&lt;CFG_CurWeek,3,1)),""))</f>
        <v/>
      </c>
      <c r="U151" s="66" t="str">
        <f aca="false">IF(OR($D151="",$E151=""),"",IF(AND(U$5&gt;=$D151,U$5&lt;=$E151),IF(U$5-$D151+1&lt;=ROUND(($E151-$D151+1)*$F151,0),2,IF(U$5&lt;CFG_CurWeek,3,1)),""))</f>
        <v/>
      </c>
      <c r="V151" s="66" t="str">
        <f aca="false">IF(OR($D151="",$E151=""),"",IF(AND(V$5&gt;=$D151,V$5&lt;=$E151),IF(V$5-$D151+1&lt;=ROUND(($E151-$D151+1)*$F151,0),2,IF(V$5&lt;CFG_CurWeek,3,1)),""))</f>
        <v/>
      </c>
      <c r="W151" s="66" t="str">
        <f aca="false">IF(OR($D151="",$E151=""),"",IF(AND(W$5&gt;=$D151,W$5&lt;=$E151),IF(W$5-$D151+1&lt;=ROUND(($E151-$D151+1)*$F151,0),2,IF(W$5&lt;CFG_CurWeek,3,1)),""))</f>
        <v/>
      </c>
      <c r="X151" s="66" t="str">
        <f aca="false">IF(OR($D151="",$E151=""),"",IF(AND(X$5&gt;=$D151,X$5&lt;=$E151),IF(X$5-$D151+1&lt;=ROUND(($E151-$D151+1)*$F151,0),2,IF(X$5&lt;CFG_CurWeek,3,1)),""))</f>
        <v/>
      </c>
      <c r="Y151" s="66" t="str">
        <f aca="false">IF(OR($D151="",$E151=""),"",IF(AND(Y$5&gt;=$D151,Y$5&lt;=$E151),IF(Y$5-$D151+1&lt;=ROUND(($E151-$D151+1)*$F151,0),2,IF(Y$5&lt;CFG_CurWeek,3,1)),""))</f>
        <v/>
      </c>
      <c r="Z151" s="66" t="str">
        <f aca="false">IF(OR($D151="",$E151=""),"",IF(AND(Z$5&gt;=$D151,Z$5&lt;=$E151),IF(Z$5-$D151+1&lt;=ROUND(($E151-$D151+1)*$F151,0),2,IF(Z$5&lt;CFG_CurWeek,3,1)),""))</f>
        <v/>
      </c>
      <c r="AA151" s="66" t="str">
        <f aca="false">IF(OR($D151="",$E151=""),"",IF(AND(AA$5&gt;=$D151,AA$5&lt;=$E151),IF(AA$5-$D151+1&lt;=ROUND(($E151-$D151+1)*$F151,0),2,IF(AA$5&lt;CFG_CurWeek,3,1)),""))</f>
        <v/>
      </c>
      <c r="AB151" s="66" t="str">
        <f aca="false">IF(OR($D151="",$E151=""),"",IF(AND(AB$5&gt;=$D151,AB$5&lt;=$E151),IF(AB$5-$D151+1&lt;=ROUND(($E151-$D151+1)*$F151,0),2,IF(AB$5&lt;CFG_CurWeek,3,1)),""))</f>
        <v/>
      </c>
      <c r="AC151" s="66" t="str">
        <f aca="false">IF(OR($D151="",$E151=""),"",IF(AND(AC$5&gt;=$D151,AC$5&lt;=$E151),IF(AC$5-$D151+1&lt;=ROUND(($E151-$D151+1)*$F151,0),2,IF(AC$5&lt;CFG_CurWeek,3,1)),""))</f>
        <v/>
      </c>
      <c r="AD151" s="66" t="str">
        <f aca="false">IF(OR($D151="",$E151=""),"",IF(AND(AD$5&gt;=$D151,AD$5&lt;=$E151),IF(AD$5-$D151+1&lt;=ROUND(($E151-$D151+1)*$F151,0),2,IF(AD$5&lt;CFG_CurWeek,3,1)),""))</f>
        <v/>
      </c>
      <c r="AE151" s="66" t="str">
        <f aca="false">IF(OR($D151="",$E151=""),"",IF(AND(AE$5&gt;=$D151,AE$5&lt;=$E151),IF(AE$5-$D151+1&lt;=ROUND(($E151-$D151+1)*$F151,0),2,IF(AE$5&lt;CFG_CurWeek,3,1)),""))</f>
        <v/>
      </c>
      <c r="AF151" s="66" t="str">
        <f aca="false">IF(OR($D151="",$E151=""),"",IF(AND(AF$5&gt;=$D151,AF$5&lt;=$E151),IF(AF$5-$D151+1&lt;=ROUND(($E151-$D151+1)*$F151,0),2,IF(AF$5&lt;CFG_CurWeek,3,1)),""))</f>
        <v/>
      </c>
      <c r="AG151" s="66" t="str">
        <f aca="false">IF(OR($D151="",$E151=""),"",IF(AND(AG$5&gt;=$D151,AG$5&lt;=$E151),IF(AG$5-$D151+1&lt;=ROUND(($E151-$D151+1)*$F151,0),2,IF(AG$5&lt;CFG_CurWeek,3,1)),""))</f>
        <v/>
      </c>
      <c r="AH151" s="66" t="str">
        <f aca="false">IF(OR($D151="",$E151=""),"",IF(AND(AH$5&gt;=$D151,AH$5&lt;=$E151),IF(AH$5-$D151+1&lt;=ROUND(($E151-$D151+1)*$F151,0),2,IF(AH$5&lt;CFG_CurWeek,3,1)),""))</f>
        <v/>
      </c>
      <c r="AI151" s="66" t="str">
        <f aca="false">IF(OR($D151="",$E151=""),"",IF(AND(AI$5&gt;=$D151,AI$5&lt;=$E151),IF(AI$5-$D151+1&lt;=ROUND(($E151-$D151+1)*$F151,0),2,IF(AI$5&lt;CFG_CurWeek,3,1)),""))</f>
        <v/>
      </c>
      <c r="AJ151" s="66" t="str">
        <f aca="false">IF(OR($D151="",$E151=""),"",IF(AND(AJ$5&gt;=$D151,AJ$5&lt;=$E151),IF(AJ$5-$D151+1&lt;=ROUND(($E151-$D151+1)*$F151,0),2,IF(AJ$5&lt;CFG_CurWeek,3,1)),""))</f>
        <v/>
      </c>
      <c r="AK151" s="66" t="str">
        <f aca="false">IF(OR($D151="",$E151=""),"",IF(AND(AK$5&gt;=$D151,AK$5&lt;=$E151),IF(AK$5-$D151+1&lt;=ROUND(($E151-$D151+1)*$F151,0),2,IF(AK$5&lt;CFG_CurWeek,3,1)),""))</f>
        <v/>
      </c>
      <c r="AL151" s="66" t="str">
        <f aca="false">IF(OR($D151="",$E151=""),"",IF(AND(AL$5&gt;=$D151,AL$5&lt;=$E151),IF(AL$5-$D151+1&lt;=ROUND(($E151-$D151+1)*$F151,0),2,IF(AL$5&lt;CFG_CurWeek,3,1)),""))</f>
        <v/>
      </c>
      <c r="AM151" s="66" t="str">
        <f aca="false">IF(OR($D151="",$E151=""),"",IF(AND(AM$5&gt;=$D151,AM$5&lt;=$E151),IF(AM$5-$D151+1&lt;=ROUND(($E151-$D151+1)*$F151,0),2,IF(AM$5&lt;CFG_CurWeek,3,1)),""))</f>
        <v/>
      </c>
      <c r="AN151" s="66" t="str">
        <f aca="false">IF(OR($D151="",$E151=""),"",IF(AND(AN$5&gt;=$D151,AN$5&lt;=$E151),IF(AN$5-$D151+1&lt;=ROUND(($E151-$D151+1)*$F151,0),2,IF(AN$5&lt;CFG_CurWeek,3,1)),""))</f>
        <v/>
      </c>
      <c r="AO151" s="66" t="str">
        <f aca="false">IF(OR($D151="",$E151=""),"",IF(AND(AO$5&gt;=$D151,AO$5&lt;=$E151),IF(AO$5-$D151+1&lt;=ROUND(($E151-$D151+1)*$F151,0),2,IF(AO$5&lt;CFG_CurWeek,3,1)),""))</f>
        <v/>
      </c>
    </row>
    <row r="152" customFormat="false" ht="15" hidden="false" customHeight="false" outlineLevel="0" collapsed="false">
      <c r="A152" s="63" t="str">
        <f aca="false">IF('01_WBS &amp; Master Plan'!A149="","",'01_WBS &amp; Master Plan'!A149)</f>
        <v/>
      </c>
      <c r="B152" s="64" t="str">
        <f aca="false">IF('01_WBS &amp; Master Plan'!D149="","",'01_WBS &amp; Master Plan'!D149)</f>
        <v/>
      </c>
      <c r="C152" s="63" t="str">
        <f aca="false">IF('01_WBS &amp; Master Plan'!E149="","",'01_WBS &amp; Master Plan'!E149)</f>
        <v/>
      </c>
      <c r="D152" s="63" t="str">
        <f aca="false">IF('01_WBS &amp; Master Plan'!H149="","",'01_WBS &amp; Master Plan'!H149)</f>
        <v/>
      </c>
      <c r="E152" s="63" t="str">
        <f aca="false">IF('01_WBS &amp; Master Plan'!I149="","",'01_WBS &amp; Master Plan'!I149)</f>
        <v/>
      </c>
      <c r="F152" s="65" t="str">
        <f aca="false">IF(B152="","",IF('01_WBS &amp; Master Plan'!K149="Done",1,IF('01_WBS &amp; Master Plan'!L149="",0,'01_WBS &amp; Master Plan'!L149)))</f>
        <v/>
      </c>
      <c r="G152" s="63" t="str">
        <f aca="false">IF('01_WBS &amp; Master Plan'!K149="","",'01_WBS &amp; Master Plan'!K149)</f>
        <v/>
      </c>
      <c r="H152" s="66" t="str">
        <f aca="false">IF(OR($D152="",$E152=""),"",IF(AND(H$5&gt;=$D152,H$5&lt;=$E152),IF(H$5-$D152+1&lt;=ROUND(($E152-$D152+1)*$F152,0),2,IF(H$5&lt;CFG_CurWeek,3,1)),""))</f>
        <v/>
      </c>
      <c r="I152" s="66" t="str">
        <f aca="false">IF(OR($D152="",$E152=""),"",IF(AND(I$5&gt;=$D152,I$5&lt;=$E152),IF(I$5-$D152+1&lt;=ROUND(($E152-$D152+1)*$F152,0),2,IF(I$5&lt;CFG_CurWeek,3,1)),""))</f>
        <v/>
      </c>
      <c r="J152" s="66" t="str">
        <f aca="false">IF(OR($D152="",$E152=""),"",IF(AND(J$5&gt;=$D152,J$5&lt;=$E152),IF(J$5-$D152+1&lt;=ROUND(($E152-$D152+1)*$F152,0),2,IF(J$5&lt;CFG_CurWeek,3,1)),""))</f>
        <v/>
      </c>
      <c r="K152" s="66" t="str">
        <f aca="false">IF(OR($D152="",$E152=""),"",IF(AND(K$5&gt;=$D152,K$5&lt;=$E152),IF(K$5-$D152+1&lt;=ROUND(($E152-$D152+1)*$F152,0),2,IF(K$5&lt;CFG_CurWeek,3,1)),""))</f>
        <v/>
      </c>
      <c r="L152" s="66" t="str">
        <f aca="false">IF(OR($D152="",$E152=""),"",IF(AND(L$5&gt;=$D152,L$5&lt;=$E152),IF(L$5-$D152+1&lt;=ROUND(($E152-$D152+1)*$F152,0),2,IF(L$5&lt;CFG_CurWeek,3,1)),""))</f>
        <v/>
      </c>
      <c r="M152" s="66" t="str">
        <f aca="false">IF(OR($D152="",$E152=""),"",IF(AND(M$5&gt;=$D152,M$5&lt;=$E152),IF(M$5-$D152+1&lt;=ROUND(($E152-$D152+1)*$F152,0),2,IF(M$5&lt;CFG_CurWeek,3,1)),""))</f>
        <v/>
      </c>
      <c r="N152" s="66" t="str">
        <f aca="false">IF(OR($D152="",$E152=""),"",IF(AND(N$5&gt;=$D152,N$5&lt;=$E152),IF(N$5-$D152+1&lt;=ROUND(($E152-$D152+1)*$F152,0),2,IF(N$5&lt;CFG_CurWeek,3,1)),""))</f>
        <v/>
      </c>
      <c r="O152" s="66" t="str">
        <f aca="false">IF(OR($D152="",$E152=""),"",IF(AND(O$5&gt;=$D152,O$5&lt;=$E152),IF(O$5-$D152+1&lt;=ROUND(($E152-$D152+1)*$F152,0),2,IF(O$5&lt;CFG_CurWeek,3,1)),""))</f>
        <v/>
      </c>
      <c r="P152" s="66" t="str">
        <f aca="false">IF(OR($D152="",$E152=""),"",IF(AND(P$5&gt;=$D152,P$5&lt;=$E152),IF(P$5-$D152+1&lt;=ROUND(($E152-$D152+1)*$F152,0),2,IF(P$5&lt;CFG_CurWeek,3,1)),""))</f>
        <v/>
      </c>
      <c r="Q152" s="66" t="str">
        <f aca="false">IF(OR($D152="",$E152=""),"",IF(AND(Q$5&gt;=$D152,Q$5&lt;=$E152),IF(Q$5-$D152+1&lt;=ROUND(($E152-$D152+1)*$F152,0),2,IF(Q$5&lt;CFG_CurWeek,3,1)),""))</f>
        <v/>
      </c>
      <c r="R152" s="66" t="str">
        <f aca="false">IF(OR($D152="",$E152=""),"",IF(AND(R$5&gt;=$D152,R$5&lt;=$E152),IF(R$5-$D152+1&lt;=ROUND(($E152-$D152+1)*$F152,0),2,IF(R$5&lt;CFG_CurWeek,3,1)),""))</f>
        <v/>
      </c>
      <c r="S152" s="66" t="str">
        <f aca="false">IF(OR($D152="",$E152=""),"",IF(AND(S$5&gt;=$D152,S$5&lt;=$E152),IF(S$5-$D152+1&lt;=ROUND(($E152-$D152+1)*$F152,0),2,IF(S$5&lt;CFG_CurWeek,3,1)),""))</f>
        <v/>
      </c>
      <c r="T152" s="66" t="str">
        <f aca="false">IF(OR($D152="",$E152=""),"",IF(AND(T$5&gt;=$D152,T$5&lt;=$E152),IF(T$5-$D152+1&lt;=ROUND(($E152-$D152+1)*$F152,0),2,IF(T$5&lt;CFG_CurWeek,3,1)),""))</f>
        <v/>
      </c>
      <c r="U152" s="66" t="str">
        <f aca="false">IF(OR($D152="",$E152=""),"",IF(AND(U$5&gt;=$D152,U$5&lt;=$E152),IF(U$5-$D152+1&lt;=ROUND(($E152-$D152+1)*$F152,0),2,IF(U$5&lt;CFG_CurWeek,3,1)),""))</f>
        <v/>
      </c>
      <c r="V152" s="66" t="str">
        <f aca="false">IF(OR($D152="",$E152=""),"",IF(AND(V$5&gt;=$D152,V$5&lt;=$E152),IF(V$5-$D152+1&lt;=ROUND(($E152-$D152+1)*$F152,0),2,IF(V$5&lt;CFG_CurWeek,3,1)),""))</f>
        <v/>
      </c>
      <c r="W152" s="66" t="str">
        <f aca="false">IF(OR($D152="",$E152=""),"",IF(AND(W$5&gt;=$D152,W$5&lt;=$E152),IF(W$5-$D152+1&lt;=ROUND(($E152-$D152+1)*$F152,0),2,IF(W$5&lt;CFG_CurWeek,3,1)),""))</f>
        <v/>
      </c>
      <c r="X152" s="66" t="str">
        <f aca="false">IF(OR($D152="",$E152=""),"",IF(AND(X$5&gt;=$D152,X$5&lt;=$E152),IF(X$5-$D152+1&lt;=ROUND(($E152-$D152+1)*$F152,0),2,IF(X$5&lt;CFG_CurWeek,3,1)),""))</f>
        <v/>
      </c>
      <c r="Y152" s="66" t="str">
        <f aca="false">IF(OR($D152="",$E152=""),"",IF(AND(Y$5&gt;=$D152,Y$5&lt;=$E152),IF(Y$5-$D152+1&lt;=ROUND(($E152-$D152+1)*$F152,0),2,IF(Y$5&lt;CFG_CurWeek,3,1)),""))</f>
        <v/>
      </c>
      <c r="Z152" s="66" t="str">
        <f aca="false">IF(OR($D152="",$E152=""),"",IF(AND(Z$5&gt;=$D152,Z$5&lt;=$E152),IF(Z$5-$D152+1&lt;=ROUND(($E152-$D152+1)*$F152,0),2,IF(Z$5&lt;CFG_CurWeek,3,1)),""))</f>
        <v/>
      </c>
      <c r="AA152" s="66" t="str">
        <f aca="false">IF(OR($D152="",$E152=""),"",IF(AND(AA$5&gt;=$D152,AA$5&lt;=$E152),IF(AA$5-$D152+1&lt;=ROUND(($E152-$D152+1)*$F152,0),2,IF(AA$5&lt;CFG_CurWeek,3,1)),""))</f>
        <v/>
      </c>
      <c r="AB152" s="66" t="str">
        <f aca="false">IF(OR($D152="",$E152=""),"",IF(AND(AB$5&gt;=$D152,AB$5&lt;=$E152),IF(AB$5-$D152+1&lt;=ROUND(($E152-$D152+1)*$F152,0),2,IF(AB$5&lt;CFG_CurWeek,3,1)),""))</f>
        <v/>
      </c>
      <c r="AC152" s="66" t="str">
        <f aca="false">IF(OR($D152="",$E152=""),"",IF(AND(AC$5&gt;=$D152,AC$5&lt;=$E152),IF(AC$5-$D152+1&lt;=ROUND(($E152-$D152+1)*$F152,0),2,IF(AC$5&lt;CFG_CurWeek,3,1)),""))</f>
        <v/>
      </c>
      <c r="AD152" s="66" t="str">
        <f aca="false">IF(OR($D152="",$E152=""),"",IF(AND(AD$5&gt;=$D152,AD$5&lt;=$E152),IF(AD$5-$D152+1&lt;=ROUND(($E152-$D152+1)*$F152,0),2,IF(AD$5&lt;CFG_CurWeek,3,1)),""))</f>
        <v/>
      </c>
      <c r="AE152" s="66" t="str">
        <f aca="false">IF(OR($D152="",$E152=""),"",IF(AND(AE$5&gt;=$D152,AE$5&lt;=$E152),IF(AE$5-$D152+1&lt;=ROUND(($E152-$D152+1)*$F152,0),2,IF(AE$5&lt;CFG_CurWeek,3,1)),""))</f>
        <v/>
      </c>
      <c r="AF152" s="66" t="str">
        <f aca="false">IF(OR($D152="",$E152=""),"",IF(AND(AF$5&gt;=$D152,AF$5&lt;=$E152),IF(AF$5-$D152+1&lt;=ROUND(($E152-$D152+1)*$F152,0),2,IF(AF$5&lt;CFG_CurWeek,3,1)),""))</f>
        <v/>
      </c>
      <c r="AG152" s="66" t="str">
        <f aca="false">IF(OR($D152="",$E152=""),"",IF(AND(AG$5&gt;=$D152,AG$5&lt;=$E152),IF(AG$5-$D152+1&lt;=ROUND(($E152-$D152+1)*$F152,0),2,IF(AG$5&lt;CFG_CurWeek,3,1)),""))</f>
        <v/>
      </c>
      <c r="AH152" s="66" t="str">
        <f aca="false">IF(OR($D152="",$E152=""),"",IF(AND(AH$5&gt;=$D152,AH$5&lt;=$E152),IF(AH$5-$D152+1&lt;=ROUND(($E152-$D152+1)*$F152,0),2,IF(AH$5&lt;CFG_CurWeek,3,1)),""))</f>
        <v/>
      </c>
      <c r="AI152" s="66" t="str">
        <f aca="false">IF(OR($D152="",$E152=""),"",IF(AND(AI$5&gt;=$D152,AI$5&lt;=$E152),IF(AI$5-$D152+1&lt;=ROUND(($E152-$D152+1)*$F152,0),2,IF(AI$5&lt;CFG_CurWeek,3,1)),""))</f>
        <v/>
      </c>
      <c r="AJ152" s="66" t="str">
        <f aca="false">IF(OR($D152="",$E152=""),"",IF(AND(AJ$5&gt;=$D152,AJ$5&lt;=$E152),IF(AJ$5-$D152+1&lt;=ROUND(($E152-$D152+1)*$F152,0),2,IF(AJ$5&lt;CFG_CurWeek,3,1)),""))</f>
        <v/>
      </c>
      <c r="AK152" s="66" t="str">
        <f aca="false">IF(OR($D152="",$E152=""),"",IF(AND(AK$5&gt;=$D152,AK$5&lt;=$E152),IF(AK$5-$D152+1&lt;=ROUND(($E152-$D152+1)*$F152,0),2,IF(AK$5&lt;CFG_CurWeek,3,1)),""))</f>
        <v/>
      </c>
      <c r="AL152" s="66" t="str">
        <f aca="false">IF(OR($D152="",$E152=""),"",IF(AND(AL$5&gt;=$D152,AL$5&lt;=$E152),IF(AL$5-$D152+1&lt;=ROUND(($E152-$D152+1)*$F152,0),2,IF(AL$5&lt;CFG_CurWeek,3,1)),""))</f>
        <v/>
      </c>
      <c r="AM152" s="66" t="str">
        <f aca="false">IF(OR($D152="",$E152=""),"",IF(AND(AM$5&gt;=$D152,AM$5&lt;=$E152),IF(AM$5-$D152+1&lt;=ROUND(($E152-$D152+1)*$F152,0),2,IF(AM$5&lt;CFG_CurWeek,3,1)),""))</f>
        <v/>
      </c>
      <c r="AN152" s="66" t="str">
        <f aca="false">IF(OR($D152="",$E152=""),"",IF(AND(AN$5&gt;=$D152,AN$5&lt;=$E152),IF(AN$5-$D152+1&lt;=ROUND(($E152-$D152+1)*$F152,0),2,IF(AN$5&lt;CFG_CurWeek,3,1)),""))</f>
        <v/>
      </c>
      <c r="AO152" s="66" t="str">
        <f aca="false">IF(OR($D152="",$E152=""),"",IF(AND(AO$5&gt;=$D152,AO$5&lt;=$E152),IF(AO$5-$D152+1&lt;=ROUND(($E152-$D152+1)*$F152,0),2,IF(AO$5&lt;CFG_CurWeek,3,1)),""))</f>
        <v/>
      </c>
    </row>
    <row r="153" customFormat="false" ht="15" hidden="false" customHeight="false" outlineLevel="0" collapsed="false">
      <c r="A153" s="63" t="str">
        <f aca="false">IF('01_WBS &amp; Master Plan'!A150="","",'01_WBS &amp; Master Plan'!A150)</f>
        <v/>
      </c>
      <c r="B153" s="64" t="str">
        <f aca="false">IF('01_WBS &amp; Master Plan'!D150="","",'01_WBS &amp; Master Plan'!D150)</f>
        <v/>
      </c>
      <c r="C153" s="63" t="str">
        <f aca="false">IF('01_WBS &amp; Master Plan'!E150="","",'01_WBS &amp; Master Plan'!E150)</f>
        <v/>
      </c>
      <c r="D153" s="63" t="str">
        <f aca="false">IF('01_WBS &amp; Master Plan'!H150="","",'01_WBS &amp; Master Plan'!H150)</f>
        <v/>
      </c>
      <c r="E153" s="63" t="str">
        <f aca="false">IF('01_WBS &amp; Master Plan'!I150="","",'01_WBS &amp; Master Plan'!I150)</f>
        <v/>
      </c>
      <c r="F153" s="65" t="str">
        <f aca="false">IF(B153="","",IF('01_WBS &amp; Master Plan'!K150="Done",1,IF('01_WBS &amp; Master Plan'!L150="",0,'01_WBS &amp; Master Plan'!L150)))</f>
        <v/>
      </c>
      <c r="G153" s="63" t="str">
        <f aca="false">IF('01_WBS &amp; Master Plan'!K150="","",'01_WBS &amp; Master Plan'!K150)</f>
        <v/>
      </c>
      <c r="H153" s="66" t="str">
        <f aca="false">IF(OR($D153="",$E153=""),"",IF(AND(H$5&gt;=$D153,H$5&lt;=$E153),IF(H$5-$D153+1&lt;=ROUND(($E153-$D153+1)*$F153,0),2,IF(H$5&lt;CFG_CurWeek,3,1)),""))</f>
        <v/>
      </c>
      <c r="I153" s="66" t="str">
        <f aca="false">IF(OR($D153="",$E153=""),"",IF(AND(I$5&gt;=$D153,I$5&lt;=$E153),IF(I$5-$D153+1&lt;=ROUND(($E153-$D153+1)*$F153,0),2,IF(I$5&lt;CFG_CurWeek,3,1)),""))</f>
        <v/>
      </c>
      <c r="J153" s="66" t="str">
        <f aca="false">IF(OR($D153="",$E153=""),"",IF(AND(J$5&gt;=$D153,J$5&lt;=$E153),IF(J$5-$D153+1&lt;=ROUND(($E153-$D153+1)*$F153,0),2,IF(J$5&lt;CFG_CurWeek,3,1)),""))</f>
        <v/>
      </c>
      <c r="K153" s="66" t="str">
        <f aca="false">IF(OR($D153="",$E153=""),"",IF(AND(K$5&gt;=$D153,K$5&lt;=$E153),IF(K$5-$D153+1&lt;=ROUND(($E153-$D153+1)*$F153,0),2,IF(K$5&lt;CFG_CurWeek,3,1)),""))</f>
        <v/>
      </c>
      <c r="L153" s="66" t="str">
        <f aca="false">IF(OR($D153="",$E153=""),"",IF(AND(L$5&gt;=$D153,L$5&lt;=$E153),IF(L$5-$D153+1&lt;=ROUND(($E153-$D153+1)*$F153,0),2,IF(L$5&lt;CFG_CurWeek,3,1)),""))</f>
        <v/>
      </c>
      <c r="M153" s="66" t="str">
        <f aca="false">IF(OR($D153="",$E153=""),"",IF(AND(M$5&gt;=$D153,M$5&lt;=$E153),IF(M$5-$D153+1&lt;=ROUND(($E153-$D153+1)*$F153,0),2,IF(M$5&lt;CFG_CurWeek,3,1)),""))</f>
        <v/>
      </c>
      <c r="N153" s="66" t="str">
        <f aca="false">IF(OR($D153="",$E153=""),"",IF(AND(N$5&gt;=$D153,N$5&lt;=$E153),IF(N$5-$D153+1&lt;=ROUND(($E153-$D153+1)*$F153,0),2,IF(N$5&lt;CFG_CurWeek,3,1)),""))</f>
        <v/>
      </c>
      <c r="O153" s="66" t="str">
        <f aca="false">IF(OR($D153="",$E153=""),"",IF(AND(O$5&gt;=$D153,O$5&lt;=$E153),IF(O$5-$D153+1&lt;=ROUND(($E153-$D153+1)*$F153,0),2,IF(O$5&lt;CFG_CurWeek,3,1)),""))</f>
        <v/>
      </c>
      <c r="P153" s="66" t="str">
        <f aca="false">IF(OR($D153="",$E153=""),"",IF(AND(P$5&gt;=$D153,P$5&lt;=$E153),IF(P$5-$D153+1&lt;=ROUND(($E153-$D153+1)*$F153,0),2,IF(P$5&lt;CFG_CurWeek,3,1)),""))</f>
        <v/>
      </c>
      <c r="Q153" s="66" t="str">
        <f aca="false">IF(OR($D153="",$E153=""),"",IF(AND(Q$5&gt;=$D153,Q$5&lt;=$E153),IF(Q$5-$D153+1&lt;=ROUND(($E153-$D153+1)*$F153,0),2,IF(Q$5&lt;CFG_CurWeek,3,1)),""))</f>
        <v/>
      </c>
      <c r="R153" s="66" t="str">
        <f aca="false">IF(OR($D153="",$E153=""),"",IF(AND(R$5&gt;=$D153,R$5&lt;=$E153),IF(R$5-$D153+1&lt;=ROUND(($E153-$D153+1)*$F153,0),2,IF(R$5&lt;CFG_CurWeek,3,1)),""))</f>
        <v/>
      </c>
      <c r="S153" s="66" t="str">
        <f aca="false">IF(OR($D153="",$E153=""),"",IF(AND(S$5&gt;=$D153,S$5&lt;=$E153),IF(S$5-$D153+1&lt;=ROUND(($E153-$D153+1)*$F153,0),2,IF(S$5&lt;CFG_CurWeek,3,1)),""))</f>
        <v/>
      </c>
      <c r="T153" s="66" t="str">
        <f aca="false">IF(OR($D153="",$E153=""),"",IF(AND(T$5&gt;=$D153,T$5&lt;=$E153),IF(T$5-$D153+1&lt;=ROUND(($E153-$D153+1)*$F153,0),2,IF(T$5&lt;CFG_CurWeek,3,1)),""))</f>
        <v/>
      </c>
      <c r="U153" s="66" t="str">
        <f aca="false">IF(OR($D153="",$E153=""),"",IF(AND(U$5&gt;=$D153,U$5&lt;=$E153),IF(U$5-$D153+1&lt;=ROUND(($E153-$D153+1)*$F153,0),2,IF(U$5&lt;CFG_CurWeek,3,1)),""))</f>
        <v/>
      </c>
      <c r="V153" s="66" t="str">
        <f aca="false">IF(OR($D153="",$E153=""),"",IF(AND(V$5&gt;=$D153,V$5&lt;=$E153),IF(V$5-$D153+1&lt;=ROUND(($E153-$D153+1)*$F153,0),2,IF(V$5&lt;CFG_CurWeek,3,1)),""))</f>
        <v/>
      </c>
      <c r="W153" s="66" t="str">
        <f aca="false">IF(OR($D153="",$E153=""),"",IF(AND(W$5&gt;=$D153,W$5&lt;=$E153),IF(W$5-$D153+1&lt;=ROUND(($E153-$D153+1)*$F153,0),2,IF(W$5&lt;CFG_CurWeek,3,1)),""))</f>
        <v/>
      </c>
      <c r="X153" s="66" t="str">
        <f aca="false">IF(OR($D153="",$E153=""),"",IF(AND(X$5&gt;=$D153,X$5&lt;=$E153),IF(X$5-$D153+1&lt;=ROUND(($E153-$D153+1)*$F153,0),2,IF(X$5&lt;CFG_CurWeek,3,1)),""))</f>
        <v/>
      </c>
      <c r="Y153" s="66" t="str">
        <f aca="false">IF(OR($D153="",$E153=""),"",IF(AND(Y$5&gt;=$D153,Y$5&lt;=$E153),IF(Y$5-$D153+1&lt;=ROUND(($E153-$D153+1)*$F153,0),2,IF(Y$5&lt;CFG_CurWeek,3,1)),""))</f>
        <v/>
      </c>
      <c r="Z153" s="66" t="str">
        <f aca="false">IF(OR($D153="",$E153=""),"",IF(AND(Z$5&gt;=$D153,Z$5&lt;=$E153),IF(Z$5-$D153+1&lt;=ROUND(($E153-$D153+1)*$F153,0),2,IF(Z$5&lt;CFG_CurWeek,3,1)),""))</f>
        <v/>
      </c>
      <c r="AA153" s="66" t="str">
        <f aca="false">IF(OR($D153="",$E153=""),"",IF(AND(AA$5&gt;=$D153,AA$5&lt;=$E153),IF(AA$5-$D153+1&lt;=ROUND(($E153-$D153+1)*$F153,0),2,IF(AA$5&lt;CFG_CurWeek,3,1)),""))</f>
        <v/>
      </c>
      <c r="AB153" s="66" t="str">
        <f aca="false">IF(OR($D153="",$E153=""),"",IF(AND(AB$5&gt;=$D153,AB$5&lt;=$E153),IF(AB$5-$D153+1&lt;=ROUND(($E153-$D153+1)*$F153,0),2,IF(AB$5&lt;CFG_CurWeek,3,1)),""))</f>
        <v/>
      </c>
      <c r="AC153" s="66" t="str">
        <f aca="false">IF(OR($D153="",$E153=""),"",IF(AND(AC$5&gt;=$D153,AC$5&lt;=$E153),IF(AC$5-$D153+1&lt;=ROUND(($E153-$D153+1)*$F153,0),2,IF(AC$5&lt;CFG_CurWeek,3,1)),""))</f>
        <v/>
      </c>
      <c r="AD153" s="66" t="str">
        <f aca="false">IF(OR($D153="",$E153=""),"",IF(AND(AD$5&gt;=$D153,AD$5&lt;=$E153),IF(AD$5-$D153+1&lt;=ROUND(($E153-$D153+1)*$F153,0),2,IF(AD$5&lt;CFG_CurWeek,3,1)),""))</f>
        <v/>
      </c>
      <c r="AE153" s="66" t="str">
        <f aca="false">IF(OR($D153="",$E153=""),"",IF(AND(AE$5&gt;=$D153,AE$5&lt;=$E153),IF(AE$5-$D153+1&lt;=ROUND(($E153-$D153+1)*$F153,0),2,IF(AE$5&lt;CFG_CurWeek,3,1)),""))</f>
        <v/>
      </c>
      <c r="AF153" s="66" t="str">
        <f aca="false">IF(OR($D153="",$E153=""),"",IF(AND(AF$5&gt;=$D153,AF$5&lt;=$E153),IF(AF$5-$D153+1&lt;=ROUND(($E153-$D153+1)*$F153,0),2,IF(AF$5&lt;CFG_CurWeek,3,1)),""))</f>
        <v/>
      </c>
      <c r="AG153" s="66" t="str">
        <f aca="false">IF(OR($D153="",$E153=""),"",IF(AND(AG$5&gt;=$D153,AG$5&lt;=$E153),IF(AG$5-$D153+1&lt;=ROUND(($E153-$D153+1)*$F153,0),2,IF(AG$5&lt;CFG_CurWeek,3,1)),""))</f>
        <v/>
      </c>
      <c r="AH153" s="66" t="str">
        <f aca="false">IF(OR($D153="",$E153=""),"",IF(AND(AH$5&gt;=$D153,AH$5&lt;=$E153),IF(AH$5-$D153+1&lt;=ROUND(($E153-$D153+1)*$F153,0),2,IF(AH$5&lt;CFG_CurWeek,3,1)),""))</f>
        <v/>
      </c>
      <c r="AI153" s="66" t="str">
        <f aca="false">IF(OR($D153="",$E153=""),"",IF(AND(AI$5&gt;=$D153,AI$5&lt;=$E153),IF(AI$5-$D153+1&lt;=ROUND(($E153-$D153+1)*$F153,0),2,IF(AI$5&lt;CFG_CurWeek,3,1)),""))</f>
        <v/>
      </c>
      <c r="AJ153" s="66" t="str">
        <f aca="false">IF(OR($D153="",$E153=""),"",IF(AND(AJ$5&gt;=$D153,AJ$5&lt;=$E153),IF(AJ$5-$D153+1&lt;=ROUND(($E153-$D153+1)*$F153,0),2,IF(AJ$5&lt;CFG_CurWeek,3,1)),""))</f>
        <v/>
      </c>
      <c r="AK153" s="66" t="str">
        <f aca="false">IF(OR($D153="",$E153=""),"",IF(AND(AK$5&gt;=$D153,AK$5&lt;=$E153),IF(AK$5-$D153+1&lt;=ROUND(($E153-$D153+1)*$F153,0),2,IF(AK$5&lt;CFG_CurWeek,3,1)),""))</f>
        <v/>
      </c>
      <c r="AL153" s="66" t="str">
        <f aca="false">IF(OR($D153="",$E153=""),"",IF(AND(AL$5&gt;=$D153,AL$5&lt;=$E153),IF(AL$5-$D153+1&lt;=ROUND(($E153-$D153+1)*$F153,0),2,IF(AL$5&lt;CFG_CurWeek,3,1)),""))</f>
        <v/>
      </c>
      <c r="AM153" s="66" t="str">
        <f aca="false">IF(OR($D153="",$E153=""),"",IF(AND(AM$5&gt;=$D153,AM$5&lt;=$E153),IF(AM$5-$D153+1&lt;=ROUND(($E153-$D153+1)*$F153,0),2,IF(AM$5&lt;CFG_CurWeek,3,1)),""))</f>
        <v/>
      </c>
      <c r="AN153" s="66" t="str">
        <f aca="false">IF(OR($D153="",$E153=""),"",IF(AND(AN$5&gt;=$D153,AN$5&lt;=$E153),IF(AN$5-$D153+1&lt;=ROUND(($E153-$D153+1)*$F153,0),2,IF(AN$5&lt;CFG_CurWeek,3,1)),""))</f>
        <v/>
      </c>
      <c r="AO153" s="66" t="str">
        <f aca="false">IF(OR($D153="",$E153=""),"",IF(AND(AO$5&gt;=$D153,AO$5&lt;=$E153),IF(AO$5-$D153+1&lt;=ROUND(($E153-$D153+1)*$F153,0),2,IF(AO$5&lt;CFG_CurWeek,3,1)),""))</f>
        <v/>
      </c>
    </row>
    <row r="154" customFormat="false" ht="15" hidden="false" customHeight="false" outlineLevel="0" collapsed="false">
      <c r="A154" s="63" t="str">
        <f aca="false">IF('01_WBS &amp; Master Plan'!A151="","",'01_WBS &amp; Master Plan'!A151)</f>
        <v/>
      </c>
      <c r="B154" s="64" t="str">
        <f aca="false">IF('01_WBS &amp; Master Plan'!D151="","",'01_WBS &amp; Master Plan'!D151)</f>
        <v/>
      </c>
      <c r="C154" s="63" t="str">
        <f aca="false">IF('01_WBS &amp; Master Plan'!E151="","",'01_WBS &amp; Master Plan'!E151)</f>
        <v/>
      </c>
      <c r="D154" s="63" t="str">
        <f aca="false">IF('01_WBS &amp; Master Plan'!H151="","",'01_WBS &amp; Master Plan'!H151)</f>
        <v/>
      </c>
      <c r="E154" s="63" t="str">
        <f aca="false">IF('01_WBS &amp; Master Plan'!I151="","",'01_WBS &amp; Master Plan'!I151)</f>
        <v/>
      </c>
      <c r="F154" s="65" t="str">
        <f aca="false">IF(B154="","",IF('01_WBS &amp; Master Plan'!K151="Done",1,IF('01_WBS &amp; Master Plan'!L151="",0,'01_WBS &amp; Master Plan'!L151)))</f>
        <v/>
      </c>
      <c r="G154" s="63" t="str">
        <f aca="false">IF('01_WBS &amp; Master Plan'!K151="","",'01_WBS &amp; Master Plan'!K151)</f>
        <v/>
      </c>
      <c r="H154" s="66" t="str">
        <f aca="false">IF(OR($D154="",$E154=""),"",IF(AND(H$5&gt;=$D154,H$5&lt;=$E154),IF(H$5-$D154+1&lt;=ROUND(($E154-$D154+1)*$F154,0),2,IF(H$5&lt;CFG_CurWeek,3,1)),""))</f>
        <v/>
      </c>
      <c r="I154" s="66" t="str">
        <f aca="false">IF(OR($D154="",$E154=""),"",IF(AND(I$5&gt;=$D154,I$5&lt;=$E154),IF(I$5-$D154+1&lt;=ROUND(($E154-$D154+1)*$F154,0),2,IF(I$5&lt;CFG_CurWeek,3,1)),""))</f>
        <v/>
      </c>
      <c r="J154" s="66" t="str">
        <f aca="false">IF(OR($D154="",$E154=""),"",IF(AND(J$5&gt;=$D154,J$5&lt;=$E154),IF(J$5-$D154+1&lt;=ROUND(($E154-$D154+1)*$F154,0),2,IF(J$5&lt;CFG_CurWeek,3,1)),""))</f>
        <v/>
      </c>
      <c r="K154" s="66" t="str">
        <f aca="false">IF(OR($D154="",$E154=""),"",IF(AND(K$5&gt;=$D154,K$5&lt;=$E154),IF(K$5-$D154+1&lt;=ROUND(($E154-$D154+1)*$F154,0),2,IF(K$5&lt;CFG_CurWeek,3,1)),""))</f>
        <v/>
      </c>
      <c r="L154" s="66" t="str">
        <f aca="false">IF(OR($D154="",$E154=""),"",IF(AND(L$5&gt;=$D154,L$5&lt;=$E154),IF(L$5-$D154+1&lt;=ROUND(($E154-$D154+1)*$F154,0),2,IF(L$5&lt;CFG_CurWeek,3,1)),""))</f>
        <v/>
      </c>
      <c r="M154" s="66" t="str">
        <f aca="false">IF(OR($D154="",$E154=""),"",IF(AND(M$5&gt;=$D154,M$5&lt;=$E154),IF(M$5-$D154+1&lt;=ROUND(($E154-$D154+1)*$F154,0),2,IF(M$5&lt;CFG_CurWeek,3,1)),""))</f>
        <v/>
      </c>
      <c r="N154" s="66" t="str">
        <f aca="false">IF(OR($D154="",$E154=""),"",IF(AND(N$5&gt;=$D154,N$5&lt;=$E154),IF(N$5-$D154+1&lt;=ROUND(($E154-$D154+1)*$F154,0),2,IF(N$5&lt;CFG_CurWeek,3,1)),""))</f>
        <v/>
      </c>
      <c r="O154" s="66" t="str">
        <f aca="false">IF(OR($D154="",$E154=""),"",IF(AND(O$5&gt;=$D154,O$5&lt;=$E154),IF(O$5-$D154+1&lt;=ROUND(($E154-$D154+1)*$F154,0),2,IF(O$5&lt;CFG_CurWeek,3,1)),""))</f>
        <v/>
      </c>
      <c r="P154" s="66" t="str">
        <f aca="false">IF(OR($D154="",$E154=""),"",IF(AND(P$5&gt;=$D154,P$5&lt;=$E154),IF(P$5-$D154+1&lt;=ROUND(($E154-$D154+1)*$F154,0),2,IF(P$5&lt;CFG_CurWeek,3,1)),""))</f>
        <v/>
      </c>
      <c r="Q154" s="66" t="str">
        <f aca="false">IF(OR($D154="",$E154=""),"",IF(AND(Q$5&gt;=$D154,Q$5&lt;=$E154),IF(Q$5-$D154+1&lt;=ROUND(($E154-$D154+1)*$F154,0),2,IF(Q$5&lt;CFG_CurWeek,3,1)),""))</f>
        <v/>
      </c>
      <c r="R154" s="66" t="str">
        <f aca="false">IF(OR($D154="",$E154=""),"",IF(AND(R$5&gt;=$D154,R$5&lt;=$E154),IF(R$5-$D154+1&lt;=ROUND(($E154-$D154+1)*$F154,0),2,IF(R$5&lt;CFG_CurWeek,3,1)),""))</f>
        <v/>
      </c>
      <c r="S154" s="66" t="str">
        <f aca="false">IF(OR($D154="",$E154=""),"",IF(AND(S$5&gt;=$D154,S$5&lt;=$E154),IF(S$5-$D154+1&lt;=ROUND(($E154-$D154+1)*$F154,0),2,IF(S$5&lt;CFG_CurWeek,3,1)),""))</f>
        <v/>
      </c>
      <c r="T154" s="66" t="str">
        <f aca="false">IF(OR($D154="",$E154=""),"",IF(AND(T$5&gt;=$D154,T$5&lt;=$E154),IF(T$5-$D154+1&lt;=ROUND(($E154-$D154+1)*$F154,0),2,IF(T$5&lt;CFG_CurWeek,3,1)),""))</f>
        <v/>
      </c>
      <c r="U154" s="66" t="str">
        <f aca="false">IF(OR($D154="",$E154=""),"",IF(AND(U$5&gt;=$D154,U$5&lt;=$E154),IF(U$5-$D154+1&lt;=ROUND(($E154-$D154+1)*$F154,0),2,IF(U$5&lt;CFG_CurWeek,3,1)),""))</f>
        <v/>
      </c>
      <c r="V154" s="66" t="str">
        <f aca="false">IF(OR($D154="",$E154=""),"",IF(AND(V$5&gt;=$D154,V$5&lt;=$E154),IF(V$5-$D154+1&lt;=ROUND(($E154-$D154+1)*$F154,0),2,IF(V$5&lt;CFG_CurWeek,3,1)),""))</f>
        <v/>
      </c>
      <c r="W154" s="66" t="str">
        <f aca="false">IF(OR($D154="",$E154=""),"",IF(AND(W$5&gt;=$D154,W$5&lt;=$E154),IF(W$5-$D154+1&lt;=ROUND(($E154-$D154+1)*$F154,0),2,IF(W$5&lt;CFG_CurWeek,3,1)),""))</f>
        <v/>
      </c>
      <c r="X154" s="66" t="str">
        <f aca="false">IF(OR($D154="",$E154=""),"",IF(AND(X$5&gt;=$D154,X$5&lt;=$E154),IF(X$5-$D154+1&lt;=ROUND(($E154-$D154+1)*$F154,0),2,IF(X$5&lt;CFG_CurWeek,3,1)),""))</f>
        <v/>
      </c>
      <c r="Y154" s="66" t="str">
        <f aca="false">IF(OR($D154="",$E154=""),"",IF(AND(Y$5&gt;=$D154,Y$5&lt;=$E154),IF(Y$5-$D154+1&lt;=ROUND(($E154-$D154+1)*$F154,0),2,IF(Y$5&lt;CFG_CurWeek,3,1)),""))</f>
        <v/>
      </c>
      <c r="Z154" s="66" t="str">
        <f aca="false">IF(OR($D154="",$E154=""),"",IF(AND(Z$5&gt;=$D154,Z$5&lt;=$E154),IF(Z$5-$D154+1&lt;=ROUND(($E154-$D154+1)*$F154,0),2,IF(Z$5&lt;CFG_CurWeek,3,1)),""))</f>
        <v/>
      </c>
      <c r="AA154" s="66" t="str">
        <f aca="false">IF(OR($D154="",$E154=""),"",IF(AND(AA$5&gt;=$D154,AA$5&lt;=$E154),IF(AA$5-$D154+1&lt;=ROUND(($E154-$D154+1)*$F154,0),2,IF(AA$5&lt;CFG_CurWeek,3,1)),""))</f>
        <v/>
      </c>
      <c r="AB154" s="66" t="str">
        <f aca="false">IF(OR($D154="",$E154=""),"",IF(AND(AB$5&gt;=$D154,AB$5&lt;=$E154),IF(AB$5-$D154+1&lt;=ROUND(($E154-$D154+1)*$F154,0),2,IF(AB$5&lt;CFG_CurWeek,3,1)),""))</f>
        <v/>
      </c>
      <c r="AC154" s="66" t="str">
        <f aca="false">IF(OR($D154="",$E154=""),"",IF(AND(AC$5&gt;=$D154,AC$5&lt;=$E154),IF(AC$5-$D154+1&lt;=ROUND(($E154-$D154+1)*$F154,0),2,IF(AC$5&lt;CFG_CurWeek,3,1)),""))</f>
        <v/>
      </c>
      <c r="AD154" s="66" t="str">
        <f aca="false">IF(OR($D154="",$E154=""),"",IF(AND(AD$5&gt;=$D154,AD$5&lt;=$E154),IF(AD$5-$D154+1&lt;=ROUND(($E154-$D154+1)*$F154,0),2,IF(AD$5&lt;CFG_CurWeek,3,1)),""))</f>
        <v/>
      </c>
      <c r="AE154" s="66" t="str">
        <f aca="false">IF(OR($D154="",$E154=""),"",IF(AND(AE$5&gt;=$D154,AE$5&lt;=$E154),IF(AE$5-$D154+1&lt;=ROUND(($E154-$D154+1)*$F154,0),2,IF(AE$5&lt;CFG_CurWeek,3,1)),""))</f>
        <v/>
      </c>
      <c r="AF154" s="66" t="str">
        <f aca="false">IF(OR($D154="",$E154=""),"",IF(AND(AF$5&gt;=$D154,AF$5&lt;=$E154),IF(AF$5-$D154+1&lt;=ROUND(($E154-$D154+1)*$F154,0),2,IF(AF$5&lt;CFG_CurWeek,3,1)),""))</f>
        <v/>
      </c>
      <c r="AG154" s="66" t="str">
        <f aca="false">IF(OR($D154="",$E154=""),"",IF(AND(AG$5&gt;=$D154,AG$5&lt;=$E154),IF(AG$5-$D154+1&lt;=ROUND(($E154-$D154+1)*$F154,0),2,IF(AG$5&lt;CFG_CurWeek,3,1)),""))</f>
        <v/>
      </c>
      <c r="AH154" s="66" t="str">
        <f aca="false">IF(OR($D154="",$E154=""),"",IF(AND(AH$5&gt;=$D154,AH$5&lt;=$E154),IF(AH$5-$D154+1&lt;=ROUND(($E154-$D154+1)*$F154,0),2,IF(AH$5&lt;CFG_CurWeek,3,1)),""))</f>
        <v/>
      </c>
      <c r="AI154" s="66" t="str">
        <f aca="false">IF(OR($D154="",$E154=""),"",IF(AND(AI$5&gt;=$D154,AI$5&lt;=$E154),IF(AI$5-$D154+1&lt;=ROUND(($E154-$D154+1)*$F154,0),2,IF(AI$5&lt;CFG_CurWeek,3,1)),""))</f>
        <v/>
      </c>
      <c r="AJ154" s="66" t="str">
        <f aca="false">IF(OR($D154="",$E154=""),"",IF(AND(AJ$5&gt;=$D154,AJ$5&lt;=$E154),IF(AJ$5-$D154+1&lt;=ROUND(($E154-$D154+1)*$F154,0),2,IF(AJ$5&lt;CFG_CurWeek,3,1)),""))</f>
        <v/>
      </c>
      <c r="AK154" s="66" t="str">
        <f aca="false">IF(OR($D154="",$E154=""),"",IF(AND(AK$5&gt;=$D154,AK$5&lt;=$E154),IF(AK$5-$D154+1&lt;=ROUND(($E154-$D154+1)*$F154,0),2,IF(AK$5&lt;CFG_CurWeek,3,1)),""))</f>
        <v/>
      </c>
      <c r="AL154" s="66" t="str">
        <f aca="false">IF(OR($D154="",$E154=""),"",IF(AND(AL$5&gt;=$D154,AL$5&lt;=$E154),IF(AL$5-$D154+1&lt;=ROUND(($E154-$D154+1)*$F154,0),2,IF(AL$5&lt;CFG_CurWeek,3,1)),""))</f>
        <v/>
      </c>
      <c r="AM154" s="66" t="str">
        <f aca="false">IF(OR($D154="",$E154=""),"",IF(AND(AM$5&gt;=$D154,AM$5&lt;=$E154),IF(AM$5-$D154+1&lt;=ROUND(($E154-$D154+1)*$F154,0),2,IF(AM$5&lt;CFG_CurWeek,3,1)),""))</f>
        <v/>
      </c>
      <c r="AN154" s="66" t="str">
        <f aca="false">IF(OR($D154="",$E154=""),"",IF(AND(AN$5&gt;=$D154,AN$5&lt;=$E154),IF(AN$5-$D154+1&lt;=ROUND(($E154-$D154+1)*$F154,0),2,IF(AN$5&lt;CFG_CurWeek,3,1)),""))</f>
        <v/>
      </c>
      <c r="AO154" s="66" t="str">
        <f aca="false">IF(OR($D154="",$E154=""),"",IF(AND(AO$5&gt;=$D154,AO$5&lt;=$E154),IF(AO$5-$D154+1&lt;=ROUND(($E154-$D154+1)*$F154,0),2,IF(AO$5&lt;CFG_CurWeek,3,1)),""))</f>
        <v/>
      </c>
    </row>
    <row r="155" customFormat="false" ht="15" hidden="false" customHeight="false" outlineLevel="0" collapsed="false">
      <c r="A155" s="63" t="str">
        <f aca="false">IF('01_WBS &amp; Master Plan'!A152="","",'01_WBS &amp; Master Plan'!A152)</f>
        <v/>
      </c>
      <c r="B155" s="64" t="str">
        <f aca="false">IF('01_WBS &amp; Master Plan'!D152="","",'01_WBS &amp; Master Plan'!D152)</f>
        <v/>
      </c>
      <c r="C155" s="63" t="str">
        <f aca="false">IF('01_WBS &amp; Master Plan'!E152="","",'01_WBS &amp; Master Plan'!E152)</f>
        <v/>
      </c>
      <c r="D155" s="63" t="str">
        <f aca="false">IF('01_WBS &amp; Master Plan'!H152="","",'01_WBS &amp; Master Plan'!H152)</f>
        <v/>
      </c>
      <c r="E155" s="63" t="str">
        <f aca="false">IF('01_WBS &amp; Master Plan'!I152="","",'01_WBS &amp; Master Plan'!I152)</f>
        <v/>
      </c>
      <c r="F155" s="65" t="str">
        <f aca="false">IF(B155="","",IF('01_WBS &amp; Master Plan'!K152="Done",1,IF('01_WBS &amp; Master Plan'!L152="",0,'01_WBS &amp; Master Plan'!L152)))</f>
        <v/>
      </c>
      <c r="G155" s="63" t="str">
        <f aca="false">IF('01_WBS &amp; Master Plan'!K152="","",'01_WBS &amp; Master Plan'!K152)</f>
        <v/>
      </c>
      <c r="H155" s="66" t="str">
        <f aca="false">IF(OR($D155="",$E155=""),"",IF(AND(H$5&gt;=$D155,H$5&lt;=$E155),IF(H$5-$D155+1&lt;=ROUND(($E155-$D155+1)*$F155,0),2,IF(H$5&lt;CFG_CurWeek,3,1)),""))</f>
        <v/>
      </c>
      <c r="I155" s="66" t="str">
        <f aca="false">IF(OR($D155="",$E155=""),"",IF(AND(I$5&gt;=$D155,I$5&lt;=$E155),IF(I$5-$D155+1&lt;=ROUND(($E155-$D155+1)*$F155,0),2,IF(I$5&lt;CFG_CurWeek,3,1)),""))</f>
        <v/>
      </c>
      <c r="J155" s="66" t="str">
        <f aca="false">IF(OR($D155="",$E155=""),"",IF(AND(J$5&gt;=$D155,J$5&lt;=$E155),IF(J$5-$D155+1&lt;=ROUND(($E155-$D155+1)*$F155,0),2,IF(J$5&lt;CFG_CurWeek,3,1)),""))</f>
        <v/>
      </c>
      <c r="K155" s="66" t="str">
        <f aca="false">IF(OR($D155="",$E155=""),"",IF(AND(K$5&gt;=$D155,K$5&lt;=$E155),IF(K$5-$D155+1&lt;=ROUND(($E155-$D155+1)*$F155,0),2,IF(K$5&lt;CFG_CurWeek,3,1)),""))</f>
        <v/>
      </c>
      <c r="L155" s="66" t="str">
        <f aca="false">IF(OR($D155="",$E155=""),"",IF(AND(L$5&gt;=$D155,L$5&lt;=$E155),IF(L$5-$D155+1&lt;=ROUND(($E155-$D155+1)*$F155,0),2,IF(L$5&lt;CFG_CurWeek,3,1)),""))</f>
        <v/>
      </c>
      <c r="M155" s="66" t="str">
        <f aca="false">IF(OR($D155="",$E155=""),"",IF(AND(M$5&gt;=$D155,M$5&lt;=$E155),IF(M$5-$D155+1&lt;=ROUND(($E155-$D155+1)*$F155,0),2,IF(M$5&lt;CFG_CurWeek,3,1)),""))</f>
        <v/>
      </c>
      <c r="N155" s="66" t="str">
        <f aca="false">IF(OR($D155="",$E155=""),"",IF(AND(N$5&gt;=$D155,N$5&lt;=$E155),IF(N$5-$D155+1&lt;=ROUND(($E155-$D155+1)*$F155,0),2,IF(N$5&lt;CFG_CurWeek,3,1)),""))</f>
        <v/>
      </c>
      <c r="O155" s="66" t="str">
        <f aca="false">IF(OR($D155="",$E155=""),"",IF(AND(O$5&gt;=$D155,O$5&lt;=$E155),IF(O$5-$D155+1&lt;=ROUND(($E155-$D155+1)*$F155,0),2,IF(O$5&lt;CFG_CurWeek,3,1)),""))</f>
        <v/>
      </c>
      <c r="P155" s="66" t="str">
        <f aca="false">IF(OR($D155="",$E155=""),"",IF(AND(P$5&gt;=$D155,P$5&lt;=$E155),IF(P$5-$D155+1&lt;=ROUND(($E155-$D155+1)*$F155,0),2,IF(P$5&lt;CFG_CurWeek,3,1)),""))</f>
        <v/>
      </c>
      <c r="Q155" s="66" t="str">
        <f aca="false">IF(OR($D155="",$E155=""),"",IF(AND(Q$5&gt;=$D155,Q$5&lt;=$E155),IF(Q$5-$D155+1&lt;=ROUND(($E155-$D155+1)*$F155,0),2,IF(Q$5&lt;CFG_CurWeek,3,1)),""))</f>
        <v/>
      </c>
      <c r="R155" s="66" t="str">
        <f aca="false">IF(OR($D155="",$E155=""),"",IF(AND(R$5&gt;=$D155,R$5&lt;=$E155),IF(R$5-$D155+1&lt;=ROUND(($E155-$D155+1)*$F155,0),2,IF(R$5&lt;CFG_CurWeek,3,1)),""))</f>
        <v/>
      </c>
      <c r="S155" s="66" t="str">
        <f aca="false">IF(OR($D155="",$E155=""),"",IF(AND(S$5&gt;=$D155,S$5&lt;=$E155),IF(S$5-$D155+1&lt;=ROUND(($E155-$D155+1)*$F155,0),2,IF(S$5&lt;CFG_CurWeek,3,1)),""))</f>
        <v/>
      </c>
      <c r="T155" s="66" t="str">
        <f aca="false">IF(OR($D155="",$E155=""),"",IF(AND(T$5&gt;=$D155,T$5&lt;=$E155),IF(T$5-$D155+1&lt;=ROUND(($E155-$D155+1)*$F155,0),2,IF(T$5&lt;CFG_CurWeek,3,1)),""))</f>
        <v/>
      </c>
      <c r="U155" s="66" t="str">
        <f aca="false">IF(OR($D155="",$E155=""),"",IF(AND(U$5&gt;=$D155,U$5&lt;=$E155),IF(U$5-$D155+1&lt;=ROUND(($E155-$D155+1)*$F155,0),2,IF(U$5&lt;CFG_CurWeek,3,1)),""))</f>
        <v/>
      </c>
      <c r="V155" s="66" t="str">
        <f aca="false">IF(OR($D155="",$E155=""),"",IF(AND(V$5&gt;=$D155,V$5&lt;=$E155),IF(V$5-$D155+1&lt;=ROUND(($E155-$D155+1)*$F155,0),2,IF(V$5&lt;CFG_CurWeek,3,1)),""))</f>
        <v/>
      </c>
      <c r="W155" s="66" t="str">
        <f aca="false">IF(OR($D155="",$E155=""),"",IF(AND(W$5&gt;=$D155,W$5&lt;=$E155),IF(W$5-$D155+1&lt;=ROUND(($E155-$D155+1)*$F155,0),2,IF(W$5&lt;CFG_CurWeek,3,1)),""))</f>
        <v/>
      </c>
      <c r="X155" s="66" t="str">
        <f aca="false">IF(OR($D155="",$E155=""),"",IF(AND(X$5&gt;=$D155,X$5&lt;=$E155),IF(X$5-$D155+1&lt;=ROUND(($E155-$D155+1)*$F155,0),2,IF(X$5&lt;CFG_CurWeek,3,1)),""))</f>
        <v/>
      </c>
      <c r="Y155" s="66" t="str">
        <f aca="false">IF(OR($D155="",$E155=""),"",IF(AND(Y$5&gt;=$D155,Y$5&lt;=$E155),IF(Y$5-$D155+1&lt;=ROUND(($E155-$D155+1)*$F155,0),2,IF(Y$5&lt;CFG_CurWeek,3,1)),""))</f>
        <v/>
      </c>
      <c r="Z155" s="66" t="str">
        <f aca="false">IF(OR($D155="",$E155=""),"",IF(AND(Z$5&gt;=$D155,Z$5&lt;=$E155),IF(Z$5-$D155+1&lt;=ROUND(($E155-$D155+1)*$F155,0),2,IF(Z$5&lt;CFG_CurWeek,3,1)),""))</f>
        <v/>
      </c>
      <c r="AA155" s="66" t="str">
        <f aca="false">IF(OR($D155="",$E155=""),"",IF(AND(AA$5&gt;=$D155,AA$5&lt;=$E155),IF(AA$5-$D155+1&lt;=ROUND(($E155-$D155+1)*$F155,0),2,IF(AA$5&lt;CFG_CurWeek,3,1)),""))</f>
        <v/>
      </c>
      <c r="AB155" s="66" t="str">
        <f aca="false">IF(OR($D155="",$E155=""),"",IF(AND(AB$5&gt;=$D155,AB$5&lt;=$E155),IF(AB$5-$D155+1&lt;=ROUND(($E155-$D155+1)*$F155,0),2,IF(AB$5&lt;CFG_CurWeek,3,1)),""))</f>
        <v/>
      </c>
      <c r="AC155" s="66" t="str">
        <f aca="false">IF(OR($D155="",$E155=""),"",IF(AND(AC$5&gt;=$D155,AC$5&lt;=$E155),IF(AC$5-$D155+1&lt;=ROUND(($E155-$D155+1)*$F155,0),2,IF(AC$5&lt;CFG_CurWeek,3,1)),""))</f>
        <v/>
      </c>
      <c r="AD155" s="66" t="str">
        <f aca="false">IF(OR($D155="",$E155=""),"",IF(AND(AD$5&gt;=$D155,AD$5&lt;=$E155),IF(AD$5-$D155+1&lt;=ROUND(($E155-$D155+1)*$F155,0),2,IF(AD$5&lt;CFG_CurWeek,3,1)),""))</f>
        <v/>
      </c>
      <c r="AE155" s="66" t="str">
        <f aca="false">IF(OR($D155="",$E155=""),"",IF(AND(AE$5&gt;=$D155,AE$5&lt;=$E155),IF(AE$5-$D155+1&lt;=ROUND(($E155-$D155+1)*$F155,0),2,IF(AE$5&lt;CFG_CurWeek,3,1)),""))</f>
        <v/>
      </c>
      <c r="AF155" s="66" t="str">
        <f aca="false">IF(OR($D155="",$E155=""),"",IF(AND(AF$5&gt;=$D155,AF$5&lt;=$E155),IF(AF$5-$D155+1&lt;=ROUND(($E155-$D155+1)*$F155,0),2,IF(AF$5&lt;CFG_CurWeek,3,1)),""))</f>
        <v/>
      </c>
      <c r="AG155" s="66" t="str">
        <f aca="false">IF(OR($D155="",$E155=""),"",IF(AND(AG$5&gt;=$D155,AG$5&lt;=$E155),IF(AG$5-$D155+1&lt;=ROUND(($E155-$D155+1)*$F155,0),2,IF(AG$5&lt;CFG_CurWeek,3,1)),""))</f>
        <v/>
      </c>
      <c r="AH155" s="66" t="str">
        <f aca="false">IF(OR($D155="",$E155=""),"",IF(AND(AH$5&gt;=$D155,AH$5&lt;=$E155),IF(AH$5-$D155+1&lt;=ROUND(($E155-$D155+1)*$F155,0),2,IF(AH$5&lt;CFG_CurWeek,3,1)),""))</f>
        <v/>
      </c>
      <c r="AI155" s="66" t="str">
        <f aca="false">IF(OR($D155="",$E155=""),"",IF(AND(AI$5&gt;=$D155,AI$5&lt;=$E155),IF(AI$5-$D155+1&lt;=ROUND(($E155-$D155+1)*$F155,0),2,IF(AI$5&lt;CFG_CurWeek,3,1)),""))</f>
        <v/>
      </c>
      <c r="AJ155" s="66" t="str">
        <f aca="false">IF(OR($D155="",$E155=""),"",IF(AND(AJ$5&gt;=$D155,AJ$5&lt;=$E155),IF(AJ$5-$D155+1&lt;=ROUND(($E155-$D155+1)*$F155,0),2,IF(AJ$5&lt;CFG_CurWeek,3,1)),""))</f>
        <v/>
      </c>
      <c r="AK155" s="66" t="str">
        <f aca="false">IF(OR($D155="",$E155=""),"",IF(AND(AK$5&gt;=$D155,AK$5&lt;=$E155),IF(AK$5-$D155+1&lt;=ROUND(($E155-$D155+1)*$F155,0),2,IF(AK$5&lt;CFG_CurWeek,3,1)),""))</f>
        <v/>
      </c>
      <c r="AL155" s="66" t="str">
        <f aca="false">IF(OR($D155="",$E155=""),"",IF(AND(AL$5&gt;=$D155,AL$5&lt;=$E155),IF(AL$5-$D155+1&lt;=ROUND(($E155-$D155+1)*$F155,0),2,IF(AL$5&lt;CFG_CurWeek,3,1)),""))</f>
        <v/>
      </c>
      <c r="AM155" s="66" t="str">
        <f aca="false">IF(OR($D155="",$E155=""),"",IF(AND(AM$5&gt;=$D155,AM$5&lt;=$E155),IF(AM$5-$D155+1&lt;=ROUND(($E155-$D155+1)*$F155,0),2,IF(AM$5&lt;CFG_CurWeek,3,1)),""))</f>
        <v/>
      </c>
      <c r="AN155" s="66" t="str">
        <f aca="false">IF(OR($D155="",$E155=""),"",IF(AND(AN$5&gt;=$D155,AN$5&lt;=$E155),IF(AN$5-$D155+1&lt;=ROUND(($E155-$D155+1)*$F155,0),2,IF(AN$5&lt;CFG_CurWeek,3,1)),""))</f>
        <v/>
      </c>
      <c r="AO155" s="66" t="str">
        <f aca="false">IF(OR($D155="",$E155=""),"",IF(AND(AO$5&gt;=$D155,AO$5&lt;=$E155),IF(AO$5-$D155+1&lt;=ROUND(($E155-$D155+1)*$F155,0),2,IF(AO$5&lt;CFG_CurWeek,3,1)),""))</f>
        <v/>
      </c>
    </row>
    <row r="156" customFormat="false" ht="15" hidden="false" customHeight="false" outlineLevel="0" collapsed="false">
      <c r="A156" s="63" t="str">
        <f aca="false">IF('01_WBS &amp; Master Plan'!A153="","",'01_WBS &amp; Master Plan'!A153)</f>
        <v/>
      </c>
      <c r="B156" s="64" t="str">
        <f aca="false">IF('01_WBS &amp; Master Plan'!D153="","",'01_WBS &amp; Master Plan'!D153)</f>
        <v/>
      </c>
      <c r="C156" s="63" t="str">
        <f aca="false">IF('01_WBS &amp; Master Plan'!E153="","",'01_WBS &amp; Master Plan'!E153)</f>
        <v/>
      </c>
      <c r="D156" s="63" t="str">
        <f aca="false">IF('01_WBS &amp; Master Plan'!H153="","",'01_WBS &amp; Master Plan'!H153)</f>
        <v/>
      </c>
      <c r="E156" s="63" t="str">
        <f aca="false">IF('01_WBS &amp; Master Plan'!I153="","",'01_WBS &amp; Master Plan'!I153)</f>
        <v/>
      </c>
      <c r="F156" s="65" t="str">
        <f aca="false">IF(B156="","",IF('01_WBS &amp; Master Plan'!K153="Done",1,IF('01_WBS &amp; Master Plan'!L153="",0,'01_WBS &amp; Master Plan'!L153)))</f>
        <v/>
      </c>
      <c r="G156" s="63" t="str">
        <f aca="false">IF('01_WBS &amp; Master Plan'!K153="","",'01_WBS &amp; Master Plan'!K153)</f>
        <v/>
      </c>
      <c r="H156" s="66" t="str">
        <f aca="false">IF(OR($D156="",$E156=""),"",IF(AND(H$5&gt;=$D156,H$5&lt;=$E156),IF(H$5-$D156+1&lt;=ROUND(($E156-$D156+1)*$F156,0),2,IF(H$5&lt;CFG_CurWeek,3,1)),""))</f>
        <v/>
      </c>
      <c r="I156" s="66" t="str">
        <f aca="false">IF(OR($D156="",$E156=""),"",IF(AND(I$5&gt;=$D156,I$5&lt;=$E156),IF(I$5-$D156+1&lt;=ROUND(($E156-$D156+1)*$F156,0),2,IF(I$5&lt;CFG_CurWeek,3,1)),""))</f>
        <v/>
      </c>
      <c r="J156" s="66" t="str">
        <f aca="false">IF(OR($D156="",$E156=""),"",IF(AND(J$5&gt;=$D156,J$5&lt;=$E156),IF(J$5-$D156+1&lt;=ROUND(($E156-$D156+1)*$F156,0),2,IF(J$5&lt;CFG_CurWeek,3,1)),""))</f>
        <v/>
      </c>
      <c r="K156" s="66" t="str">
        <f aca="false">IF(OR($D156="",$E156=""),"",IF(AND(K$5&gt;=$D156,K$5&lt;=$E156),IF(K$5-$D156+1&lt;=ROUND(($E156-$D156+1)*$F156,0),2,IF(K$5&lt;CFG_CurWeek,3,1)),""))</f>
        <v/>
      </c>
      <c r="L156" s="66" t="str">
        <f aca="false">IF(OR($D156="",$E156=""),"",IF(AND(L$5&gt;=$D156,L$5&lt;=$E156),IF(L$5-$D156+1&lt;=ROUND(($E156-$D156+1)*$F156,0),2,IF(L$5&lt;CFG_CurWeek,3,1)),""))</f>
        <v/>
      </c>
      <c r="M156" s="66" t="str">
        <f aca="false">IF(OR($D156="",$E156=""),"",IF(AND(M$5&gt;=$D156,M$5&lt;=$E156),IF(M$5-$D156+1&lt;=ROUND(($E156-$D156+1)*$F156,0),2,IF(M$5&lt;CFG_CurWeek,3,1)),""))</f>
        <v/>
      </c>
      <c r="N156" s="66" t="str">
        <f aca="false">IF(OR($D156="",$E156=""),"",IF(AND(N$5&gt;=$D156,N$5&lt;=$E156),IF(N$5-$D156+1&lt;=ROUND(($E156-$D156+1)*$F156,0),2,IF(N$5&lt;CFG_CurWeek,3,1)),""))</f>
        <v/>
      </c>
      <c r="O156" s="66" t="str">
        <f aca="false">IF(OR($D156="",$E156=""),"",IF(AND(O$5&gt;=$D156,O$5&lt;=$E156),IF(O$5-$D156+1&lt;=ROUND(($E156-$D156+1)*$F156,0),2,IF(O$5&lt;CFG_CurWeek,3,1)),""))</f>
        <v/>
      </c>
      <c r="P156" s="66" t="str">
        <f aca="false">IF(OR($D156="",$E156=""),"",IF(AND(P$5&gt;=$D156,P$5&lt;=$E156),IF(P$5-$D156+1&lt;=ROUND(($E156-$D156+1)*$F156,0),2,IF(P$5&lt;CFG_CurWeek,3,1)),""))</f>
        <v/>
      </c>
      <c r="Q156" s="66" t="str">
        <f aca="false">IF(OR($D156="",$E156=""),"",IF(AND(Q$5&gt;=$D156,Q$5&lt;=$E156),IF(Q$5-$D156+1&lt;=ROUND(($E156-$D156+1)*$F156,0),2,IF(Q$5&lt;CFG_CurWeek,3,1)),""))</f>
        <v/>
      </c>
      <c r="R156" s="66" t="str">
        <f aca="false">IF(OR($D156="",$E156=""),"",IF(AND(R$5&gt;=$D156,R$5&lt;=$E156),IF(R$5-$D156+1&lt;=ROUND(($E156-$D156+1)*$F156,0),2,IF(R$5&lt;CFG_CurWeek,3,1)),""))</f>
        <v/>
      </c>
      <c r="S156" s="66" t="str">
        <f aca="false">IF(OR($D156="",$E156=""),"",IF(AND(S$5&gt;=$D156,S$5&lt;=$E156),IF(S$5-$D156+1&lt;=ROUND(($E156-$D156+1)*$F156,0),2,IF(S$5&lt;CFG_CurWeek,3,1)),""))</f>
        <v/>
      </c>
      <c r="T156" s="66" t="str">
        <f aca="false">IF(OR($D156="",$E156=""),"",IF(AND(T$5&gt;=$D156,T$5&lt;=$E156),IF(T$5-$D156+1&lt;=ROUND(($E156-$D156+1)*$F156,0),2,IF(T$5&lt;CFG_CurWeek,3,1)),""))</f>
        <v/>
      </c>
      <c r="U156" s="66" t="str">
        <f aca="false">IF(OR($D156="",$E156=""),"",IF(AND(U$5&gt;=$D156,U$5&lt;=$E156),IF(U$5-$D156+1&lt;=ROUND(($E156-$D156+1)*$F156,0),2,IF(U$5&lt;CFG_CurWeek,3,1)),""))</f>
        <v/>
      </c>
      <c r="V156" s="66" t="str">
        <f aca="false">IF(OR($D156="",$E156=""),"",IF(AND(V$5&gt;=$D156,V$5&lt;=$E156),IF(V$5-$D156+1&lt;=ROUND(($E156-$D156+1)*$F156,0),2,IF(V$5&lt;CFG_CurWeek,3,1)),""))</f>
        <v/>
      </c>
      <c r="W156" s="66" t="str">
        <f aca="false">IF(OR($D156="",$E156=""),"",IF(AND(W$5&gt;=$D156,W$5&lt;=$E156),IF(W$5-$D156+1&lt;=ROUND(($E156-$D156+1)*$F156,0),2,IF(W$5&lt;CFG_CurWeek,3,1)),""))</f>
        <v/>
      </c>
      <c r="X156" s="66" t="str">
        <f aca="false">IF(OR($D156="",$E156=""),"",IF(AND(X$5&gt;=$D156,X$5&lt;=$E156),IF(X$5-$D156+1&lt;=ROUND(($E156-$D156+1)*$F156,0),2,IF(X$5&lt;CFG_CurWeek,3,1)),""))</f>
        <v/>
      </c>
      <c r="Y156" s="66" t="str">
        <f aca="false">IF(OR($D156="",$E156=""),"",IF(AND(Y$5&gt;=$D156,Y$5&lt;=$E156),IF(Y$5-$D156+1&lt;=ROUND(($E156-$D156+1)*$F156,0),2,IF(Y$5&lt;CFG_CurWeek,3,1)),""))</f>
        <v/>
      </c>
      <c r="Z156" s="66" t="str">
        <f aca="false">IF(OR($D156="",$E156=""),"",IF(AND(Z$5&gt;=$D156,Z$5&lt;=$E156),IF(Z$5-$D156+1&lt;=ROUND(($E156-$D156+1)*$F156,0),2,IF(Z$5&lt;CFG_CurWeek,3,1)),""))</f>
        <v/>
      </c>
      <c r="AA156" s="66" t="str">
        <f aca="false">IF(OR($D156="",$E156=""),"",IF(AND(AA$5&gt;=$D156,AA$5&lt;=$E156),IF(AA$5-$D156+1&lt;=ROUND(($E156-$D156+1)*$F156,0),2,IF(AA$5&lt;CFG_CurWeek,3,1)),""))</f>
        <v/>
      </c>
      <c r="AB156" s="66" t="str">
        <f aca="false">IF(OR($D156="",$E156=""),"",IF(AND(AB$5&gt;=$D156,AB$5&lt;=$E156),IF(AB$5-$D156+1&lt;=ROUND(($E156-$D156+1)*$F156,0),2,IF(AB$5&lt;CFG_CurWeek,3,1)),""))</f>
        <v/>
      </c>
      <c r="AC156" s="66" t="str">
        <f aca="false">IF(OR($D156="",$E156=""),"",IF(AND(AC$5&gt;=$D156,AC$5&lt;=$E156),IF(AC$5-$D156+1&lt;=ROUND(($E156-$D156+1)*$F156,0),2,IF(AC$5&lt;CFG_CurWeek,3,1)),""))</f>
        <v/>
      </c>
      <c r="AD156" s="66" t="str">
        <f aca="false">IF(OR($D156="",$E156=""),"",IF(AND(AD$5&gt;=$D156,AD$5&lt;=$E156),IF(AD$5-$D156+1&lt;=ROUND(($E156-$D156+1)*$F156,0),2,IF(AD$5&lt;CFG_CurWeek,3,1)),""))</f>
        <v/>
      </c>
      <c r="AE156" s="66" t="str">
        <f aca="false">IF(OR($D156="",$E156=""),"",IF(AND(AE$5&gt;=$D156,AE$5&lt;=$E156),IF(AE$5-$D156+1&lt;=ROUND(($E156-$D156+1)*$F156,0),2,IF(AE$5&lt;CFG_CurWeek,3,1)),""))</f>
        <v/>
      </c>
      <c r="AF156" s="66" t="str">
        <f aca="false">IF(OR($D156="",$E156=""),"",IF(AND(AF$5&gt;=$D156,AF$5&lt;=$E156),IF(AF$5-$D156+1&lt;=ROUND(($E156-$D156+1)*$F156,0),2,IF(AF$5&lt;CFG_CurWeek,3,1)),""))</f>
        <v/>
      </c>
      <c r="AG156" s="66" t="str">
        <f aca="false">IF(OR($D156="",$E156=""),"",IF(AND(AG$5&gt;=$D156,AG$5&lt;=$E156),IF(AG$5-$D156+1&lt;=ROUND(($E156-$D156+1)*$F156,0),2,IF(AG$5&lt;CFG_CurWeek,3,1)),""))</f>
        <v/>
      </c>
      <c r="AH156" s="66" t="str">
        <f aca="false">IF(OR($D156="",$E156=""),"",IF(AND(AH$5&gt;=$D156,AH$5&lt;=$E156),IF(AH$5-$D156+1&lt;=ROUND(($E156-$D156+1)*$F156,0),2,IF(AH$5&lt;CFG_CurWeek,3,1)),""))</f>
        <v/>
      </c>
      <c r="AI156" s="66" t="str">
        <f aca="false">IF(OR($D156="",$E156=""),"",IF(AND(AI$5&gt;=$D156,AI$5&lt;=$E156),IF(AI$5-$D156+1&lt;=ROUND(($E156-$D156+1)*$F156,0),2,IF(AI$5&lt;CFG_CurWeek,3,1)),""))</f>
        <v/>
      </c>
      <c r="AJ156" s="66" t="str">
        <f aca="false">IF(OR($D156="",$E156=""),"",IF(AND(AJ$5&gt;=$D156,AJ$5&lt;=$E156),IF(AJ$5-$D156+1&lt;=ROUND(($E156-$D156+1)*$F156,0),2,IF(AJ$5&lt;CFG_CurWeek,3,1)),""))</f>
        <v/>
      </c>
      <c r="AK156" s="66" t="str">
        <f aca="false">IF(OR($D156="",$E156=""),"",IF(AND(AK$5&gt;=$D156,AK$5&lt;=$E156),IF(AK$5-$D156+1&lt;=ROUND(($E156-$D156+1)*$F156,0),2,IF(AK$5&lt;CFG_CurWeek,3,1)),""))</f>
        <v/>
      </c>
      <c r="AL156" s="66" t="str">
        <f aca="false">IF(OR($D156="",$E156=""),"",IF(AND(AL$5&gt;=$D156,AL$5&lt;=$E156),IF(AL$5-$D156+1&lt;=ROUND(($E156-$D156+1)*$F156,0),2,IF(AL$5&lt;CFG_CurWeek,3,1)),""))</f>
        <v/>
      </c>
      <c r="AM156" s="66" t="str">
        <f aca="false">IF(OR($D156="",$E156=""),"",IF(AND(AM$5&gt;=$D156,AM$5&lt;=$E156),IF(AM$5-$D156+1&lt;=ROUND(($E156-$D156+1)*$F156,0),2,IF(AM$5&lt;CFG_CurWeek,3,1)),""))</f>
        <v/>
      </c>
      <c r="AN156" s="66" t="str">
        <f aca="false">IF(OR($D156="",$E156=""),"",IF(AND(AN$5&gt;=$D156,AN$5&lt;=$E156),IF(AN$5-$D156+1&lt;=ROUND(($E156-$D156+1)*$F156,0),2,IF(AN$5&lt;CFG_CurWeek,3,1)),""))</f>
        <v/>
      </c>
      <c r="AO156" s="66" t="str">
        <f aca="false">IF(OR($D156="",$E156=""),"",IF(AND(AO$5&gt;=$D156,AO$5&lt;=$E156),IF(AO$5-$D156+1&lt;=ROUND(($E156-$D156+1)*$F156,0),2,IF(AO$5&lt;CFG_CurWeek,3,1)),""))</f>
        <v/>
      </c>
    </row>
    <row r="157" customFormat="false" ht="15" hidden="false" customHeight="false" outlineLevel="0" collapsed="false">
      <c r="A157" s="63" t="str">
        <f aca="false">IF('01_WBS &amp; Master Plan'!A154="","",'01_WBS &amp; Master Plan'!A154)</f>
        <v/>
      </c>
      <c r="B157" s="64" t="str">
        <f aca="false">IF('01_WBS &amp; Master Plan'!D154="","",'01_WBS &amp; Master Plan'!D154)</f>
        <v/>
      </c>
      <c r="C157" s="63" t="str">
        <f aca="false">IF('01_WBS &amp; Master Plan'!E154="","",'01_WBS &amp; Master Plan'!E154)</f>
        <v/>
      </c>
      <c r="D157" s="63" t="str">
        <f aca="false">IF('01_WBS &amp; Master Plan'!H154="","",'01_WBS &amp; Master Plan'!H154)</f>
        <v/>
      </c>
      <c r="E157" s="63" t="str">
        <f aca="false">IF('01_WBS &amp; Master Plan'!I154="","",'01_WBS &amp; Master Plan'!I154)</f>
        <v/>
      </c>
      <c r="F157" s="65" t="str">
        <f aca="false">IF(B157="","",IF('01_WBS &amp; Master Plan'!K154="Done",1,IF('01_WBS &amp; Master Plan'!L154="",0,'01_WBS &amp; Master Plan'!L154)))</f>
        <v/>
      </c>
      <c r="G157" s="63" t="str">
        <f aca="false">IF('01_WBS &amp; Master Plan'!K154="","",'01_WBS &amp; Master Plan'!K154)</f>
        <v/>
      </c>
      <c r="H157" s="66" t="str">
        <f aca="false">IF(OR($D157="",$E157=""),"",IF(AND(H$5&gt;=$D157,H$5&lt;=$E157),IF(H$5-$D157+1&lt;=ROUND(($E157-$D157+1)*$F157,0),2,IF(H$5&lt;CFG_CurWeek,3,1)),""))</f>
        <v/>
      </c>
      <c r="I157" s="66" t="str">
        <f aca="false">IF(OR($D157="",$E157=""),"",IF(AND(I$5&gt;=$D157,I$5&lt;=$E157),IF(I$5-$D157+1&lt;=ROUND(($E157-$D157+1)*$F157,0),2,IF(I$5&lt;CFG_CurWeek,3,1)),""))</f>
        <v/>
      </c>
      <c r="J157" s="66" t="str">
        <f aca="false">IF(OR($D157="",$E157=""),"",IF(AND(J$5&gt;=$D157,J$5&lt;=$E157),IF(J$5-$D157+1&lt;=ROUND(($E157-$D157+1)*$F157,0),2,IF(J$5&lt;CFG_CurWeek,3,1)),""))</f>
        <v/>
      </c>
      <c r="K157" s="66" t="str">
        <f aca="false">IF(OR($D157="",$E157=""),"",IF(AND(K$5&gt;=$D157,K$5&lt;=$E157),IF(K$5-$D157+1&lt;=ROUND(($E157-$D157+1)*$F157,0),2,IF(K$5&lt;CFG_CurWeek,3,1)),""))</f>
        <v/>
      </c>
      <c r="L157" s="66" t="str">
        <f aca="false">IF(OR($D157="",$E157=""),"",IF(AND(L$5&gt;=$D157,L$5&lt;=$E157),IF(L$5-$D157+1&lt;=ROUND(($E157-$D157+1)*$F157,0),2,IF(L$5&lt;CFG_CurWeek,3,1)),""))</f>
        <v/>
      </c>
      <c r="M157" s="66" t="str">
        <f aca="false">IF(OR($D157="",$E157=""),"",IF(AND(M$5&gt;=$D157,M$5&lt;=$E157),IF(M$5-$D157+1&lt;=ROUND(($E157-$D157+1)*$F157,0),2,IF(M$5&lt;CFG_CurWeek,3,1)),""))</f>
        <v/>
      </c>
      <c r="N157" s="66" t="str">
        <f aca="false">IF(OR($D157="",$E157=""),"",IF(AND(N$5&gt;=$D157,N$5&lt;=$E157),IF(N$5-$D157+1&lt;=ROUND(($E157-$D157+1)*$F157,0),2,IF(N$5&lt;CFG_CurWeek,3,1)),""))</f>
        <v/>
      </c>
      <c r="O157" s="66" t="str">
        <f aca="false">IF(OR($D157="",$E157=""),"",IF(AND(O$5&gt;=$D157,O$5&lt;=$E157),IF(O$5-$D157+1&lt;=ROUND(($E157-$D157+1)*$F157,0),2,IF(O$5&lt;CFG_CurWeek,3,1)),""))</f>
        <v/>
      </c>
      <c r="P157" s="66" t="str">
        <f aca="false">IF(OR($D157="",$E157=""),"",IF(AND(P$5&gt;=$D157,P$5&lt;=$E157),IF(P$5-$D157+1&lt;=ROUND(($E157-$D157+1)*$F157,0),2,IF(P$5&lt;CFG_CurWeek,3,1)),""))</f>
        <v/>
      </c>
      <c r="Q157" s="66" t="str">
        <f aca="false">IF(OR($D157="",$E157=""),"",IF(AND(Q$5&gt;=$D157,Q$5&lt;=$E157),IF(Q$5-$D157+1&lt;=ROUND(($E157-$D157+1)*$F157,0),2,IF(Q$5&lt;CFG_CurWeek,3,1)),""))</f>
        <v/>
      </c>
      <c r="R157" s="66" t="str">
        <f aca="false">IF(OR($D157="",$E157=""),"",IF(AND(R$5&gt;=$D157,R$5&lt;=$E157),IF(R$5-$D157+1&lt;=ROUND(($E157-$D157+1)*$F157,0),2,IF(R$5&lt;CFG_CurWeek,3,1)),""))</f>
        <v/>
      </c>
      <c r="S157" s="66" t="str">
        <f aca="false">IF(OR($D157="",$E157=""),"",IF(AND(S$5&gt;=$D157,S$5&lt;=$E157),IF(S$5-$D157+1&lt;=ROUND(($E157-$D157+1)*$F157,0),2,IF(S$5&lt;CFG_CurWeek,3,1)),""))</f>
        <v/>
      </c>
      <c r="T157" s="66" t="str">
        <f aca="false">IF(OR($D157="",$E157=""),"",IF(AND(T$5&gt;=$D157,T$5&lt;=$E157),IF(T$5-$D157+1&lt;=ROUND(($E157-$D157+1)*$F157,0),2,IF(T$5&lt;CFG_CurWeek,3,1)),""))</f>
        <v/>
      </c>
      <c r="U157" s="66" t="str">
        <f aca="false">IF(OR($D157="",$E157=""),"",IF(AND(U$5&gt;=$D157,U$5&lt;=$E157),IF(U$5-$D157+1&lt;=ROUND(($E157-$D157+1)*$F157,0),2,IF(U$5&lt;CFG_CurWeek,3,1)),""))</f>
        <v/>
      </c>
      <c r="V157" s="66" t="str">
        <f aca="false">IF(OR($D157="",$E157=""),"",IF(AND(V$5&gt;=$D157,V$5&lt;=$E157),IF(V$5-$D157+1&lt;=ROUND(($E157-$D157+1)*$F157,0),2,IF(V$5&lt;CFG_CurWeek,3,1)),""))</f>
        <v/>
      </c>
      <c r="W157" s="66" t="str">
        <f aca="false">IF(OR($D157="",$E157=""),"",IF(AND(W$5&gt;=$D157,W$5&lt;=$E157),IF(W$5-$D157+1&lt;=ROUND(($E157-$D157+1)*$F157,0),2,IF(W$5&lt;CFG_CurWeek,3,1)),""))</f>
        <v/>
      </c>
      <c r="X157" s="66" t="str">
        <f aca="false">IF(OR($D157="",$E157=""),"",IF(AND(X$5&gt;=$D157,X$5&lt;=$E157),IF(X$5-$D157+1&lt;=ROUND(($E157-$D157+1)*$F157,0),2,IF(X$5&lt;CFG_CurWeek,3,1)),""))</f>
        <v/>
      </c>
      <c r="Y157" s="66" t="str">
        <f aca="false">IF(OR($D157="",$E157=""),"",IF(AND(Y$5&gt;=$D157,Y$5&lt;=$E157),IF(Y$5-$D157+1&lt;=ROUND(($E157-$D157+1)*$F157,0),2,IF(Y$5&lt;CFG_CurWeek,3,1)),""))</f>
        <v/>
      </c>
      <c r="Z157" s="66" t="str">
        <f aca="false">IF(OR($D157="",$E157=""),"",IF(AND(Z$5&gt;=$D157,Z$5&lt;=$E157),IF(Z$5-$D157+1&lt;=ROUND(($E157-$D157+1)*$F157,0),2,IF(Z$5&lt;CFG_CurWeek,3,1)),""))</f>
        <v/>
      </c>
      <c r="AA157" s="66" t="str">
        <f aca="false">IF(OR($D157="",$E157=""),"",IF(AND(AA$5&gt;=$D157,AA$5&lt;=$E157),IF(AA$5-$D157+1&lt;=ROUND(($E157-$D157+1)*$F157,0),2,IF(AA$5&lt;CFG_CurWeek,3,1)),""))</f>
        <v/>
      </c>
      <c r="AB157" s="66" t="str">
        <f aca="false">IF(OR($D157="",$E157=""),"",IF(AND(AB$5&gt;=$D157,AB$5&lt;=$E157),IF(AB$5-$D157+1&lt;=ROUND(($E157-$D157+1)*$F157,0),2,IF(AB$5&lt;CFG_CurWeek,3,1)),""))</f>
        <v/>
      </c>
      <c r="AC157" s="66" t="str">
        <f aca="false">IF(OR($D157="",$E157=""),"",IF(AND(AC$5&gt;=$D157,AC$5&lt;=$E157),IF(AC$5-$D157+1&lt;=ROUND(($E157-$D157+1)*$F157,0),2,IF(AC$5&lt;CFG_CurWeek,3,1)),""))</f>
        <v/>
      </c>
      <c r="AD157" s="66" t="str">
        <f aca="false">IF(OR($D157="",$E157=""),"",IF(AND(AD$5&gt;=$D157,AD$5&lt;=$E157),IF(AD$5-$D157+1&lt;=ROUND(($E157-$D157+1)*$F157,0),2,IF(AD$5&lt;CFG_CurWeek,3,1)),""))</f>
        <v/>
      </c>
      <c r="AE157" s="66" t="str">
        <f aca="false">IF(OR($D157="",$E157=""),"",IF(AND(AE$5&gt;=$D157,AE$5&lt;=$E157),IF(AE$5-$D157+1&lt;=ROUND(($E157-$D157+1)*$F157,0),2,IF(AE$5&lt;CFG_CurWeek,3,1)),""))</f>
        <v/>
      </c>
      <c r="AF157" s="66" t="str">
        <f aca="false">IF(OR($D157="",$E157=""),"",IF(AND(AF$5&gt;=$D157,AF$5&lt;=$E157),IF(AF$5-$D157+1&lt;=ROUND(($E157-$D157+1)*$F157,0),2,IF(AF$5&lt;CFG_CurWeek,3,1)),""))</f>
        <v/>
      </c>
      <c r="AG157" s="66" t="str">
        <f aca="false">IF(OR($D157="",$E157=""),"",IF(AND(AG$5&gt;=$D157,AG$5&lt;=$E157),IF(AG$5-$D157+1&lt;=ROUND(($E157-$D157+1)*$F157,0),2,IF(AG$5&lt;CFG_CurWeek,3,1)),""))</f>
        <v/>
      </c>
      <c r="AH157" s="66" t="str">
        <f aca="false">IF(OR($D157="",$E157=""),"",IF(AND(AH$5&gt;=$D157,AH$5&lt;=$E157),IF(AH$5-$D157+1&lt;=ROUND(($E157-$D157+1)*$F157,0),2,IF(AH$5&lt;CFG_CurWeek,3,1)),""))</f>
        <v/>
      </c>
      <c r="AI157" s="66" t="str">
        <f aca="false">IF(OR($D157="",$E157=""),"",IF(AND(AI$5&gt;=$D157,AI$5&lt;=$E157),IF(AI$5-$D157+1&lt;=ROUND(($E157-$D157+1)*$F157,0),2,IF(AI$5&lt;CFG_CurWeek,3,1)),""))</f>
        <v/>
      </c>
      <c r="AJ157" s="66" t="str">
        <f aca="false">IF(OR($D157="",$E157=""),"",IF(AND(AJ$5&gt;=$D157,AJ$5&lt;=$E157),IF(AJ$5-$D157+1&lt;=ROUND(($E157-$D157+1)*$F157,0),2,IF(AJ$5&lt;CFG_CurWeek,3,1)),""))</f>
        <v/>
      </c>
      <c r="AK157" s="66" t="str">
        <f aca="false">IF(OR($D157="",$E157=""),"",IF(AND(AK$5&gt;=$D157,AK$5&lt;=$E157),IF(AK$5-$D157+1&lt;=ROUND(($E157-$D157+1)*$F157,0),2,IF(AK$5&lt;CFG_CurWeek,3,1)),""))</f>
        <v/>
      </c>
      <c r="AL157" s="66" t="str">
        <f aca="false">IF(OR($D157="",$E157=""),"",IF(AND(AL$5&gt;=$D157,AL$5&lt;=$E157),IF(AL$5-$D157+1&lt;=ROUND(($E157-$D157+1)*$F157,0),2,IF(AL$5&lt;CFG_CurWeek,3,1)),""))</f>
        <v/>
      </c>
      <c r="AM157" s="66" t="str">
        <f aca="false">IF(OR($D157="",$E157=""),"",IF(AND(AM$5&gt;=$D157,AM$5&lt;=$E157),IF(AM$5-$D157+1&lt;=ROUND(($E157-$D157+1)*$F157,0),2,IF(AM$5&lt;CFG_CurWeek,3,1)),""))</f>
        <v/>
      </c>
      <c r="AN157" s="66" t="str">
        <f aca="false">IF(OR($D157="",$E157=""),"",IF(AND(AN$5&gt;=$D157,AN$5&lt;=$E157),IF(AN$5-$D157+1&lt;=ROUND(($E157-$D157+1)*$F157,0),2,IF(AN$5&lt;CFG_CurWeek,3,1)),""))</f>
        <v/>
      </c>
      <c r="AO157" s="66" t="str">
        <f aca="false">IF(OR($D157="",$E157=""),"",IF(AND(AO$5&gt;=$D157,AO$5&lt;=$E157),IF(AO$5-$D157+1&lt;=ROUND(($E157-$D157+1)*$F157,0),2,IF(AO$5&lt;CFG_CurWeek,3,1)),""))</f>
        <v/>
      </c>
    </row>
  </sheetData>
  <mergeCells count="2">
    <mergeCell ref="A1:AO1"/>
    <mergeCell ref="A2:AO2"/>
  </mergeCells>
  <conditionalFormatting sqref="H8:AO157">
    <cfRule type="cellIs" priority="2" operator="equal" aboveAverage="0" equalAverage="0" bottom="0" percent="0" rank="0" text="" dxfId="20">
      <formula>2</formula>
    </cfRule>
    <cfRule type="cellIs" priority="3" operator="equal" aboveAverage="0" equalAverage="0" bottom="0" percent="0" rank="0" text="" dxfId="21">
      <formula>3</formula>
    </cfRule>
    <cfRule type="cellIs" priority="4" operator="equal" aboveAverage="0" equalAverage="0" bottom="0" percent="0" rank="0" text="" dxfId="22">
      <formula>1</formula>
    </cfRule>
    <cfRule type="expression" priority="5" aboveAverage="0" equalAverage="0" bottom="0" percent="0" rank="0" text="" dxfId="23">
      <formula>H$5=CFG_CurWeek</formula>
    </cfRule>
  </conditionalFormatting>
  <conditionalFormatting sqref="H5:AO5">
    <cfRule type="expression" priority="6" aboveAverage="0" equalAverage="0" bottom="0" percent="0" rank="0" text="" dxfId="24">
      <formula>H5=CFG_CurWeek</formula>
    </cfRule>
  </conditionalFormatting>
  <conditionalFormatting sqref="H7:AO7">
    <cfRule type="expression" priority="7" aboveAverage="0" equalAverage="0" bottom="0" percent="0" rank="0" text="" dxfId="25">
      <formula>H7&lt;&gt;""</formula>
    </cfRule>
  </conditionalFormatting>
  <conditionalFormatting sqref="G8:G157">
    <cfRule type="cellIs" priority="8" operator="equal" aboveAverage="0" equalAverage="0" bottom="0" percent="0" rank="0" text="" dxfId="14">
      <formula>"Done"</formula>
    </cfRule>
    <cfRule type="cellIs" priority="9" operator="equal" aboveAverage="0" equalAverage="0" bottom="0" percent="0" rank="0" text="" dxfId="15">
      <formula>"In Progress"</formula>
    </cfRule>
    <cfRule type="cellIs" priority="10" operator="equal" aboveAverage="0" equalAverage="0" bottom="0" percent="0" rank="0" text="" dxfId="16">
      <formula>"Blocked"</formula>
    </cfRule>
    <cfRule type="cellIs" priority="11" operator="equal" aboveAverage="0" equalAverage="0" bottom="0" percent="0" rank="0" text="" dxfId="17">
      <formula>"To 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72A"/>
    <pageSetUpPr fitToPage="true"/>
  </sheetPr>
  <dimension ref="A1:J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5" min="5" style="0" width="46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33.75" hidden="false" customHeight="true" outlineLevel="0" collapsed="false">
      <c r="A1" s="37" t="s">
        <v>382</v>
      </c>
      <c r="B1" s="37"/>
      <c r="C1" s="37"/>
      <c r="D1" s="37"/>
      <c r="E1" s="37"/>
      <c r="F1" s="37"/>
      <c r="G1" s="37"/>
      <c r="H1" s="37"/>
      <c r="I1" s="37"/>
      <c r="J1" s="37"/>
    </row>
    <row r="2" customFormat="false" ht="21.75" hidden="false" customHeight="true" outlineLevel="0" collapsed="false">
      <c r="A2" s="67" t="str">
        <f aca="false">"Tổng: "&amp;COUNTIF(A_Endpoint,"?*")&amp;" endpoint  •  Dev Done: "&amp;COUNTIF(A_Dev,"Done")&amp;"  •  Test Pass: "&amp;COUNTIF(A_Test,"Pass")&amp;"  •  Fail: "&amp;COUNTIF(A_Test,"Fail")&amp;"  •  P1 = trong 34 tuần, P2 = mở rộng sau Release"</f>
        <v>Tổng: 83 endpoint  •  Dev Done: 0  •  Test Pass: 0  •  Fail: 0  •  P1 = trong 34 tuần, P2 = mở rộng sau Release</v>
      </c>
      <c r="B2" s="67"/>
      <c r="C2" s="67"/>
      <c r="D2" s="67"/>
      <c r="E2" s="67"/>
      <c r="F2" s="67"/>
      <c r="G2" s="67"/>
      <c r="H2" s="67"/>
      <c r="I2" s="67"/>
      <c r="J2" s="67"/>
    </row>
    <row r="4" customFormat="false" ht="31.5" hidden="false" customHeight="true" outlineLevel="0" collapsed="false">
      <c r="A4" s="39" t="s">
        <v>383</v>
      </c>
      <c r="B4" s="39" t="s">
        <v>384</v>
      </c>
      <c r="C4" s="39" t="s">
        <v>385</v>
      </c>
      <c r="D4" s="39" t="s">
        <v>386</v>
      </c>
      <c r="E4" s="39" t="s">
        <v>387</v>
      </c>
      <c r="F4" s="39" t="s">
        <v>388</v>
      </c>
      <c r="G4" s="39" t="s">
        <v>389</v>
      </c>
      <c r="H4" s="39" t="s">
        <v>390</v>
      </c>
      <c r="I4" s="39" t="s">
        <v>391</v>
      </c>
      <c r="J4" s="39" t="s">
        <v>392</v>
      </c>
    </row>
    <row r="5" customFormat="false" ht="23.85" hidden="false" customHeight="false" outlineLevel="0" collapsed="false">
      <c r="A5" s="68" t="n">
        <f aca="false">IF(D5="","",ROW()-4)</f>
        <v>1</v>
      </c>
      <c r="B5" s="42" t="s">
        <v>393</v>
      </c>
      <c r="C5" s="43" t="s">
        <v>394</v>
      </c>
      <c r="D5" s="69" t="s">
        <v>395</v>
      </c>
      <c r="E5" s="42" t="s">
        <v>396</v>
      </c>
      <c r="F5" s="43" t="s">
        <v>397</v>
      </c>
      <c r="G5" s="43" t="s">
        <v>398</v>
      </c>
      <c r="H5" s="43" t="s">
        <v>29</v>
      </c>
      <c r="I5" s="43" t="s">
        <v>399</v>
      </c>
      <c r="J5" s="42" t="s">
        <v>400</v>
      </c>
    </row>
    <row r="6" customFormat="false" ht="23.85" hidden="false" customHeight="false" outlineLevel="0" collapsed="false">
      <c r="A6" s="68" t="n">
        <f aca="false">IF(D6="","",ROW()-4)</f>
        <v>2</v>
      </c>
      <c r="B6" s="42" t="s">
        <v>393</v>
      </c>
      <c r="C6" s="43" t="s">
        <v>394</v>
      </c>
      <c r="D6" s="69" t="s">
        <v>401</v>
      </c>
      <c r="E6" s="42" t="s">
        <v>402</v>
      </c>
      <c r="F6" s="43" t="s">
        <v>397</v>
      </c>
      <c r="G6" s="43" t="s">
        <v>398</v>
      </c>
      <c r="H6" s="43" t="s">
        <v>29</v>
      </c>
      <c r="I6" s="43" t="s">
        <v>399</v>
      </c>
      <c r="J6" s="42" t="s">
        <v>403</v>
      </c>
    </row>
    <row r="7" customFormat="false" ht="15" hidden="false" customHeight="false" outlineLevel="0" collapsed="false">
      <c r="A7" s="68" t="n">
        <f aca="false">IF(D7="","",ROW()-4)</f>
        <v>3</v>
      </c>
      <c r="B7" s="42" t="s">
        <v>393</v>
      </c>
      <c r="C7" s="43" t="s">
        <v>394</v>
      </c>
      <c r="D7" s="69" t="s">
        <v>404</v>
      </c>
      <c r="E7" s="42" t="s">
        <v>405</v>
      </c>
      <c r="F7" s="43" t="s">
        <v>397</v>
      </c>
      <c r="G7" s="43" t="s">
        <v>398</v>
      </c>
      <c r="H7" s="43" t="s">
        <v>29</v>
      </c>
      <c r="I7" s="43" t="s">
        <v>399</v>
      </c>
      <c r="J7" s="42" t="s">
        <v>406</v>
      </c>
    </row>
    <row r="8" customFormat="false" ht="15" hidden="false" customHeight="false" outlineLevel="0" collapsed="false">
      <c r="A8" s="68" t="n">
        <f aca="false">IF(D8="","",ROW()-4)</f>
        <v>4</v>
      </c>
      <c r="B8" s="42" t="s">
        <v>393</v>
      </c>
      <c r="C8" s="43" t="s">
        <v>394</v>
      </c>
      <c r="D8" s="69" t="s">
        <v>407</v>
      </c>
      <c r="E8" s="42" t="s">
        <v>408</v>
      </c>
      <c r="F8" s="43" t="s">
        <v>409</v>
      </c>
      <c r="G8" s="43" t="s">
        <v>398</v>
      </c>
      <c r="H8" s="43" t="s">
        <v>29</v>
      </c>
      <c r="I8" s="43" t="s">
        <v>399</v>
      </c>
      <c r="J8" s="42" t="s">
        <v>410</v>
      </c>
    </row>
    <row r="9" customFormat="false" ht="15" hidden="false" customHeight="false" outlineLevel="0" collapsed="false">
      <c r="A9" s="68" t="n">
        <f aca="false">IF(D9="","",ROW()-4)</f>
        <v>5</v>
      </c>
      <c r="B9" s="42" t="s">
        <v>393</v>
      </c>
      <c r="C9" s="43" t="s">
        <v>394</v>
      </c>
      <c r="D9" s="69" t="s">
        <v>411</v>
      </c>
      <c r="E9" s="42" t="s">
        <v>412</v>
      </c>
      <c r="F9" s="43" t="s">
        <v>397</v>
      </c>
      <c r="G9" s="43" t="s">
        <v>398</v>
      </c>
      <c r="H9" s="43" t="s">
        <v>29</v>
      </c>
      <c r="I9" s="43" t="s">
        <v>399</v>
      </c>
      <c r="J9" s="42" t="s">
        <v>413</v>
      </c>
    </row>
    <row r="10" customFormat="false" ht="15" hidden="false" customHeight="false" outlineLevel="0" collapsed="false">
      <c r="A10" s="68" t="n">
        <f aca="false">IF(D10="","",ROW()-4)</f>
        <v>6</v>
      </c>
      <c r="B10" s="42" t="s">
        <v>393</v>
      </c>
      <c r="C10" s="43" t="s">
        <v>394</v>
      </c>
      <c r="D10" s="69" t="s">
        <v>414</v>
      </c>
      <c r="E10" s="42" t="s">
        <v>415</v>
      </c>
      <c r="F10" s="43" t="s">
        <v>397</v>
      </c>
      <c r="G10" s="43" t="s">
        <v>398</v>
      </c>
      <c r="H10" s="43" t="s">
        <v>29</v>
      </c>
      <c r="I10" s="43" t="s">
        <v>399</v>
      </c>
      <c r="J10" s="42" t="s">
        <v>416</v>
      </c>
    </row>
    <row r="11" customFormat="false" ht="15" hidden="false" customHeight="false" outlineLevel="0" collapsed="false">
      <c r="A11" s="68" t="n">
        <f aca="false">IF(D11="","",ROW()-4)</f>
        <v>7</v>
      </c>
      <c r="B11" s="42" t="s">
        <v>393</v>
      </c>
      <c r="C11" s="43" t="s">
        <v>417</v>
      </c>
      <c r="D11" s="69" t="s">
        <v>418</v>
      </c>
      <c r="E11" s="42" t="s">
        <v>419</v>
      </c>
      <c r="F11" s="43" t="s">
        <v>409</v>
      </c>
      <c r="G11" s="43" t="s">
        <v>398</v>
      </c>
      <c r="H11" s="43" t="s">
        <v>29</v>
      </c>
      <c r="I11" s="43" t="s">
        <v>399</v>
      </c>
      <c r="J11" s="42" t="s">
        <v>420</v>
      </c>
    </row>
    <row r="12" customFormat="false" ht="15" hidden="false" customHeight="false" outlineLevel="0" collapsed="false">
      <c r="A12" s="68" t="n">
        <f aca="false">IF(D12="","",ROW()-4)</f>
        <v>8</v>
      </c>
      <c r="B12" s="42" t="s">
        <v>393</v>
      </c>
      <c r="C12" s="43" t="s">
        <v>394</v>
      </c>
      <c r="D12" s="69" t="s">
        <v>421</v>
      </c>
      <c r="E12" s="42" t="s">
        <v>422</v>
      </c>
      <c r="F12" s="43" t="s">
        <v>397</v>
      </c>
      <c r="G12" s="43" t="s">
        <v>423</v>
      </c>
      <c r="H12" s="43" t="s">
        <v>29</v>
      </c>
      <c r="I12" s="43" t="s">
        <v>399</v>
      </c>
      <c r="J12" s="42" t="s">
        <v>420</v>
      </c>
    </row>
    <row r="13" customFormat="false" ht="15" hidden="false" customHeight="false" outlineLevel="0" collapsed="false">
      <c r="A13" s="68" t="n">
        <f aca="false">IF(D13="","",ROW()-4)</f>
        <v>9</v>
      </c>
      <c r="B13" s="42" t="s">
        <v>424</v>
      </c>
      <c r="C13" s="43" t="s">
        <v>425</v>
      </c>
      <c r="D13" s="69" t="s">
        <v>426</v>
      </c>
      <c r="E13" s="42" t="s">
        <v>427</v>
      </c>
      <c r="F13" s="43" t="s">
        <v>409</v>
      </c>
      <c r="G13" s="43" t="s">
        <v>398</v>
      </c>
      <c r="H13" s="43" t="s">
        <v>29</v>
      </c>
      <c r="I13" s="43" t="s">
        <v>399</v>
      </c>
      <c r="J13" s="42" t="s">
        <v>428</v>
      </c>
    </row>
    <row r="14" customFormat="false" ht="15" hidden="false" customHeight="false" outlineLevel="0" collapsed="false">
      <c r="A14" s="68" t="n">
        <f aca="false">IF(D14="","",ROW()-4)</f>
        <v>10</v>
      </c>
      <c r="B14" s="42" t="s">
        <v>424</v>
      </c>
      <c r="C14" s="43" t="s">
        <v>425</v>
      </c>
      <c r="D14" s="69" t="s">
        <v>429</v>
      </c>
      <c r="E14" s="42" t="s">
        <v>430</v>
      </c>
      <c r="F14" s="43" t="s">
        <v>409</v>
      </c>
      <c r="G14" s="43" t="s">
        <v>398</v>
      </c>
      <c r="H14" s="43" t="s">
        <v>29</v>
      </c>
      <c r="I14" s="43" t="s">
        <v>399</v>
      </c>
      <c r="J14" s="42" t="s">
        <v>431</v>
      </c>
    </row>
    <row r="15" customFormat="false" ht="15" hidden="false" customHeight="false" outlineLevel="0" collapsed="false">
      <c r="A15" s="68" t="n">
        <f aca="false">IF(D15="","",ROW()-4)</f>
        <v>11</v>
      </c>
      <c r="B15" s="42" t="s">
        <v>424</v>
      </c>
      <c r="C15" s="43" t="s">
        <v>425</v>
      </c>
      <c r="D15" s="69" t="s">
        <v>432</v>
      </c>
      <c r="E15" s="42" t="s">
        <v>433</v>
      </c>
      <c r="F15" s="43" t="s">
        <v>409</v>
      </c>
      <c r="G15" s="43" t="s">
        <v>398</v>
      </c>
      <c r="H15" s="43" t="s">
        <v>29</v>
      </c>
      <c r="I15" s="43" t="s">
        <v>399</v>
      </c>
      <c r="J15" s="42" t="s">
        <v>434</v>
      </c>
    </row>
    <row r="16" customFormat="false" ht="23.85" hidden="false" customHeight="false" outlineLevel="0" collapsed="false">
      <c r="A16" s="68" t="n">
        <f aca="false">IF(D16="","",ROW()-4)</f>
        <v>12</v>
      </c>
      <c r="B16" s="42" t="s">
        <v>424</v>
      </c>
      <c r="C16" s="43" t="s">
        <v>417</v>
      </c>
      <c r="D16" s="69" t="s">
        <v>435</v>
      </c>
      <c r="E16" s="42" t="s">
        <v>436</v>
      </c>
      <c r="F16" s="43" t="s">
        <v>409</v>
      </c>
      <c r="G16" s="43" t="s">
        <v>398</v>
      </c>
      <c r="H16" s="43" t="s">
        <v>29</v>
      </c>
      <c r="I16" s="43" t="s">
        <v>399</v>
      </c>
      <c r="J16" s="42" t="s">
        <v>437</v>
      </c>
    </row>
    <row r="17" customFormat="false" ht="15" hidden="false" customHeight="false" outlineLevel="0" collapsed="false">
      <c r="A17" s="68" t="n">
        <f aca="false">IF(D17="","",ROW()-4)</f>
        <v>13</v>
      </c>
      <c r="B17" s="42" t="s">
        <v>424</v>
      </c>
      <c r="C17" s="43" t="s">
        <v>425</v>
      </c>
      <c r="D17" s="69" t="s">
        <v>435</v>
      </c>
      <c r="E17" s="42" t="s">
        <v>438</v>
      </c>
      <c r="F17" s="43" t="s">
        <v>409</v>
      </c>
      <c r="G17" s="43" t="s">
        <v>398</v>
      </c>
      <c r="H17" s="43" t="s">
        <v>29</v>
      </c>
      <c r="I17" s="43" t="s">
        <v>399</v>
      </c>
      <c r="J17" s="42" t="s">
        <v>437</v>
      </c>
    </row>
    <row r="18" customFormat="false" ht="15" hidden="false" customHeight="false" outlineLevel="0" collapsed="false">
      <c r="A18" s="68" t="n">
        <f aca="false">IF(D18="","",ROW()-4)</f>
        <v>14</v>
      </c>
      <c r="B18" s="42" t="s">
        <v>424</v>
      </c>
      <c r="C18" s="43" t="s">
        <v>417</v>
      </c>
      <c r="D18" s="69" t="s">
        <v>439</v>
      </c>
      <c r="E18" s="42" t="s">
        <v>440</v>
      </c>
      <c r="F18" s="43" t="s">
        <v>397</v>
      </c>
      <c r="G18" s="43" t="s">
        <v>423</v>
      </c>
      <c r="H18" s="43" t="s">
        <v>29</v>
      </c>
      <c r="I18" s="43" t="s">
        <v>399</v>
      </c>
      <c r="J18" s="42" t="s">
        <v>441</v>
      </c>
    </row>
    <row r="19" customFormat="false" ht="15" hidden="false" customHeight="false" outlineLevel="0" collapsed="false">
      <c r="A19" s="68" t="n">
        <f aca="false">IF(D19="","",ROW()-4)</f>
        <v>15</v>
      </c>
      <c r="B19" s="42" t="s">
        <v>442</v>
      </c>
      <c r="C19" s="43" t="s">
        <v>417</v>
      </c>
      <c r="D19" s="69" t="s">
        <v>443</v>
      </c>
      <c r="E19" s="42" t="s">
        <v>444</v>
      </c>
      <c r="F19" s="43" t="s">
        <v>397</v>
      </c>
      <c r="G19" s="43" t="s">
        <v>398</v>
      </c>
      <c r="H19" s="43" t="s">
        <v>29</v>
      </c>
      <c r="I19" s="43" t="s">
        <v>399</v>
      </c>
      <c r="J19" s="42" t="s">
        <v>445</v>
      </c>
    </row>
    <row r="20" customFormat="false" ht="15" hidden="false" customHeight="false" outlineLevel="0" collapsed="false">
      <c r="A20" s="68" t="n">
        <f aca="false">IF(D20="","",ROW()-4)</f>
        <v>16</v>
      </c>
      <c r="B20" s="42" t="s">
        <v>442</v>
      </c>
      <c r="C20" s="43" t="s">
        <v>417</v>
      </c>
      <c r="D20" s="69" t="s">
        <v>446</v>
      </c>
      <c r="E20" s="42" t="s">
        <v>447</v>
      </c>
      <c r="F20" s="43" t="s">
        <v>397</v>
      </c>
      <c r="G20" s="43" t="s">
        <v>398</v>
      </c>
      <c r="H20" s="43" t="s">
        <v>29</v>
      </c>
      <c r="I20" s="43" t="s">
        <v>399</v>
      </c>
      <c r="J20" s="42" t="s">
        <v>441</v>
      </c>
    </row>
    <row r="21" customFormat="false" ht="15" hidden="false" customHeight="false" outlineLevel="0" collapsed="false">
      <c r="A21" s="68" t="n">
        <f aca="false">IF(D21="","",ROW()-4)</f>
        <v>17</v>
      </c>
      <c r="B21" s="42" t="s">
        <v>442</v>
      </c>
      <c r="C21" s="43" t="s">
        <v>417</v>
      </c>
      <c r="D21" s="69" t="s">
        <v>448</v>
      </c>
      <c r="E21" s="42" t="s">
        <v>449</v>
      </c>
      <c r="F21" s="43" t="s">
        <v>397</v>
      </c>
      <c r="G21" s="43" t="s">
        <v>398</v>
      </c>
      <c r="H21" s="43" t="s">
        <v>29</v>
      </c>
      <c r="I21" s="43" t="s">
        <v>399</v>
      </c>
      <c r="J21" s="42" t="s">
        <v>437</v>
      </c>
    </row>
    <row r="22" customFormat="false" ht="15" hidden="false" customHeight="false" outlineLevel="0" collapsed="false">
      <c r="A22" s="68" t="n">
        <f aca="false">IF(D22="","",ROW()-4)</f>
        <v>18</v>
      </c>
      <c r="B22" s="42" t="s">
        <v>442</v>
      </c>
      <c r="C22" s="43" t="s">
        <v>417</v>
      </c>
      <c r="D22" s="69" t="s">
        <v>450</v>
      </c>
      <c r="E22" s="42" t="s">
        <v>451</v>
      </c>
      <c r="F22" s="43" t="s">
        <v>397</v>
      </c>
      <c r="G22" s="43" t="s">
        <v>398</v>
      </c>
      <c r="H22" s="43" t="s">
        <v>29</v>
      </c>
      <c r="I22" s="43" t="s">
        <v>399</v>
      </c>
      <c r="J22" s="42" t="s">
        <v>437</v>
      </c>
    </row>
    <row r="23" customFormat="false" ht="15" hidden="false" customHeight="false" outlineLevel="0" collapsed="false">
      <c r="A23" s="68" t="n">
        <f aca="false">IF(D23="","",ROW()-4)</f>
        <v>19</v>
      </c>
      <c r="B23" s="42" t="s">
        <v>442</v>
      </c>
      <c r="C23" s="43" t="s">
        <v>417</v>
      </c>
      <c r="D23" s="69" t="s">
        <v>452</v>
      </c>
      <c r="E23" s="42" t="s">
        <v>453</v>
      </c>
      <c r="F23" s="43" t="s">
        <v>397</v>
      </c>
      <c r="G23" s="43" t="s">
        <v>423</v>
      </c>
      <c r="H23" s="43" t="s">
        <v>29</v>
      </c>
      <c r="I23" s="43" t="s">
        <v>399</v>
      </c>
      <c r="J23" s="42" t="s">
        <v>437</v>
      </c>
    </row>
    <row r="24" customFormat="false" ht="15" hidden="false" customHeight="false" outlineLevel="0" collapsed="false">
      <c r="A24" s="68" t="n">
        <f aca="false">IF(D24="","",ROW()-4)</f>
        <v>20</v>
      </c>
      <c r="B24" s="42" t="s">
        <v>454</v>
      </c>
      <c r="C24" s="43" t="s">
        <v>417</v>
      </c>
      <c r="D24" s="69" t="s">
        <v>455</v>
      </c>
      <c r="E24" s="42" t="s">
        <v>456</v>
      </c>
      <c r="F24" s="43" t="s">
        <v>397</v>
      </c>
      <c r="G24" s="43" t="s">
        <v>398</v>
      </c>
      <c r="H24" s="43" t="s">
        <v>29</v>
      </c>
      <c r="I24" s="43" t="s">
        <v>399</v>
      </c>
      <c r="J24" s="42" t="s">
        <v>437</v>
      </c>
    </row>
    <row r="25" customFormat="false" ht="15" hidden="false" customHeight="false" outlineLevel="0" collapsed="false">
      <c r="A25" s="68" t="n">
        <f aca="false">IF(D25="","",ROW()-4)</f>
        <v>21</v>
      </c>
      <c r="B25" s="42" t="s">
        <v>454</v>
      </c>
      <c r="C25" s="43" t="s">
        <v>417</v>
      </c>
      <c r="D25" s="69" t="s">
        <v>457</v>
      </c>
      <c r="E25" s="42" t="s">
        <v>458</v>
      </c>
      <c r="F25" s="43" t="s">
        <v>397</v>
      </c>
      <c r="G25" s="43" t="s">
        <v>398</v>
      </c>
      <c r="H25" s="43" t="s">
        <v>29</v>
      </c>
      <c r="I25" s="43" t="s">
        <v>399</v>
      </c>
      <c r="J25" s="42" t="s">
        <v>441</v>
      </c>
    </row>
    <row r="26" customFormat="false" ht="15" hidden="false" customHeight="false" outlineLevel="0" collapsed="false">
      <c r="A26" s="68" t="n">
        <f aca="false">IF(D26="","",ROW()-4)</f>
        <v>22</v>
      </c>
      <c r="B26" s="42" t="s">
        <v>459</v>
      </c>
      <c r="C26" s="43" t="s">
        <v>417</v>
      </c>
      <c r="D26" s="69" t="s">
        <v>460</v>
      </c>
      <c r="E26" s="42" t="s">
        <v>461</v>
      </c>
      <c r="F26" s="43" t="s">
        <v>397</v>
      </c>
      <c r="G26" s="43" t="s">
        <v>398</v>
      </c>
      <c r="H26" s="43" t="s">
        <v>29</v>
      </c>
      <c r="I26" s="43" t="s">
        <v>399</v>
      </c>
      <c r="J26" s="42" t="s">
        <v>437</v>
      </c>
    </row>
    <row r="27" customFormat="false" ht="15" hidden="false" customHeight="false" outlineLevel="0" collapsed="false">
      <c r="A27" s="68" t="n">
        <f aca="false">IF(D27="","",ROW()-4)</f>
        <v>23</v>
      </c>
      <c r="B27" s="42" t="s">
        <v>459</v>
      </c>
      <c r="C27" s="43" t="s">
        <v>417</v>
      </c>
      <c r="D27" s="69" t="s">
        <v>462</v>
      </c>
      <c r="E27" s="42" t="s">
        <v>463</v>
      </c>
      <c r="F27" s="43" t="s">
        <v>397</v>
      </c>
      <c r="G27" s="43" t="s">
        <v>398</v>
      </c>
      <c r="H27" s="43" t="s">
        <v>29</v>
      </c>
      <c r="I27" s="43" t="s">
        <v>399</v>
      </c>
      <c r="J27" s="42" t="s">
        <v>441</v>
      </c>
    </row>
    <row r="28" customFormat="false" ht="15" hidden="false" customHeight="false" outlineLevel="0" collapsed="false">
      <c r="A28" s="68" t="n">
        <f aca="false">IF(D28="","",ROW()-4)</f>
        <v>24</v>
      </c>
      <c r="B28" s="42" t="s">
        <v>459</v>
      </c>
      <c r="C28" s="43" t="s">
        <v>417</v>
      </c>
      <c r="D28" s="69" t="s">
        <v>464</v>
      </c>
      <c r="E28" s="42" t="s">
        <v>465</v>
      </c>
      <c r="F28" s="43" t="s">
        <v>397</v>
      </c>
      <c r="G28" s="43" t="s">
        <v>398</v>
      </c>
      <c r="H28" s="43" t="s">
        <v>29</v>
      </c>
      <c r="I28" s="43" t="s">
        <v>399</v>
      </c>
      <c r="J28" s="42" t="s">
        <v>437</v>
      </c>
    </row>
    <row r="29" customFormat="false" ht="15" hidden="false" customHeight="false" outlineLevel="0" collapsed="false">
      <c r="A29" s="68" t="n">
        <f aca="false">IF(D29="","",ROW()-4)</f>
        <v>25</v>
      </c>
      <c r="B29" s="42" t="s">
        <v>459</v>
      </c>
      <c r="C29" s="43" t="s">
        <v>417</v>
      </c>
      <c r="D29" s="69" t="s">
        <v>466</v>
      </c>
      <c r="E29" s="42" t="s">
        <v>467</v>
      </c>
      <c r="F29" s="43" t="s">
        <v>397</v>
      </c>
      <c r="G29" s="43" t="s">
        <v>398</v>
      </c>
      <c r="H29" s="43" t="s">
        <v>29</v>
      </c>
      <c r="I29" s="43" t="s">
        <v>399</v>
      </c>
      <c r="J29" s="42" t="s">
        <v>437</v>
      </c>
    </row>
    <row r="30" customFormat="false" ht="15" hidden="false" customHeight="false" outlineLevel="0" collapsed="false">
      <c r="A30" s="68" t="n">
        <f aca="false">IF(D30="","",ROW()-4)</f>
        <v>26</v>
      </c>
      <c r="B30" s="42" t="s">
        <v>459</v>
      </c>
      <c r="C30" s="43" t="s">
        <v>394</v>
      </c>
      <c r="D30" s="69" t="s">
        <v>468</v>
      </c>
      <c r="E30" s="42" t="s">
        <v>469</v>
      </c>
      <c r="F30" s="43" t="s">
        <v>409</v>
      </c>
      <c r="G30" s="43" t="s">
        <v>398</v>
      </c>
      <c r="H30" s="43" t="s">
        <v>29</v>
      </c>
      <c r="I30" s="43" t="s">
        <v>399</v>
      </c>
      <c r="J30" s="42" t="s">
        <v>470</v>
      </c>
    </row>
    <row r="31" customFormat="false" ht="15" hidden="false" customHeight="false" outlineLevel="0" collapsed="false">
      <c r="A31" s="68" t="n">
        <f aca="false">IF(D31="","",ROW()-4)</f>
        <v>27</v>
      </c>
      <c r="B31" s="42" t="s">
        <v>459</v>
      </c>
      <c r="C31" s="43" t="s">
        <v>471</v>
      </c>
      <c r="D31" s="69" t="s">
        <v>468</v>
      </c>
      <c r="E31" s="42" t="s">
        <v>472</v>
      </c>
      <c r="F31" s="43" t="s">
        <v>409</v>
      </c>
      <c r="G31" s="43" t="s">
        <v>398</v>
      </c>
      <c r="H31" s="43" t="s">
        <v>29</v>
      </c>
      <c r="I31" s="43" t="s">
        <v>399</v>
      </c>
      <c r="J31" s="42" t="s">
        <v>410</v>
      </c>
    </row>
    <row r="32" customFormat="false" ht="15" hidden="false" customHeight="false" outlineLevel="0" collapsed="false">
      <c r="A32" s="68" t="n">
        <f aca="false">IF(D32="","",ROW()-4)</f>
        <v>28</v>
      </c>
      <c r="B32" s="42" t="s">
        <v>473</v>
      </c>
      <c r="C32" s="43" t="s">
        <v>417</v>
      </c>
      <c r="D32" s="69" t="s">
        <v>474</v>
      </c>
      <c r="E32" s="42" t="s">
        <v>475</v>
      </c>
      <c r="F32" s="43" t="s">
        <v>397</v>
      </c>
      <c r="G32" s="43" t="s">
        <v>398</v>
      </c>
      <c r="H32" s="43" t="s">
        <v>29</v>
      </c>
      <c r="I32" s="43" t="s">
        <v>399</v>
      </c>
      <c r="J32" s="42" t="s">
        <v>437</v>
      </c>
    </row>
    <row r="33" customFormat="false" ht="15" hidden="false" customHeight="false" outlineLevel="0" collapsed="false">
      <c r="A33" s="68" t="n">
        <f aca="false">IF(D33="","",ROW()-4)</f>
        <v>29</v>
      </c>
      <c r="B33" s="42" t="s">
        <v>473</v>
      </c>
      <c r="C33" s="43" t="s">
        <v>417</v>
      </c>
      <c r="D33" s="69" t="s">
        <v>476</v>
      </c>
      <c r="E33" s="42" t="s">
        <v>477</v>
      </c>
      <c r="F33" s="43" t="s">
        <v>397</v>
      </c>
      <c r="G33" s="43" t="s">
        <v>398</v>
      </c>
      <c r="H33" s="43" t="s">
        <v>29</v>
      </c>
      <c r="I33" s="43" t="s">
        <v>399</v>
      </c>
      <c r="J33" s="42" t="s">
        <v>441</v>
      </c>
    </row>
    <row r="34" customFormat="false" ht="15" hidden="false" customHeight="false" outlineLevel="0" collapsed="false">
      <c r="A34" s="68" t="n">
        <f aca="false">IF(D34="","",ROW()-4)</f>
        <v>30</v>
      </c>
      <c r="B34" s="42" t="s">
        <v>478</v>
      </c>
      <c r="C34" s="43" t="s">
        <v>417</v>
      </c>
      <c r="D34" s="69" t="s">
        <v>479</v>
      </c>
      <c r="E34" s="42" t="s">
        <v>480</v>
      </c>
      <c r="F34" s="43" t="s">
        <v>397</v>
      </c>
      <c r="G34" s="43" t="s">
        <v>398</v>
      </c>
      <c r="H34" s="43" t="s">
        <v>29</v>
      </c>
      <c r="I34" s="43" t="s">
        <v>399</v>
      </c>
      <c r="J34" s="42" t="s">
        <v>481</v>
      </c>
    </row>
    <row r="35" customFormat="false" ht="15" hidden="false" customHeight="false" outlineLevel="0" collapsed="false">
      <c r="A35" s="68" t="n">
        <f aca="false">IF(D35="","",ROW()-4)</f>
        <v>31</v>
      </c>
      <c r="B35" s="42" t="s">
        <v>478</v>
      </c>
      <c r="C35" s="43" t="s">
        <v>417</v>
      </c>
      <c r="D35" s="69" t="s">
        <v>482</v>
      </c>
      <c r="E35" s="42" t="s">
        <v>483</v>
      </c>
      <c r="F35" s="43" t="s">
        <v>397</v>
      </c>
      <c r="G35" s="43" t="s">
        <v>398</v>
      </c>
      <c r="H35" s="43" t="s">
        <v>29</v>
      </c>
      <c r="I35" s="43" t="s">
        <v>399</v>
      </c>
      <c r="J35" s="42" t="s">
        <v>437</v>
      </c>
    </row>
    <row r="36" customFormat="false" ht="15" hidden="false" customHeight="false" outlineLevel="0" collapsed="false">
      <c r="A36" s="68" t="n">
        <f aca="false">IF(D36="","",ROW()-4)</f>
        <v>32</v>
      </c>
      <c r="B36" s="42" t="s">
        <v>478</v>
      </c>
      <c r="C36" s="43" t="s">
        <v>417</v>
      </c>
      <c r="D36" s="69" t="s">
        <v>484</v>
      </c>
      <c r="E36" s="42" t="s">
        <v>485</v>
      </c>
      <c r="F36" s="43" t="s">
        <v>409</v>
      </c>
      <c r="G36" s="43" t="s">
        <v>423</v>
      </c>
      <c r="H36" s="43" t="s">
        <v>29</v>
      </c>
      <c r="I36" s="43" t="s">
        <v>399</v>
      </c>
      <c r="J36" s="42" t="s">
        <v>437</v>
      </c>
    </row>
    <row r="37" customFormat="false" ht="15" hidden="false" customHeight="false" outlineLevel="0" collapsed="false">
      <c r="A37" s="68" t="n">
        <f aca="false">IF(D37="","",ROW()-4)</f>
        <v>33</v>
      </c>
      <c r="B37" s="42" t="s">
        <v>486</v>
      </c>
      <c r="C37" s="43" t="s">
        <v>417</v>
      </c>
      <c r="D37" s="69" t="s">
        <v>487</v>
      </c>
      <c r="E37" s="42" t="s">
        <v>488</v>
      </c>
      <c r="F37" s="43" t="s">
        <v>397</v>
      </c>
      <c r="G37" s="43" t="s">
        <v>398</v>
      </c>
      <c r="H37" s="43" t="s">
        <v>29</v>
      </c>
      <c r="I37" s="43" t="s">
        <v>399</v>
      </c>
      <c r="J37" s="42" t="s">
        <v>489</v>
      </c>
    </row>
    <row r="38" customFormat="false" ht="15" hidden="false" customHeight="false" outlineLevel="0" collapsed="false">
      <c r="A38" s="68" t="n">
        <f aca="false">IF(D38="","",ROW()-4)</f>
        <v>34</v>
      </c>
      <c r="B38" s="42" t="s">
        <v>486</v>
      </c>
      <c r="C38" s="43" t="s">
        <v>417</v>
      </c>
      <c r="D38" s="69" t="s">
        <v>490</v>
      </c>
      <c r="E38" s="42" t="s">
        <v>491</v>
      </c>
      <c r="F38" s="43" t="s">
        <v>397</v>
      </c>
      <c r="G38" s="43" t="s">
        <v>398</v>
      </c>
      <c r="H38" s="43" t="s">
        <v>29</v>
      </c>
      <c r="I38" s="43" t="s">
        <v>399</v>
      </c>
      <c r="J38" s="42" t="s">
        <v>492</v>
      </c>
    </row>
    <row r="39" customFormat="false" ht="15" hidden="false" customHeight="false" outlineLevel="0" collapsed="false">
      <c r="A39" s="68" t="n">
        <f aca="false">IF(D39="","",ROW()-4)</f>
        <v>35</v>
      </c>
      <c r="B39" s="42" t="s">
        <v>486</v>
      </c>
      <c r="C39" s="43" t="s">
        <v>394</v>
      </c>
      <c r="D39" s="69" t="s">
        <v>493</v>
      </c>
      <c r="E39" s="42" t="s">
        <v>494</v>
      </c>
      <c r="F39" s="43" t="s">
        <v>397</v>
      </c>
      <c r="G39" s="43" t="s">
        <v>398</v>
      </c>
      <c r="H39" s="43" t="s">
        <v>29</v>
      </c>
      <c r="I39" s="43" t="s">
        <v>399</v>
      </c>
      <c r="J39" s="42" t="s">
        <v>495</v>
      </c>
    </row>
    <row r="40" customFormat="false" ht="15" hidden="false" customHeight="false" outlineLevel="0" collapsed="false">
      <c r="A40" s="68" t="n">
        <f aca="false">IF(D40="","",ROW()-4)</f>
        <v>36</v>
      </c>
      <c r="B40" s="42" t="s">
        <v>496</v>
      </c>
      <c r="C40" s="43" t="s">
        <v>417</v>
      </c>
      <c r="D40" s="69" t="s">
        <v>497</v>
      </c>
      <c r="E40" s="42" t="s">
        <v>498</v>
      </c>
      <c r="F40" s="43" t="s">
        <v>409</v>
      </c>
      <c r="G40" s="43" t="s">
        <v>398</v>
      </c>
      <c r="H40" s="43" t="s">
        <v>29</v>
      </c>
      <c r="I40" s="43" t="s">
        <v>399</v>
      </c>
      <c r="J40" s="42" t="s">
        <v>437</v>
      </c>
    </row>
    <row r="41" customFormat="false" ht="15" hidden="false" customHeight="false" outlineLevel="0" collapsed="false">
      <c r="A41" s="68" t="n">
        <f aca="false">IF(D41="","",ROW()-4)</f>
        <v>37</v>
      </c>
      <c r="B41" s="42" t="s">
        <v>496</v>
      </c>
      <c r="C41" s="43" t="s">
        <v>394</v>
      </c>
      <c r="D41" s="69" t="s">
        <v>499</v>
      </c>
      <c r="E41" s="42" t="s">
        <v>500</v>
      </c>
      <c r="F41" s="43" t="s">
        <v>409</v>
      </c>
      <c r="G41" s="43" t="s">
        <v>398</v>
      </c>
      <c r="H41" s="43" t="s">
        <v>29</v>
      </c>
      <c r="I41" s="43" t="s">
        <v>399</v>
      </c>
      <c r="J41" s="42" t="s">
        <v>501</v>
      </c>
    </row>
    <row r="42" customFormat="false" ht="15" hidden="false" customHeight="false" outlineLevel="0" collapsed="false">
      <c r="A42" s="68" t="n">
        <f aca="false">IF(D42="","",ROW()-4)</f>
        <v>38</v>
      </c>
      <c r="B42" s="42" t="s">
        <v>496</v>
      </c>
      <c r="C42" s="43" t="s">
        <v>417</v>
      </c>
      <c r="D42" s="69" t="s">
        <v>502</v>
      </c>
      <c r="E42" s="42" t="s">
        <v>503</v>
      </c>
      <c r="F42" s="43" t="s">
        <v>397</v>
      </c>
      <c r="G42" s="43" t="s">
        <v>398</v>
      </c>
      <c r="H42" s="43" t="s">
        <v>29</v>
      </c>
      <c r="I42" s="43" t="s">
        <v>399</v>
      </c>
      <c r="J42" s="42" t="s">
        <v>504</v>
      </c>
    </row>
    <row r="43" customFormat="false" ht="15" hidden="false" customHeight="false" outlineLevel="0" collapsed="false">
      <c r="A43" s="68" t="n">
        <f aca="false">IF(D43="","",ROW()-4)</f>
        <v>39</v>
      </c>
      <c r="B43" s="42" t="s">
        <v>496</v>
      </c>
      <c r="C43" s="43" t="s">
        <v>425</v>
      </c>
      <c r="D43" s="69" t="s">
        <v>502</v>
      </c>
      <c r="E43" s="42" t="s">
        <v>505</v>
      </c>
      <c r="F43" s="43" t="s">
        <v>409</v>
      </c>
      <c r="G43" s="43" t="s">
        <v>398</v>
      </c>
      <c r="H43" s="43" t="s">
        <v>29</v>
      </c>
      <c r="I43" s="43" t="s">
        <v>399</v>
      </c>
      <c r="J43" s="42" t="s">
        <v>506</v>
      </c>
    </row>
    <row r="44" customFormat="false" ht="15" hidden="false" customHeight="false" outlineLevel="0" collapsed="false">
      <c r="A44" s="68" t="n">
        <f aca="false">IF(D44="","",ROW()-4)</f>
        <v>40</v>
      </c>
      <c r="B44" s="42" t="s">
        <v>496</v>
      </c>
      <c r="C44" s="43" t="s">
        <v>471</v>
      </c>
      <c r="D44" s="69" t="s">
        <v>502</v>
      </c>
      <c r="E44" s="42" t="s">
        <v>507</v>
      </c>
      <c r="F44" s="43" t="s">
        <v>409</v>
      </c>
      <c r="G44" s="43" t="s">
        <v>398</v>
      </c>
      <c r="H44" s="43" t="s">
        <v>29</v>
      </c>
      <c r="I44" s="43" t="s">
        <v>399</v>
      </c>
      <c r="J44" s="42" t="s">
        <v>508</v>
      </c>
    </row>
    <row r="45" customFormat="false" ht="15" hidden="false" customHeight="false" outlineLevel="0" collapsed="false">
      <c r="A45" s="68" t="n">
        <f aca="false">IF(D45="","",ROW()-4)</f>
        <v>41</v>
      </c>
      <c r="B45" s="42" t="s">
        <v>496</v>
      </c>
      <c r="C45" s="43" t="s">
        <v>394</v>
      </c>
      <c r="D45" s="69" t="s">
        <v>509</v>
      </c>
      <c r="E45" s="42" t="s">
        <v>510</v>
      </c>
      <c r="F45" s="43" t="s">
        <v>409</v>
      </c>
      <c r="G45" s="43" t="s">
        <v>398</v>
      </c>
      <c r="H45" s="43" t="s">
        <v>29</v>
      </c>
      <c r="I45" s="43" t="s">
        <v>399</v>
      </c>
      <c r="J45" s="42" t="s">
        <v>511</v>
      </c>
    </row>
    <row r="46" customFormat="false" ht="15" hidden="false" customHeight="false" outlineLevel="0" collapsed="false">
      <c r="A46" s="68" t="n">
        <f aca="false">IF(D46="","",ROW()-4)</f>
        <v>42</v>
      </c>
      <c r="B46" s="42" t="s">
        <v>496</v>
      </c>
      <c r="C46" s="43" t="s">
        <v>471</v>
      </c>
      <c r="D46" s="69" t="s">
        <v>512</v>
      </c>
      <c r="E46" s="42" t="s">
        <v>513</v>
      </c>
      <c r="F46" s="43" t="s">
        <v>409</v>
      </c>
      <c r="G46" s="43" t="s">
        <v>398</v>
      </c>
      <c r="H46" s="43" t="s">
        <v>29</v>
      </c>
      <c r="I46" s="43" t="s">
        <v>399</v>
      </c>
      <c r="J46" s="42" t="s">
        <v>410</v>
      </c>
    </row>
    <row r="47" customFormat="false" ht="15" hidden="false" customHeight="false" outlineLevel="0" collapsed="false">
      <c r="A47" s="68" t="n">
        <f aca="false">IF(D47="","",ROW()-4)</f>
        <v>43</v>
      </c>
      <c r="B47" s="42" t="s">
        <v>496</v>
      </c>
      <c r="C47" s="43" t="s">
        <v>425</v>
      </c>
      <c r="D47" s="69" t="s">
        <v>514</v>
      </c>
      <c r="E47" s="42" t="s">
        <v>515</v>
      </c>
      <c r="F47" s="43" t="s">
        <v>409</v>
      </c>
      <c r="G47" s="43" t="s">
        <v>398</v>
      </c>
      <c r="H47" s="43" t="s">
        <v>29</v>
      </c>
      <c r="I47" s="43" t="s">
        <v>399</v>
      </c>
      <c r="J47" s="42" t="s">
        <v>437</v>
      </c>
    </row>
    <row r="48" customFormat="false" ht="15" hidden="false" customHeight="false" outlineLevel="0" collapsed="false">
      <c r="A48" s="68" t="n">
        <f aca="false">IF(D48="","",ROW()-4)</f>
        <v>44</v>
      </c>
      <c r="B48" s="42" t="s">
        <v>496</v>
      </c>
      <c r="C48" s="43" t="s">
        <v>425</v>
      </c>
      <c r="D48" s="69" t="s">
        <v>516</v>
      </c>
      <c r="E48" s="42" t="s">
        <v>517</v>
      </c>
      <c r="F48" s="43" t="s">
        <v>409</v>
      </c>
      <c r="G48" s="43" t="s">
        <v>398</v>
      </c>
      <c r="H48" s="43" t="s">
        <v>29</v>
      </c>
      <c r="I48" s="43" t="s">
        <v>399</v>
      </c>
      <c r="J48" s="42" t="s">
        <v>518</v>
      </c>
    </row>
    <row r="49" customFormat="false" ht="15" hidden="false" customHeight="false" outlineLevel="0" collapsed="false">
      <c r="A49" s="68" t="n">
        <f aca="false">IF(D49="","",ROW()-4)</f>
        <v>45</v>
      </c>
      <c r="B49" s="42" t="s">
        <v>496</v>
      </c>
      <c r="C49" s="43" t="s">
        <v>417</v>
      </c>
      <c r="D49" s="69" t="s">
        <v>519</v>
      </c>
      <c r="E49" s="42" t="s">
        <v>520</v>
      </c>
      <c r="F49" s="43" t="s">
        <v>397</v>
      </c>
      <c r="G49" s="43" t="s">
        <v>398</v>
      </c>
      <c r="H49" s="43" t="s">
        <v>29</v>
      </c>
      <c r="I49" s="43" t="s">
        <v>399</v>
      </c>
      <c r="J49" s="42" t="s">
        <v>437</v>
      </c>
    </row>
    <row r="50" customFormat="false" ht="15" hidden="false" customHeight="false" outlineLevel="0" collapsed="false">
      <c r="A50" s="68" t="n">
        <f aca="false">IF(D50="","",ROW()-4)</f>
        <v>46</v>
      </c>
      <c r="B50" s="42" t="s">
        <v>521</v>
      </c>
      <c r="C50" s="43" t="s">
        <v>417</v>
      </c>
      <c r="D50" s="69" t="s">
        <v>522</v>
      </c>
      <c r="E50" s="42" t="s">
        <v>523</v>
      </c>
      <c r="F50" s="43" t="s">
        <v>409</v>
      </c>
      <c r="G50" s="43" t="s">
        <v>398</v>
      </c>
      <c r="H50" s="43" t="s">
        <v>29</v>
      </c>
      <c r="I50" s="43" t="s">
        <v>399</v>
      </c>
      <c r="J50" s="42" t="s">
        <v>437</v>
      </c>
    </row>
    <row r="51" customFormat="false" ht="15" hidden="false" customHeight="false" outlineLevel="0" collapsed="false">
      <c r="A51" s="68" t="n">
        <f aca="false">IF(D51="","",ROW()-4)</f>
        <v>47</v>
      </c>
      <c r="B51" s="42" t="s">
        <v>521</v>
      </c>
      <c r="C51" s="43" t="s">
        <v>394</v>
      </c>
      <c r="D51" s="69" t="s">
        <v>524</v>
      </c>
      <c r="E51" s="42" t="s">
        <v>525</v>
      </c>
      <c r="F51" s="43" t="s">
        <v>409</v>
      </c>
      <c r="G51" s="43" t="s">
        <v>398</v>
      </c>
      <c r="H51" s="43" t="s">
        <v>29</v>
      </c>
      <c r="I51" s="43" t="s">
        <v>399</v>
      </c>
      <c r="J51" s="42" t="s">
        <v>526</v>
      </c>
    </row>
    <row r="52" customFormat="false" ht="15" hidden="false" customHeight="false" outlineLevel="0" collapsed="false">
      <c r="A52" s="68" t="n">
        <f aca="false">IF(D52="","",ROW()-4)</f>
        <v>48</v>
      </c>
      <c r="B52" s="42" t="s">
        <v>521</v>
      </c>
      <c r="C52" s="43" t="s">
        <v>471</v>
      </c>
      <c r="D52" s="69" t="s">
        <v>524</v>
      </c>
      <c r="E52" s="42" t="s">
        <v>527</v>
      </c>
      <c r="F52" s="43" t="s">
        <v>409</v>
      </c>
      <c r="G52" s="43" t="s">
        <v>398</v>
      </c>
      <c r="H52" s="43" t="s">
        <v>29</v>
      </c>
      <c r="I52" s="43" t="s">
        <v>399</v>
      </c>
      <c r="J52" s="42" t="s">
        <v>410</v>
      </c>
    </row>
    <row r="53" customFormat="false" ht="15" hidden="false" customHeight="false" outlineLevel="0" collapsed="false">
      <c r="A53" s="68" t="n">
        <f aca="false">IF(D53="","",ROW()-4)</f>
        <v>49</v>
      </c>
      <c r="B53" s="42" t="s">
        <v>521</v>
      </c>
      <c r="C53" s="43" t="s">
        <v>417</v>
      </c>
      <c r="D53" s="69" t="s">
        <v>528</v>
      </c>
      <c r="E53" s="42" t="s">
        <v>529</v>
      </c>
      <c r="F53" s="43" t="s">
        <v>409</v>
      </c>
      <c r="G53" s="43" t="s">
        <v>398</v>
      </c>
      <c r="H53" s="43" t="s">
        <v>29</v>
      </c>
      <c r="I53" s="43" t="s">
        <v>399</v>
      </c>
      <c r="J53" s="42" t="s">
        <v>437</v>
      </c>
    </row>
    <row r="54" customFormat="false" ht="15" hidden="false" customHeight="false" outlineLevel="0" collapsed="false">
      <c r="A54" s="68" t="n">
        <f aca="false">IF(D54="","",ROW()-4)</f>
        <v>50</v>
      </c>
      <c r="B54" s="42" t="s">
        <v>521</v>
      </c>
      <c r="C54" s="43" t="s">
        <v>394</v>
      </c>
      <c r="D54" s="69" t="s">
        <v>530</v>
      </c>
      <c r="E54" s="42" t="s">
        <v>531</v>
      </c>
      <c r="F54" s="43" t="s">
        <v>409</v>
      </c>
      <c r="G54" s="43" t="s">
        <v>398</v>
      </c>
      <c r="H54" s="43" t="s">
        <v>29</v>
      </c>
      <c r="I54" s="43" t="s">
        <v>399</v>
      </c>
      <c r="J54" s="42" t="s">
        <v>532</v>
      </c>
    </row>
    <row r="55" customFormat="false" ht="15" hidden="false" customHeight="false" outlineLevel="0" collapsed="false">
      <c r="A55" s="68" t="n">
        <f aca="false">IF(D55="","",ROW()-4)</f>
        <v>51</v>
      </c>
      <c r="B55" s="42" t="s">
        <v>521</v>
      </c>
      <c r="C55" s="43" t="s">
        <v>471</v>
      </c>
      <c r="D55" s="69" t="s">
        <v>530</v>
      </c>
      <c r="E55" s="42" t="s">
        <v>533</v>
      </c>
      <c r="F55" s="43" t="s">
        <v>409</v>
      </c>
      <c r="G55" s="43" t="s">
        <v>398</v>
      </c>
      <c r="H55" s="43" t="s">
        <v>29</v>
      </c>
      <c r="I55" s="43" t="s">
        <v>399</v>
      </c>
      <c r="J55" s="42" t="s">
        <v>410</v>
      </c>
    </row>
    <row r="56" customFormat="false" ht="15" hidden="false" customHeight="false" outlineLevel="0" collapsed="false">
      <c r="A56" s="68" t="n">
        <f aca="false">IF(D56="","",ROW()-4)</f>
        <v>52</v>
      </c>
      <c r="B56" s="42" t="s">
        <v>521</v>
      </c>
      <c r="C56" s="43" t="s">
        <v>417</v>
      </c>
      <c r="D56" s="69" t="s">
        <v>534</v>
      </c>
      <c r="E56" s="42" t="s">
        <v>535</v>
      </c>
      <c r="F56" s="43" t="s">
        <v>409</v>
      </c>
      <c r="G56" s="43" t="s">
        <v>398</v>
      </c>
      <c r="H56" s="43" t="s">
        <v>29</v>
      </c>
      <c r="I56" s="43" t="s">
        <v>399</v>
      </c>
      <c r="J56" s="42" t="s">
        <v>437</v>
      </c>
    </row>
    <row r="57" customFormat="false" ht="15" hidden="false" customHeight="false" outlineLevel="0" collapsed="false">
      <c r="A57" s="68" t="n">
        <f aca="false">IF(D57="","",ROW()-4)</f>
        <v>53</v>
      </c>
      <c r="B57" s="42" t="s">
        <v>521</v>
      </c>
      <c r="C57" s="43" t="s">
        <v>417</v>
      </c>
      <c r="D57" s="69" t="s">
        <v>536</v>
      </c>
      <c r="E57" s="42" t="s">
        <v>537</v>
      </c>
      <c r="F57" s="43" t="s">
        <v>409</v>
      </c>
      <c r="G57" s="43" t="s">
        <v>398</v>
      </c>
      <c r="H57" s="43" t="s">
        <v>29</v>
      </c>
      <c r="I57" s="43" t="s">
        <v>399</v>
      </c>
      <c r="J57" s="42" t="s">
        <v>437</v>
      </c>
    </row>
    <row r="58" customFormat="false" ht="15" hidden="false" customHeight="false" outlineLevel="0" collapsed="false">
      <c r="A58" s="68" t="n">
        <f aca="false">IF(D58="","",ROW()-4)</f>
        <v>54</v>
      </c>
      <c r="B58" s="42" t="s">
        <v>521</v>
      </c>
      <c r="C58" s="43" t="s">
        <v>471</v>
      </c>
      <c r="D58" s="69" t="s">
        <v>536</v>
      </c>
      <c r="E58" s="42" t="s">
        <v>538</v>
      </c>
      <c r="F58" s="43" t="s">
        <v>409</v>
      </c>
      <c r="G58" s="43" t="s">
        <v>398</v>
      </c>
      <c r="H58" s="43" t="s">
        <v>29</v>
      </c>
      <c r="I58" s="43" t="s">
        <v>399</v>
      </c>
      <c r="J58" s="42" t="s">
        <v>410</v>
      </c>
    </row>
    <row r="59" customFormat="false" ht="15" hidden="false" customHeight="false" outlineLevel="0" collapsed="false">
      <c r="A59" s="68" t="n">
        <f aca="false">IF(D59="","",ROW()-4)</f>
        <v>55</v>
      </c>
      <c r="B59" s="42" t="s">
        <v>539</v>
      </c>
      <c r="C59" s="43" t="s">
        <v>417</v>
      </c>
      <c r="D59" s="69" t="s">
        <v>540</v>
      </c>
      <c r="E59" s="42" t="s">
        <v>541</v>
      </c>
      <c r="F59" s="43" t="s">
        <v>409</v>
      </c>
      <c r="G59" s="43" t="s">
        <v>398</v>
      </c>
      <c r="H59" s="43" t="s">
        <v>29</v>
      </c>
      <c r="I59" s="43" t="s">
        <v>399</v>
      </c>
      <c r="J59" s="42" t="s">
        <v>437</v>
      </c>
    </row>
    <row r="60" customFormat="false" ht="15" hidden="false" customHeight="false" outlineLevel="0" collapsed="false">
      <c r="A60" s="68" t="n">
        <f aca="false">IF(D60="","",ROW()-4)</f>
        <v>56</v>
      </c>
      <c r="B60" s="42" t="s">
        <v>539</v>
      </c>
      <c r="C60" s="43" t="s">
        <v>394</v>
      </c>
      <c r="D60" s="69" t="s">
        <v>542</v>
      </c>
      <c r="E60" s="42" t="s">
        <v>543</v>
      </c>
      <c r="F60" s="43" t="s">
        <v>409</v>
      </c>
      <c r="G60" s="43" t="s">
        <v>398</v>
      </c>
      <c r="H60" s="43" t="s">
        <v>29</v>
      </c>
      <c r="I60" s="43" t="s">
        <v>399</v>
      </c>
      <c r="J60" s="42" t="s">
        <v>544</v>
      </c>
    </row>
    <row r="61" customFormat="false" ht="15" hidden="false" customHeight="false" outlineLevel="0" collapsed="false">
      <c r="A61" s="68" t="n">
        <f aca="false">IF(D61="","",ROW()-4)</f>
        <v>57</v>
      </c>
      <c r="B61" s="42" t="s">
        <v>539</v>
      </c>
      <c r="C61" s="43" t="s">
        <v>471</v>
      </c>
      <c r="D61" s="69" t="s">
        <v>542</v>
      </c>
      <c r="E61" s="42" t="s">
        <v>545</v>
      </c>
      <c r="F61" s="43" t="s">
        <v>409</v>
      </c>
      <c r="G61" s="43" t="s">
        <v>398</v>
      </c>
      <c r="H61" s="43" t="s">
        <v>29</v>
      </c>
      <c r="I61" s="43" t="s">
        <v>399</v>
      </c>
      <c r="J61" s="42" t="s">
        <v>410</v>
      </c>
    </row>
    <row r="62" customFormat="false" ht="15" hidden="false" customHeight="false" outlineLevel="0" collapsed="false">
      <c r="A62" s="68" t="n">
        <f aca="false">IF(D62="","",ROW()-4)</f>
        <v>58</v>
      </c>
      <c r="B62" s="42" t="s">
        <v>546</v>
      </c>
      <c r="C62" s="43" t="s">
        <v>417</v>
      </c>
      <c r="D62" s="69" t="s">
        <v>547</v>
      </c>
      <c r="E62" s="42" t="s">
        <v>548</v>
      </c>
      <c r="F62" s="43" t="s">
        <v>397</v>
      </c>
      <c r="G62" s="43" t="s">
        <v>398</v>
      </c>
      <c r="H62" s="43" t="s">
        <v>29</v>
      </c>
      <c r="I62" s="43" t="s">
        <v>399</v>
      </c>
      <c r="J62" s="42" t="s">
        <v>549</v>
      </c>
    </row>
    <row r="63" customFormat="false" ht="15" hidden="false" customHeight="false" outlineLevel="0" collapsed="false">
      <c r="A63" s="68" t="n">
        <f aca="false">IF(D63="","",ROW()-4)</f>
        <v>59</v>
      </c>
      <c r="B63" s="42" t="s">
        <v>546</v>
      </c>
      <c r="C63" s="43" t="s">
        <v>425</v>
      </c>
      <c r="D63" s="69" t="s">
        <v>547</v>
      </c>
      <c r="E63" s="42" t="s">
        <v>550</v>
      </c>
      <c r="F63" s="43" t="s">
        <v>551</v>
      </c>
      <c r="G63" s="43" t="s">
        <v>398</v>
      </c>
      <c r="H63" s="43" t="s">
        <v>29</v>
      </c>
      <c r="I63" s="43" t="s">
        <v>399</v>
      </c>
      <c r="J63" s="42" t="s">
        <v>552</v>
      </c>
    </row>
    <row r="64" customFormat="false" ht="15" hidden="false" customHeight="false" outlineLevel="0" collapsed="false">
      <c r="A64" s="68" t="n">
        <f aca="false">IF(D64="","",ROW()-4)</f>
        <v>60</v>
      </c>
      <c r="B64" s="42" t="s">
        <v>553</v>
      </c>
      <c r="C64" s="43" t="s">
        <v>417</v>
      </c>
      <c r="D64" s="69" t="s">
        <v>554</v>
      </c>
      <c r="E64" s="42" t="s">
        <v>555</v>
      </c>
      <c r="F64" s="43" t="s">
        <v>556</v>
      </c>
      <c r="G64" s="43" t="s">
        <v>398</v>
      </c>
      <c r="H64" s="43" t="s">
        <v>29</v>
      </c>
      <c r="I64" s="43" t="s">
        <v>399</v>
      </c>
      <c r="J64" s="42" t="s">
        <v>437</v>
      </c>
    </row>
    <row r="65" customFormat="false" ht="15" hidden="false" customHeight="false" outlineLevel="0" collapsed="false">
      <c r="A65" s="68" t="n">
        <f aca="false">IF(D65="","",ROW()-4)</f>
        <v>61</v>
      </c>
      <c r="B65" s="42" t="s">
        <v>553</v>
      </c>
      <c r="C65" s="43" t="s">
        <v>394</v>
      </c>
      <c r="D65" s="69" t="s">
        <v>554</v>
      </c>
      <c r="E65" s="42" t="s">
        <v>557</v>
      </c>
      <c r="F65" s="43" t="s">
        <v>556</v>
      </c>
      <c r="G65" s="43" t="s">
        <v>398</v>
      </c>
      <c r="H65" s="43" t="s">
        <v>29</v>
      </c>
      <c r="I65" s="43" t="s">
        <v>399</v>
      </c>
      <c r="J65" s="42" t="s">
        <v>558</v>
      </c>
    </row>
    <row r="66" customFormat="false" ht="15" hidden="false" customHeight="false" outlineLevel="0" collapsed="false">
      <c r="A66" s="68" t="n">
        <f aca="false">IF(D66="","",ROW()-4)</f>
        <v>62</v>
      </c>
      <c r="B66" s="42" t="s">
        <v>553</v>
      </c>
      <c r="C66" s="43" t="s">
        <v>425</v>
      </c>
      <c r="D66" s="69" t="s">
        <v>559</v>
      </c>
      <c r="E66" s="42" t="s">
        <v>560</v>
      </c>
      <c r="F66" s="43" t="s">
        <v>556</v>
      </c>
      <c r="G66" s="43" t="s">
        <v>398</v>
      </c>
      <c r="H66" s="43" t="s">
        <v>29</v>
      </c>
      <c r="I66" s="43" t="s">
        <v>399</v>
      </c>
      <c r="J66" s="42" t="s">
        <v>561</v>
      </c>
    </row>
    <row r="67" customFormat="false" ht="15" hidden="false" customHeight="false" outlineLevel="0" collapsed="false">
      <c r="A67" s="68" t="n">
        <f aca="false">IF(D67="","",ROW()-4)</f>
        <v>63</v>
      </c>
      <c r="B67" s="42" t="s">
        <v>553</v>
      </c>
      <c r="C67" s="43" t="s">
        <v>471</v>
      </c>
      <c r="D67" s="69" t="s">
        <v>559</v>
      </c>
      <c r="E67" s="42" t="s">
        <v>562</v>
      </c>
      <c r="F67" s="43" t="s">
        <v>556</v>
      </c>
      <c r="G67" s="43" t="s">
        <v>398</v>
      </c>
      <c r="H67" s="43" t="s">
        <v>29</v>
      </c>
      <c r="I67" s="43" t="s">
        <v>399</v>
      </c>
      <c r="J67" s="42" t="s">
        <v>508</v>
      </c>
    </row>
    <row r="68" customFormat="false" ht="15" hidden="false" customHeight="false" outlineLevel="0" collapsed="false">
      <c r="A68" s="68" t="n">
        <f aca="false">IF(D68="","",ROW()-4)</f>
        <v>64</v>
      </c>
      <c r="B68" s="42" t="s">
        <v>553</v>
      </c>
      <c r="C68" s="43" t="s">
        <v>394</v>
      </c>
      <c r="D68" s="69" t="s">
        <v>563</v>
      </c>
      <c r="E68" s="42" t="s">
        <v>564</v>
      </c>
      <c r="F68" s="43" t="s">
        <v>556</v>
      </c>
      <c r="G68" s="43" t="s">
        <v>398</v>
      </c>
      <c r="H68" s="43" t="s">
        <v>29</v>
      </c>
      <c r="I68" s="43" t="s">
        <v>399</v>
      </c>
      <c r="J68" s="42" t="s">
        <v>532</v>
      </c>
    </row>
    <row r="69" customFormat="false" ht="15" hidden="false" customHeight="false" outlineLevel="0" collapsed="false">
      <c r="A69" s="68" t="n">
        <f aca="false">IF(D69="","",ROW()-4)</f>
        <v>65</v>
      </c>
      <c r="B69" s="42" t="s">
        <v>553</v>
      </c>
      <c r="C69" s="43" t="s">
        <v>417</v>
      </c>
      <c r="D69" s="69" t="s">
        <v>565</v>
      </c>
      <c r="E69" s="42" t="s">
        <v>566</v>
      </c>
      <c r="F69" s="43" t="s">
        <v>556</v>
      </c>
      <c r="G69" s="43" t="s">
        <v>423</v>
      </c>
      <c r="H69" s="43" t="s">
        <v>29</v>
      </c>
      <c r="I69" s="43" t="s">
        <v>399</v>
      </c>
      <c r="J69" s="42" t="s">
        <v>437</v>
      </c>
    </row>
    <row r="70" customFormat="false" ht="23.85" hidden="false" customHeight="false" outlineLevel="0" collapsed="false">
      <c r="A70" s="68" t="n">
        <f aca="false">IF(D70="","",ROW()-4)</f>
        <v>66</v>
      </c>
      <c r="B70" s="42" t="s">
        <v>567</v>
      </c>
      <c r="C70" s="43" t="s">
        <v>417</v>
      </c>
      <c r="D70" s="69" t="s">
        <v>568</v>
      </c>
      <c r="E70" s="42" t="s">
        <v>569</v>
      </c>
      <c r="F70" s="43" t="s">
        <v>570</v>
      </c>
      <c r="G70" s="43" t="s">
        <v>398</v>
      </c>
      <c r="H70" s="43" t="s">
        <v>29</v>
      </c>
      <c r="I70" s="43" t="s">
        <v>399</v>
      </c>
      <c r="J70" s="42" t="s">
        <v>437</v>
      </c>
    </row>
    <row r="71" customFormat="false" ht="15" hidden="false" customHeight="false" outlineLevel="0" collapsed="false">
      <c r="A71" s="68" t="n">
        <f aca="false">IF(D71="","",ROW()-4)</f>
        <v>67</v>
      </c>
      <c r="B71" s="42" t="s">
        <v>567</v>
      </c>
      <c r="C71" s="43" t="s">
        <v>394</v>
      </c>
      <c r="D71" s="69" t="s">
        <v>571</v>
      </c>
      <c r="E71" s="42" t="s">
        <v>572</v>
      </c>
      <c r="F71" s="43" t="s">
        <v>570</v>
      </c>
      <c r="G71" s="43" t="s">
        <v>398</v>
      </c>
      <c r="H71" s="43" t="s">
        <v>29</v>
      </c>
      <c r="I71" s="43" t="s">
        <v>399</v>
      </c>
      <c r="J71" s="42" t="s">
        <v>532</v>
      </c>
    </row>
    <row r="72" customFormat="false" ht="15" hidden="false" customHeight="false" outlineLevel="0" collapsed="false">
      <c r="A72" s="68" t="n">
        <f aca="false">IF(D72="","",ROW()-4)</f>
        <v>68</v>
      </c>
      <c r="B72" s="42" t="s">
        <v>567</v>
      </c>
      <c r="C72" s="43" t="s">
        <v>425</v>
      </c>
      <c r="D72" s="69" t="s">
        <v>573</v>
      </c>
      <c r="E72" s="42" t="s">
        <v>574</v>
      </c>
      <c r="F72" s="43" t="s">
        <v>570</v>
      </c>
      <c r="G72" s="43" t="s">
        <v>398</v>
      </c>
      <c r="H72" s="43" t="s">
        <v>29</v>
      </c>
      <c r="I72" s="43" t="s">
        <v>399</v>
      </c>
      <c r="J72" s="42" t="s">
        <v>437</v>
      </c>
    </row>
    <row r="73" customFormat="false" ht="15" hidden="false" customHeight="false" outlineLevel="0" collapsed="false">
      <c r="A73" s="68" t="n">
        <f aca="false">IF(D73="","",ROW()-4)</f>
        <v>69</v>
      </c>
      <c r="B73" s="42" t="s">
        <v>567</v>
      </c>
      <c r="C73" s="43" t="s">
        <v>575</v>
      </c>
      <c r="D73" s="69" t="s">
        <v>576</v>
      </c>
      <c r="E73" s="42" t="s">
        <v>577</v>
      </c>
      <c r="F73" s="43" t="s">
        <v>570</v>
      </c>
      <c r="G73" s="43" t="s">
        <v>398</v>
      </c>
      <c r="H73" s="43" t="s">
        <v>29</v>
      </c>
      <c r="I73" s="43" t="s">
        <v>399</v>
      </c>
      <c r="J73" s="42" t="s">
        <v>578</v>
      </c>
    </row>
    <row r="74" customFormat="false" ht="15" hidden="false" customHeight="false" outlineLevel="0" collapsed="false">
      <c r="A74" s="68" t="n">
        <f aca="false">IF(D74="","",ROW()-4)</f>
        <v>70</v>
      </c>
      <c r="B74" s="42" t="s">
        <v>567</v>
      </c>
      <c r="C74" s="43" t="s">
        <v>471</v>
      </c>
      <c r="D74" s="69" t="s">
        <v>573</v>
      </c>
      <c r="E74" s="42" t="s">
        <v>579</v>
      </c>
      <c r="F74" s="43" t="s">
        <v>570</v>
      </c>
      <c r="G74" s="43" t="s">
        <v>398</v>
      </c>
      <c r="H74" s="43" t="s">
        <v>29</v>
      </c>
      <c r="I74" s="43" t="s">
        <v>399</v>
      </c>
      <c r="J74" s="42" t="s">
        <v>410</v>
      </c>
    </row>
    <row r="75" customFormat="false" ht="15" hidden="false" customHeight="false" outlineLevel="0" collapsed="false">
      <c r="A75" s="68" t="n">
        <f aca="false">IF(D75="","",ROW()-4)</f>
        <v>71</v>
      </c>
      <c r="B75" s="42" t="s">
        <v>567</v>
      </c>
      <c r="C75" s="43" t="s">
        <v>394</v>
      </c>
      <c r="D75" s="69" t="s">
        <v>580</v>
      </c>
      <c r="E75" s="42" t="s">
        <v>581</v>
      </c>
      <c r="F75" s="43" t="s">
        <v>570</v>
      </c>
      <c r="G75" s="43" t="s">
        <v>398</v>
      </c>
      <c r="H75" s="43" t="s">
        <v>29</v>
      </c>
      <c r="I75" s="43" t="s">
        <v>399</v>
      </c>
      <c r="J75" s="42" t="s">
        <v>532</v>
      </c>
    </row>
    <row r="76" customFormat="false" ht="15" hidden="false" customHeight="false" outlineLevel="0" collapsed="false">
      <c r="A76" s="68" t="n">
        <f aca="false">IF(D76="","",ROW()-4)</f>
        <v>72</v>
      </c>
      <c r="B76" s="42" t="s">
        <v>567</v>
      </c>
      <c r="C76" s="43" t="s">
        <v>425</v>
      </c>
      <c r="D76" s="69" t="s">
        <v>582</v>
      </c>
      <c r="E76" s="42" t="s">
        <v>583</v>
      </c>
      <c r="F76" s="43" t="s">
        <v>570</v>
      </c>
      <c r="G76" s="43" t="s">
        <v>398</v>
      </c>
      <c r="H76" s="43" t="s">
        <v>29</v>
      </c>
      <c r="I76" s="43" t="s">
        <v>399</v>
      </c>
      <c r="J76" s="42" t="s">
        <v>437</v>
      </c>
    </row>
    <row r="77" customFormat="false" ht="15" hidden="false" customHeight="false" outlineLevel="0" collapsed="false">
      <c r="A77" s="68" t="n">
        <f aca="false">IF(D77="","",ROW()-4)</f>
        <v>73</v>
      </c>
      <c r="B77" s="42" t="s">
        <v>567</v>
      </c>
      <c r="C77" s="43" t="s">
        <v>394</v>
      </c>
      <c r="D77" s="69" t="s">
        <v>584</v>
      </c>
      <c r="E77" s="42" t="s">
        <v>564</v>
      </c>
      <c r="F77" s="43" t="s">
        <v>570</v>
      </c>
      <c r="G77" s="43" t="s">
        <v>398</v>
      </c>
      <c r="H77" s="43" t="s">
        <v>29</v>
      </c>
      <c r="I77" s="43" t="s">
        <v>399</v>
      </c>
      <c r="J77" s="42" t="s">
        <v>532</v>
      </c>
    </row>
    <row r="78" customFormat="false" ht="15" hidden="false" customHeight="false" outlineLevel="0" collapsed="false">
      <c r="A78" s="68" t="n">
        <f aca="false">IF(D78="","",ROW()-4)</f>
        <v>74</v>
      </c>
      <c r="B78" s="42" t="s">
        <v>567</v>
      </c>
      <c r="C78" s="43" t="s">
        <v>425</v>
      </c>
      <c r="D78" s="69" t="s">
        <v>585</v>
      </c>
      <c r="E78" s="42" t="s">
        <v>586</v>
      </c>
      <c r="F78" s="43" t="s">
        <v>570</v>
      </c>
      <c r="G78" s="43" t="s">
        <v>398</v>
      </c>
      <c r="H78" s="43" t="s">
        <v>29</v>
      </c>
      <c r="I78" s="43" t="s">
        <v>399</v>
      </c>
      <c r="J78" s="42" t="s">
        <v>437</v>
      </c>
    </row>
    <row r="79" customFormat="false" ht="15" hidden="false" customHeight="false" outlineLevel="0" collapsed="false">
      <c r="A79" s="68" t="n">
        <f aca="false">IF(D79="","",ROW()-4)</f>
        <v>75</v>
      </c>
      <c r="B79" s="42" t="s">
        <v>567</v>
      </c>
      <c r="C79" s="43" t="s">
        <v>394</v>
      </c>
      <c r="D79" s="69" t="s">
        <v>587</v>
      </c>
      <c r="E79" s="42" t="s">
        <v>588</v>
      </c>
      <c r="F79" s="43" t="s">
        <v>570</v>
      </c>
      <c r="G79" s="43" t="s">
        <v>398</v>
      </c>
      <c r="H79" s="43" t="s">
        <v>29</v>
      </c>
      <c r="I79" s="43" t="s">
        <v>399</v>
      </c>
      <c r="J79" s="42" t="s">
        <v>589</v>
      </c>
    </row>
    <row r="80" customFormat="false" ht="15" hidden="false" customHeight="false" outlineLevel="0" collapsed="false">
      <c r="A80" s="68" t="n">
        <f aca="false">IF(D80="","",ROW()-4)</f>
        <v>76</v>
      </c>
      <c r="B80" s="42" t="s">
        <v>567</v>
      </c>
      <c r="C80" s="43" t="s">
        <v>417</v>
      </c>
      <c r="D80" s="69" t="s">
        <v>590</v>
      </c>
      <c r="E80" s="42" t="s">
        <v>591</v>
      </c>
      <c r="F80" s="43" t="s">
        <v>570</v>
      </c>
      <c r="G80" s="43" t="s">
        <v>398</v>
      </c>
      <c r="H80" s="43" t="s">
        <v>29</v>
      </c>
      <c r="I80" s="43" t="s">
        <v>399</v>
      </c>
      <c r="J80" s="42" t="s">
        <v>437</v>
      </c>
    </row>
    <row r="81" customFormat="false" ht="15" hidden="false" customHeight="false" outlineLevel="0" collapsed="false">
      <c r="A81" s="68" t="n">
        <f aca="false">IF(D81="","",ROW()-4)</f>
        <v>77</v>
      </c>
      <c r="B81" s="42" t="s">
        <v>567</v>
      </c>
      <c r="C81" s="43" t="s">
        <v>575</v>
      </c>
      <c r="D81" s="69" t="s">
        <v>592</v>
      </c>
      <c r="E81" s="42" t="s">
        <v>593</v>
      </c>
      <c r="F81" s="43" t="s">
        <v>570</v>
      </c>
      <c r="G81" s="43" t="s">
        <v>398</v>
      </c>
      <c r="H81" s="43" t="s">
        <v>29</v>
      </c>
      <c r="I81" s="43" t="s">
        <v>399</v>
      </c>
      <c r="J81" s="42" t="s">
        <v>437</v>
      </c>
    </row>
    <row r="82" customFormat="false" ht="15" hidden="false" customHeight="false" outlineLevel="0" collapsed="false">
      <c r="A82" s="68" t="n">
        <f aca="false">IF(D82="","",ROW()-4)</f>
        <v>78</v>
      </c>
      <c r="B82" s="42" t="s">
        <v>567</v>
      </c>
      <c r="C82" s="43" t="s">
        <v>575</v>
      </c>
      <c r="D82" s="69" t="s">
        <v>594</v>
      </c>
      <c r="E82" s="42" t="s">
        <v>595</v>
      </c>
      <c r="F82" s="43" t="s">
        <v>570</v>
      </c>
      <c r="G82" s="43" t="s">
        <v>398</v>
      </c>
      <c r="H82" s="43" t="s">
        <v>29</v>
      </c>
      <c r="I82" s="43" t="s">
        <v>399</v>
      </c>
      <c r="J82" s="42" t="s">
        <v>437</v>
      </c>
    </row>
    <row r="83" customFormat="false" ht="15" hidden="false" customHeight="false" outlineLevel="0" collapsed="false">
      <c r="A83" s="68" t="n">
        <f aca="false">IF(D83="","",ROW()-4)</f>
        <v>79</v>
      </c>
      <c r="B83" s="42" t="s">
        <v>567</v>
      </c>
      <c r="C83" s="43" t="s">
        <v>394</v>
      </c>
      <c r="D83" s="69" t="s">
        <v>596</v>
      </c>
      <c r="E83" s="42" t="s">
        <v>597</v>
      </c>
      <c r="F83" s="43" t="s">
        <v>570</v>
      </c>
      <c r="G83" s="43" t="s">
        <v>398</v>
      </c>
      <c r="H83" s="43" t="s">
        <v>29</v>
      </c>
      <c r="I83" s="43" t="s">
        <v>399</v>
      </c>
      <c r="J83" s="42" t="s">
        <v>532</v>
      </c>
    </row>
    <row r="84" customFormat="false" ht="15" hidden="false" customHeight="false" outlineLevel="0" collapsed="false">
      <c r="A84" s="68" t="n">
        <f aca="false">IF(D84="","",ROW()-4)</f>
        <v>80</v>
      </c>
      <c r="B84" s="42" t="s">
        <v>598</v>
      </c>
      <c r="C84" s="43" t="s">
        <v>417</v>
      </c>
      <c r="D84" s="69" t="s">
        <v>599</v>
      </c>
      <c r="E84" s="42" t="s">
        <v>600</v>
      </c>
      <c r="F84" s="43" t="s">
        <v>397</v>
      </c>
      <c r="G84" s="43" t="s">
        <v>398</v>
      </c>
      <c r="H84" s="43" t="s">
        <v>29</v>
      </c>
      <c r="I84" s="43" t="s">
        <v>399</v>
      </c>
      <c r="J84" s="42" t="s">
        <v>437</v>
      </c>
    </row>
    <row r="85" customFormat="false" ht="15" hidden="false" customHeight="false" outlineLevel="0" collapsed="false">
      <c r="A85" s="68" t="n">
        <f aca="false">IF(D85="","",ROW()-4)</f>
        <v>81</v>
      </c>
      <c r="B85" s="42" t="s">
        <v>598</v>
      </c>
      <c r="C85" s="43" t="s">
        <v>417</v>
      </c>
      <c r="D85" s="69" t="s">
        <v>601</v>
      </c>
      <c r="E85" s="42" t="s">
        <v>602</v>
      </c>
      <c r="F85" s="43" t="s">
        <v>570</v>
      </c>
      <c r="G85" s="43" t="s">
        <v>398</v>
      </c>
      <c r="H85" s="43" t="s">
        <v>29</v>
      </c>
      <c r="I85" s="43" t="s">
        <v>399</v>
      </c>
      <c r="J85" s="42" t="s">
        <v>437</v>
      </c>
    </row>
    <row r="86" customFormat="false" ht="15" hidden="false" customHeight="false" outlineLevel="0" collapsed="false">
      <c r="A86" s="68" t="n">
        <f aca="false">IF(D86="","",ROW()-4)</f>
        <v>82</v>
      </c>
      <c r="B86" s="42" t="s">
        <v>598</v>
      </c>
      <c r="C86" s="43" t="s">
        <v>417</v>
      </c>
      <c r="D86" s="69" t="s">
        <v>603</v>
      </c>
      <c r="E86" s="42" t="s">
        <v>604</v>
      </c>
      <c r="F86" s="43" t="s">
        <v>570</v>
      </c>
      <c r="G86" s="43" t="s">
        <v>398</v>
      </c>
      <c r="H86" s="43" t="s">
        <v>29</v>
      </c>
      <c r="I86" s="43" t="s">
        <v>399</v>
      </c>
      <c r="J86" s="42" t="s">
        <v>437</v>
      </c>
    </row>
    <row r="87" customFormat="false" ht="15" hidden="false" customHeight="false" outlineLevel="0" collapsed="false">
      <c r="A87" s="68" t="n">
        <f aca="false">IF(D87="","",ROW()-4)</f>
        <v>83</v>
      </c>
      <c r="B87" s="42" t="s">
        <v>598</v>
      </c>
      <c r="C87" s="43" t="s">
        <v>417</v>
      </c>
      <c r="D87" s="69" t="s">
        <v>605</v>
      </c>
      <c r="E87" s="42" t="s">
        <v>606</v>
      </c>
      <c r="F87" s="43" t="s">
        <v>409</v>
      </c>
      <c r="G87" s="43" t="s">
        <v>423</v>
      </c>
      <c r="H87" s="43" t="s">
        <v>29</v>
      </c>
      <c r="I87" s="43" t="s">
        <v>399</v>
      </c>
      <c r="J87" s="42" t="s">
        <v>437</v>
      </c>
    </row>
    <row r="88" customFormat="false" ht="15" hidden="false" customHeight="false" outlineLevel="0" collapsed="false">
      <c r="A88" s="68" t="str">
        <f aca="false">IF(D88="","",ROW()-4)</f>
        <v/>
      </c>
      <c r="B88" s="42"/>
      <c r="C88" s="43"/>
      <c r="D88" s="69"/>
      <c r="E88" s="42"/>
      <c r="F88" s="43"/>
      <c r="G88" s="43"/>
      <c r="H88" s="43"/>
      <c r="I88" s="43"/>
      <c r="J88" s="42"/>
    </row>
    <row r="89" customFormat="false" ht="15" hidden="false" customHeight="false" outlineLevel="0" collapsed="false">
      <c r="A89" s="68" t="str">
        <f aca="false">IF(D89="","",ROW()-4)</f>
        <v/>
      </c>
      <c r="B89" s="42"/>
      <c r="C89" s="43"/>
      <c r="D89" s="69"/>
      <c r="E89" s="42"/>
      <c r="F89" s="43"/>
      <c r="G89" s="43"/>
      <c r="H89" s="43"/>
      <c r="I89" s="43"/>
      <c r="J89" s="42"/>
    </row>
    <row r="90" customFormat="false" ht="15" hidden="false" customHeight="false" outlineLevel="0" collapsed="false">
      <c r="A90" s="68" t="str">
        <f aca="false">IF(D90="","",ROW()-4)</f>
        <v/>
      </c>
      <c r="B90" s="42"/>
      <c r="C90" s="43"/>
      <c r="D90" s="69"/>
      <c r="E90" s="42"/>
      <c r="F90" s="43"/>
      <c r="G90" s="43"/>
      <c r="H90" s="43"/>
      <c r="I90" s="43"/>
      <c r="J90" s="42"/>
    </row>
    <row r="91" customFormat="false" ht="15" hidden="false" customHeight="false" outlineLevel="0" collapsed="false">
      <c r="A91" s="68" t="str">
        <f aca="false">IF(D91="","",ROW()-4)</f>
        <v/>
      </c>
      <c r="B91" s="42"/>
      <c r="C91" s="43"/>
      <c r="D91" s="69"/>
      <c r="E91" s="42"/>
      <c r="F91" s="43"/>
      <c r="G91" s="43"/>
      <c r="H91" s="43"/>
      <c r="I91" s="43"/>
      <c r="J91" s="42"/>
    </row>
    <row r="92" customFormat="false" ht="15" hidden="false" customHeight="false" outlineLevel="0" collapsed="false">
      <c r="A92" s="68" t="str">
        <f aca="false">IF(D92="","",ROW()-4)</f>
        <v/>
      </c>
      <c r="B92" s="42"/>
      <c r="C92" s="43"/>
      <c r="D92" s="69"/>
      <c r="E92" s="42"/>
      <c r="F92" s="43"/>
      <c r="G92" s="43"/>
      <c r="H92" s="43"/>
      <c r="I92" s="43"/>
      <c r="J92" s="42"/>
    </row>
    <row r="93" customFormat="false" ht="15" hidden="false" customHeight="false" outlineLevel="0" collapsed="false">
      <c r="A93" s="68" t="str">
        <f aca="false">IF(D93="","",ROW()-4)</f>
        <v/>
      </c>
      <c r="B93" s="42"/>
      <c r="C93" s="43"/>
      <c r="D93" s="69"/>
      <c r="E93" s="42"/>
      <c r="F93" s="43"/>
      <c r="G93" s="43"/>
      <c r="H93" s="43"/>
      <c r="I93" s="43"/>
      <c r="J93" s="42"/>
    </row>
    <row r="94" customFormat="false" ht="15" hidden="false" customHeight="false" outlineLevel="0" collapsed="false">
      <c r="A94" s="68" t="str">
        <f aca="false">IF(D94="","",ROW()-4)</f>
        <v/>
      </c>
      <c r="B94" s="42"/>
      <c r="C94" s="43"/>
      <c r="D94" s="69"/>
      <c r="E94" s="42"/>
      <c r="F94" s="43"/>
      <c r="G94" s="43"/>
      <c r="H94" s="43"/>
      <c r="I94" s="43"/>
      <c r="J94" s="42"/>
    </row>
    <row r="95" customFormat="false" ht="15" hidden="false" customHeight="false" outlineLevel="0" collapsed="false">
      <c r="A95" s="68" t="str">
        <f aca="false">IF(D95="","",ROW()-4)</f>
        <v/>
      </c>
      <c r="B95" s="42"/>
      <c r="C95" s="43"/>
      <c r="D95" s="69"/>
      <c r="E95" s="42"/>
      <c r="F95" s="43"/>
      <c r="G95" s="43"/>
      <c r="H95" s="43"/>
      <c r="I95" s="43"/>
      <c r="J95" s="42"/>
    </row>
    <row r="96" customFormat="false" ht="15" hidden="false" customHeight="false" outlineLevel="0" collapsed="false">
      <c r="A96" s="68" t="str">
        <f aca="false">IF(D96="","",ROW()-4)</f>
        <v/>
      </c>
      <c r="B96" s="42"/>
      <c r="C96" s="43"/>
      <c r="D96" s="69"/>
      <c r="E96" s="42"/>
      <c r="F96" s="43"/>
      <c r="G96" s="43"/>
      <c r="H96" s="43"/>
      <c r="I96" s="43"/>
      <c r="J96" s="42"/>
    </row>
    <row r="97" customFormat="false" ht="15" hidden="false" customHeight="false" outlineLevel="0" collapsed="false">
      <c r="A97" s="68" t="str">
        <f aca="false">IF(D97="","",ROW()-4)</f>
        <v/>
      </c>
      <c r="B97" s="42"/>
      <c r="C97" s="43"/>
      <c r="D97" s="69"/>
      <c r="E97" s="42"/>
      <c r="F97" s="43"/>
      <c r="G97" s="43"/>
      <c r="H97" s="43"/>
      <c r="I97" s="43"/>
      <c r="J97" s="42"/>
    </row>
    <row r="98" customFormat="false" ht="15" hidden="false" customHeight="false" outlineLevel="0" collapsed="false">
      <c r="A98" s="68" t="str">
        <f aca="false">IF(D98="","",ROW()-4)</f>
        <v/>
      </c>
      <c r="B98" s="42"/>
      <c r="C98" s="43"/>
      <c r="D98" s="69"/>
      <c r="E98" s="42"/>
      <c r="F98" s="43"/>
      <c r="G98" s="43"/>
      <c r="H98" s="43"/>
      <c r="I98" s="43"/>
      <c r="J98" s="42"/>
    </row>
    <row r="99" customFormat="false" ht="15" hidden="false" customHeight="false" outlineLevel="0" collapsed="false">
      <c r="A99" s="68" t="str">
        <f aca="false">IF(D99="","",ROW()-4)</f>
        <v/>
      </c>
      <c r="B99" s="42"/>
      <c r="C99" s="43"/>
      <c r="D99" s="69"/>
      <c r="E99" s="42"/>
      <c r="F99" s="43"/>
      <c r="G99" s="43"/>
      <c r="H99" s="43"/>
      <c r="I99" s="43"/>
      <c r="J99" s="42"/>
    </row>
    <row r="100" customFormat="false" ht="15" hidden="false" customHeight="false" outlineLevel="0" collapsed="false">
      <c r="A100" s="68" t="str">
        <f aca="false">IF(D100="","",ROW()-4)</f>
        <v/>
      </c>
      <c r="B100" s="42"/>
      <c r="C100" s="43"/>
      <c r="D100" s="69"/>
      <c r="E100" s="42"/>
      <c r="F100" s="43"/>
      <c r="G100" s="43"/>
      <c r="H100" s="43"/>
      <c r="I100" s="43"/>
      <c r="J100" s="42"/>
    </row>
    <row r="101" customFormat="false" ht="15" hidden="false" customHeight="false" outlineLevel="0" collapsed="false">
      <c r="A101" s="68" t="str">
        <f aca="false">IF(D101="","",ROW()-4)</f>
        <v/>
      </c>
      <c r="B101" s="42"/>
      <c r="C101" s="43"/>
      <c r="D101" s="69"/>
      <c r="E101" s="42"/>
      <c r="F101" s="43"/>
      <c r="G101" s="43"/>
      <c r="H101" s="43"/>
      <c r="I101" s="43"/>
      <c r="J101" s="42"/>
    </row>
    <row r="102" customFormat="false" ht="15" hidden="false" customHeight="false" outlineLevel="0" collapsed="false">
      <c r="A102" s="68" t="str">
        <f aca="false">IF(D102="","",ROW()-4)</f>
        <v/>
      </c>
      <c r="B102" s="42"/>
      <c r="C102" s="43"/>
      <c r="D102" s="69"/>
      <c r="E102" s="42"/>
      <c r="F102" s="43"/>
      <c r="G102" s="43"/>
      <c r="H102" s="43"/>
      <c r="I102" s="43"/>
      <c r="J102" s="42"/>
    </row>
    <row r="103" customFormat="false" ht="15" hidden="false" customHeight="false" outlineLevel="0" collapsed="false">
      <c r="A103" s="68" t="str">
        <f aca="false">IF(D103="","",ROW()-4)</f>
        <v/>
      </c>
      <c r="B103" s="42"/>
      <c r="C103" s="43"/>
      <c r="D103" s="69"/>
      <c r="E103" s="42"/>
      <c r="F103" s="43"/>
      <c r="G103" s="43"/>
      <c r="H103" s="43"/>
      <c r="I103" s="43"/>
      <c r="J103" s="42"/>
    </row>
    <row r="104" customFormat="false" ht="15" hidden="false" customHeight="false" outlineLevel="0" collapsed="false">
      <c r="A104" s="68" t="str">
        <f aca="false">IF(D104="","",ROW()-4)</f>
        <v/>
      </c>
      <c r="B104" s="42"/>
      <c r="C104" s="43"/>
      <c r="D104" s="69"/>
      <c r="E104" s="42"/>
      <c r="F104" s="43"/>
      <c r="G104" s="43"/>
      <c r="H104" s="43"/>
      <c r="I104" s="43"/>
      <c r="J104" s="42"/>
    </row>
    <row r="105" customFormat="false" ht="15" hidden="false" customHeight="false" outlineLevel="0" collapsed="false">
      <c r="A105" s="68" t="str">
        <f aca="false">IF(D105="","",ROW()-4)</f>
        <v/>
      </c>
      <c r="B105" s="42"/>
      <c r="C105" s="43"/>
      <c r="D105" s="69"/>
      <c r="E105" s="42"/>
      <c r="F105" s="43"/>
      <c r="G105" s="43"/>
      <c r="H105" s="43"/>
      <c r="I105" s="43"/>
      <c r="J105" s="42"/>
    </row>
    <row r="106" customFormat="false" ht="15" hidden="false" customHeight="false" outlineLevel="0" collapsed="false">
      <c r="A106" s="68" t="str">
        <f aca="false">IF(D106="","",ROW()-4)</f>
        <v/>
      </c>
      <c r="B106" s="42"/>
      <c r="C106" s="43"/>
      <c r="D106" s="69"/>
      <c r="E106" s="42"/>
      <c r="F106" s="43"/>
      <c r="G106" s="43"/>
      <c r="H106" s="43"/>
      <c r="I106" s="43"/>
      <c r="J106" s="42"/>
    </row>
    <row r="107" customFormat="false" ht="15" hidden="false" customHeight="false" outlineLevel="0" collapsed="false">
      <c r="A107" s="68" t="str">
        <f aca="false">IF(D107="","",ROW()-4)</f>
        <v/>
      </c>
      <c r="B107" s="42"/>
      <c r="C107" s="43"/>
      <c r="D107" s="69"/>
      <c r="E107" s="42"/>
      <c r="F107" s="43"/>
      <c r="G107" s="43"/>
      <c r="H107" s="43"/>
      <c r="I107" s="43"/>
      <c r="J107" s="42"/>
    </row>
    <row r="108" customFormat="false" ht="15" hidden="false" customHeight="false" outlineLevel="0" collapsed="false">
      <c r="A108" s="68" t="str">
        <f aca="false">IF(D108="","",ROW()-4)</f>
        <v/>
      </c>
      <c r="B108" s="42"/>
      <c r="C108" s="43"/>
      <c r="D108" s="69"/>
      <c r="E108" s="42"/>
      <c r="F108" s="43"/>
      <c r="G108" s="43"/>
      <c r="H108" s="43"/>
      <c r="I108" s="43"/>
      <c r="J108" s="42"/>
    </row>
    <row r="109" customFormat="false" ht="15" hidden="false" customHeight="false" outlineLevel="0" collapsed="false">
      <c r="A109" s="68" t="str">
        <f aca="false">IF(D109="","",ROW()-4)</f>
        <v/>
      </c>
      <c r="B109" s="42"/>
      <c r="C109" s="43"/>
      <c r="D109" s="69"/>
      <c r="E109" s="42"/>
      <c r="F109" s="43"/>
      <c r="G109" s="43"/>
      <c r="H109" s="43"/>
      <c r="I109" s="43"/>
      <c r="J109" s="42"/>
    </row>
    <row r="110" customFormat="false" ht="15" hidden="false" customHeight="false" outlineLevel="0" collapsed="false">
      <c r="A110" s="68" t="str">
        <f aca="false">IF(D110="","",ROW()-4)</f>
        <v/>
      </c>
      <c r="B110" s="42"/>
      <c r="C110" s="43"/>
      <c r="D110" s="69"/>
      <c r="E110" s="42"/>
      <c r="F110" s="43"/>
      <c r="G110" s="43"/>
      <c r="H110" s="43"/>
      <c r="I110" s="43"/>
      <c r="J110" s="42"/>
    </row>
    <row r="111" customFormat="false" ht="15" hidden="false" customHeight="false" outlineLevel="0" collapsed="false">
      <c r="A111" s="68" t="str">
        <f aca="false">IF(D111="","",ROW()-4)</f>
        <v/>
      </c>
      <c r="B111" s="42"/>
      <c r="C111" s="43"/>
      <c r="D111" s="69"/>
      <c r="E111" s="42"/>
      <c r="F111" s="43"/>
      <c r="G111" s="43"/>
      <c r="H111" s="43"/>
      <c r="I111" s="43"/>
      <c r="J111" s="42"/>
    </row>
    <row r="112" customFormat="false" ht="15" hidden="false" customHeight="false" outlineLevel="0" collapsed="false">
      <c r="A112" s="68" t="str">
        <f aca="false">IF(D112="","",ROW()-4)</f>
        <v/>
      </c>
      <c r="B112" s="42"/>
      <c r="C112" s="43"/>
      <c r="D112" s="69"/>
      <c r="E112" s="42"/>
      <c r="F112" s="43"/>
      <c r="G112" s="43"/>
      <c r="H112" s="43"/>
      <c r="I112" s="43"/>
      <c r="J112" s="42"/>
    </row>
    <row r="113" customFormat="false" ht="15" hidden="false" customHeight="false" outlineLevel="0" collapsed="false">
      <c r="A113" s="68" t="str">
        <f aca="false">IF(D113="","",ROW()-4)</f>
        <v/>
      </c>
      <c r="B113" s="42"/>
      <c r="C113" s="43"/>
      <c r="D113" s="69"/>
      <c r="E113" s="42"/>
      <c r="F113" s="43"/>
      <c r="G113" s="43"/>
      <c r="H113" s="43"/>
      <c r="I113" s="43"/>
      <c r="J113" s="42"/>
    </row>
    <row r="114" customFormat="false" ht="15" hidden="false" customHeight="false" outlineLevel="0" collapsed="false">
      <c r="A114" s="68" t="str">
        <f aca="false">IF(D114="","",ROW()-4)</f>
        <v/>
      </c>
      <c r="B114" s="42"/>
      <c r="C114" s="43"/>
      <c r="D114" s="69"/>
      <c r="E114" s="42"/>
      <c r="F114" s="43"/>
      <c r="G114" s="43"/>
      <c r="H114" s="43"/>
      <c r="I114" s="43"/>
      <c r="J114" s="42"/>
    </row>
    <row r="115" customFormat="false" ht="15" hidden="false" customHeight="false" outlineLevel="0" collapsed="false">
      <c r="A115" s="68" t="str">
        <f aca="false">IF(D115="","",ROW()-4)</f>
        <v/>
      </c>
      <c r="B115" s="42"/>
      <c r="C115" s="43"/>
      <c r="D115" s="69"/>
      <c r="E115" s="42"/>
      <c r="F115" s="43"/>
      <c r="G115" s="43"/>
      <c r="H115" s="43"/>
      <c r="I115" s="43"/>
      <c r="J115" s="42"/>
    </row>
    <row r="116" customFormat="false" ht="15" hidden="false" customHeight="false" outlineLevel="0" collapsed="false">
      <c r="A116" s="68" t="str">
        <f aca="false">IF(D116="","",ROW()-4)</f>
        <v/>
      </c>
      <c r="B116" s="42"/>
      <c r="C116" s="43"/>
      <c r="D116" s="69"/>
      <c r="E116" s="42"/>
      <c r="F116" s="43"/>
      <c r="G116" s="43"/>
      <c r="H116" s="43"/>
      <c r="I116" s="43"/>
      <c r="J116" s="42"/>
    </row>
    <row r="117" customFormat="false" ht="15" hidden="false" customHeight="false" outlineLevel="0" collapsed="false">
      <c r="A117" s="68" t="str">
        <f aca="false">IF(D117="","",ROW()-4)</f>
        <v/>
      </c>
      <c r="B117" s="42"/>
      <c r="C117" s="43"/>
      <c r="D117" s="69"/>
      <c r="E117" s="42"/>
      <c r="F117" s="43"/>
      <c r="G117" s="43"/>
      <c r="H117" s="43"/>
      <c r="I117" s="43"/>
      <c r="J117" s="42"/>
    </row>
    <row r="118" customFormat="false" ht="15" hidden="false" customHeight="false" outlineLevel="0" collapsed="false">
      <c r="A118" s="68" t="str">
        <f aca="false">IF(D118="","",ROW()-4)</f>
        <v/>
      </c>
      <c r="B118" s="42"/>
      <c r="C118" s="43"/>
      <c r="D118" s="69"/>
      <c r="E118" s="42"/>
      <c r="F118" s="43"/>
      <c r="G118" s="43"/>
      <c r="H118" s="43"/>
      <c r="I118" s="43"/>
      <c r="J118" s="42"/>
    </row>
    <row r="119" customFormat="false" ht="15" hidden="false" customHeight="false" outlineLevel="0" collapsed="false">
      <c r="A119" s="68" t="str">
        <f aca="false">IF(D119="","",ROW()-4)</f>
        <v/>
      </c>
      <c r="B119" s="42"/>
      <c r="C119" s="43"/>
      <c r="D119" s="69"/>
      <c r="E119" s="42"/>
      <c r="F119" s="43"/>
      <c r="G119" s="43"/>
      <c r="H119" s="43"/>
      <c r="I119" s="43"/>
      <c r="J119" s="42"/>
    </row>
    <row r="120" customFormat="false" ht="15" hidden="false" customHeight="false" outlineLevel="0" collapsed="false">
      <c r="A120" s="68" t="str">
        <f aca="false">IF(D120="","",ROW()-4)</f>
        <v/>
      </c>
      <c r="B120" s="42"/>
      <c r="C120" s="43"/>
      <c r="D120" s="69"/>
      <c r="E120" s="42"/>
      <c r="F120" s="43"/>
      <c r="G120" s="43"/>
      <c r="H120" s="43"/>
      <c r="I120" s="43"/>
      <c r="J120" s="42"/>
    </row>
    <row r="121" customFormat="false" ht="15" hidden="false" customHeight="false" outlineLevel="0" collapsed="false">
      <c r="A121" s="68" t="str">
        <f aca="false">IF(D121="","",ROW()-4)</f>
        <v/>
      </c>
      <c r="B121" s="42"/>
      <c r="C121" s="43"/>
      <c r="D121" s="69"/>
      <c r="E121" s="42"/>
      <c r="F121" s="43"/>
      <c r="G121" s="43"/>
      <c r="H121" s="43"/>
      <c r="I121" s="43"/>
      <c r="J121" s="42"/>
    </row>
    <row r="122" customFormat="false" ht="15" hidden="false" customHeight="false" outlineLevel="0" collapsed="false">
      <c r="A122" s="68" t="str">
        <f aca="false">IF(D122="","",ROW()-4)</f>
        <v/>
      </c>
      <c r="B122" s="42"/>
      <c r="C122" s="43"/>
      <c r="D122" s="69"/>
      <c r="E122" s="42"/>
      <c r="F122" s="43"/>
      <c r="G122" s="43"/>
      <c r="H122" s="43"/>
      <c r="I122" s="43"/>
      <c r="J122" s="42"/>
    </row>
    <row r="123" customFormat="false" ht="15" hidden="false" customHeight="false" outlineLevel="0" collapsed="false">
      <c r="A123" s="68" t="str">
        <f aca="false">IF(D123="","",ROW()-4)</f>
        <v/>
      </c>
      <c r="B123" s="42"/>
      <c r="C123" s="43"/>
      <c r="D123" s="69"/>
      <c r="E123" s="42"/>
      <c r="F123" s="43"/>
      <c r="G123" s="43"/>
      <c r="H123" s="43"/>
      <c r="I123" s="43"/>
      <c r="J123" s="42"/>
    </row>
    <row r="124" customFormat="false" ht="15" hidden="false" customHeight="false" outlineLevel="0" collapsed="false">
      <c r="A124" s="68" t="str">
        <f aca="false">IF(D124="","",ROW()-4)</f>
        <v/>
      </c>
      <c r="B124" s="42"/>
      <c r="C124" s="43"/>
      <c r="D124" s="69"/>
      <c r="E124" s="42"/>
      <c r="F124" s="43"/>
      <c r="G124" s="43"/>
      <c r="H124" s="43"/>
      <c r="I124" s="43"/>
      <c r="J124" s="42"/>
    </row>
    <row r="125" customFormat="false" ht="15" hidden="false" customHeight="false" outlineLevel="0" collapsed="false">
      <c r="A125" s="68" t="str">
        <f aca="false">IF(D125="","",ROW()-4)</f>
        <v/>
      </c>
      <c r="B125" s="42"/>
      <c r="C125" s="43"/>
      <c r="D125" s="69"/>
      <c r="E125" s="42"/>
      <c r="F125" s="43"/>
      <c r="G125" s="43"/>
      <c r="H125" s="43"/>
      <c r="I125" s="43"/>
      <c r="J125" s="42"/>
    </row>
    <row r="126" customFormat="false" ht="15" hidden="false" customHeight="false" outlineLevel="0" collapsed="false">
      <c r="A126" s="68" t="str">
        <f aca="false">IF(D126="","",ROW()-4)</f>
        <v/>
      </c>
      <c r="B126" s="42"/>
      <c r="C126" s="43"/>
      <c r="D126" s="69"/>
      <c r="E126" s="42"/>
      <c r="F126" s="43"/>
      <c r="G126" s="43"/>
      <c r="H126" s="43"/>
      <c r="I126" s="43"/>
      <c r="J126" s="42"/>
    </row>
    <row r="127" customFormat="false" ht="15" hidden="false" customHeight="false" outlineLevel="0" collapsed="false">
      <c r="A127" s="68" t="str">
        <f aca="false">IF(D127="","",ROW()-4)</f>
        <v/>
      </c>
      <c r="B127" s="42"/>
      <c r="C127" s="43"/>
      <c r="D127" s="69"/>
      <c r="E127" s="42"/>
      <c r="F127" s="43"/>
      <c r="G127" s="43"/>
      <c r="H127" s="43"/>
      <c r="I127" s="43"/>
      <c r="J127" s="42"/>
    </row>
    <row r="128" customFormat="false" ht="15" hidden="false" customHeight="false" outlineLevel="0" collapsed="false">
      <c r="A128" s="68" t="str">
        <f aca="false">IF(D128="","",ROW()-4)</f>
        <v/>
      </c>
      <c r="B128" s="42"/>
      <c r="C128" s="43"/>
      <c r="D128" s="69"/>
      <c r="E128" s="42"/>
      <c r="F128" s="43"/>
      <c r="G128" s="43"/>
      <c r="H128" s="43"/>
      <c r="I128" s="43"/>
      <c r="J128" s="42"/>
    </row>
    <row r="129" customFormat="false" ht="15" hidden="false" customHeight="false" outlineLevel="0" collapsed="false">
      <c r="A129" s="68" t="str">
        <f aca="false">IF(D129="","",ROW()-4)</f>
        <v/>
      </c>
      <c r="B129" s="42"/>
      <c r="C129" s="43"/>
      <c r="D129" s="69"/>
      <c r="E129" s="42"/>
      <c r="F129" s="43"/>
      <c r="G129" s="43"/>
      <c r="H129" s="43"/>
      <c r="I129" s="43"/>
      <c r="J129" s="42"/>
    </row>
    <row r="130" customFormat="false" ht="15" hidden="false" customHeight="false" outlineLevel="0" collapsed="false">
      <c r="A130" s="68" t="str">
        <f aca="false">IF(D130="","",ROW()-4)</f>
        <v/>
      </c>
      <c r="B130" s="42"/>
      <c r="C130" s="43"/>
      <c r="D130" s="69"/>
      <c r="E130" s="42"/>
      <c r="F130" s="43"/>
      <c r="G130" s="43"/>
      <c r="H130" s="43"/>
      <c r="I130" s="43"/>
      <c r="J130" s="42"/>
    </row>
    <row r="131" customFormat="false" ht="15" hidden="false" customHeight="false" outlineLevel="0" collapsed="false">
      <c r="A131" s="68" t="str">
        <f aca="false">IF(D131="","",ROW()-4)</f>
        <v/>
      </c>
      <c r="B131" s="42"/>
      <c r="C131" s="43"/>
      <c r="D131" s="69"/>
      <c r="E131" s="42"/>
      <c r="F131" s="43"/>
      <c r="G131" s="43"/>
      <c r="H131" s="43"/>
      <c r="I131" s="43"/>
      <c r="J131" s="42"/>
    </row>
    <row r="132" customFormat="false" ht="15" hidden="false" customHeight="false" outlineLevel="0" collapsed="false">
      <c r="A132" s="68" t="str">
        <f aca="false">IF(D132="","",ROW()-4)</f>
        <v/>
      </c>
      <c r="B132" s="42"/>
      <c r="C132" s="43"/>
      <c r="D132" s="69"/>
      <c r="E132" s="42"/>
      <c r="F132" s="43"/>
      <c r="G132" s="43"/>
      <c r="H132" s="43"/>
      <c r="I132" s="43"/>
      <c r="J132" s="42"/>
    </row>
    <row r="133" customFormat="false" ht="15" hidden="false" customHeight="false" outlineLevel="0" collapsed="false">
      <c r="A133" s="68" t="str">
        <f aca="false">IF(D133="","",ROW()-4)</f>
        <v/>
      </c>
      <c r="B133" s="42"/>
      <c r="C133" s="43"/>
      <c r="D133" s="69"/>
      <c r="E133" s="42"/>
      <c r="F133" s="43"/>
      <c r="G133" s="43"/>
      <c r="H133" s="43"/>
      <c r="I133" s="43"/>
      <c r="J133" s="42"/>
    </row>
    <row r="134" customFormat="false" ht="15" hidden="false" customHeight="false" outlineLevel="0" collapsed="false">
      <c r="A134" s="68" t="str">
        <f aca="false">IF(D134="","",ROW()-4)</f>
        <v/>
      </c>
      <c r="B134" s="42"/>
      <c r="C134" s="43"/>
      <c r="D134" s="69"/>
      <c r="E134" s="42"/>
      <c r="F134" s="43"/>
      <c r="G134" s="43"/>
      <c r="H134" s="43"/>
      <c r="I134" s="43"/>
      <c r="J134" s="42"/>
    </row>
    <row r="135" customFormat="false" ht="15" hidden="false" customHeight="false" outlineLevel="0" collapsed="false">
      <c r="A135" s="68" t="str">
        <f aca="false">IF(D135="","",ROW()-4)</f>
        <v/>
      </c>
      <c r="B135" s="42"/>
      <c r="C135" s="43"/>
      <c r="D135" s="69"/>
      <c r="E135" s="42"/>
      <c r="F135" s="43"/>
      <c r="G135" s="43"/>
      <c r="H135" s="43"/>
      <c r="I135" s="43"/>
      <c r="J135" s="42"/>
    </row>
    <row r="136" customFormat="false" ht="15" hidden="false" customHeight="false" outlineLevel="0" collapsed="false">
      <c r="A136" s="68" t="str">
        <f aca="false">IF(D136="","",ROW()-4)</f>
        <v/>
      </c>
      <c r="B136" s="42"/>
      <c r="C136" s="43"/>
      <c r="D136" s="69"/>
      <c r="E136" s="42"/>
      <c r="F136" s="43"/>
      <c r="G136" s="43"/>
      <c r="H136" s="43"/>
      <c r="I136" s="43"/>
      <c r="J136" s="42"/>
    </row>
    <row r="137" customFormat="false" ht="15" hidden="false" customHeight="false" outlineLevel="0" collapsed="false">
      <c r="A137" s="68" t="str">
        <f aca="false">IF(D137="","",ROW()-4)</f>
        <v/>
      </c>
      <c r="B137" s="42"/>
      <c r="C137" s="43"/>
      <c r="D137" s="69"/>
      <c r="E137" s="42"/>
      <c r="F137" s="43"/>
      <c r="G137" s="43"/>
      <c r="H137" s="43"/>
      <c r="I137" s="43"/>
      <c r="J137" s="42"/>
    </row>
    <row r="138" customFormat="false" ht="15" hidden="false" customHeight="false" outlineLevel="0" collapsed="false">
      <c r="A138" s="68" t="str">
        <f aca="false">IF(D138="","",ROW()-4)</f>
        <v/>
      </c>
      <c r="B138" s="42"/>
      <c r="C138" s="43"/>
      <c r="D138" s="69"/>
      <c r="E138" s="42"/>
      <c r="F138" s="43"/>
      <c r="G138" s="43"/>
      <c r="H138" s="43"/>
      <c r="I138" s="43"/>
      <c r="J138" s="42"/>
    </row>
    <row r="139" customFormat="false" ht="15" hidden="false" customHeight="false" outlineLevel="0" collapsed="false">
      <c r="A139" s="68" t="str">
        <f aca="false">IF(D139="","",ROW()-4)</f>
        <v/>
      </c>
      <c r="B139" s="42"/>
      <c r="C139" s="43"/>
      <c r="D139" s="69"/>
      <c r="E139" s="42"/>
      <c r="F139" s="43"/>
      <c r="G139" s="43"/>
      <c r="H139" s="43"/>
      <c r="I139" s="43"/>
      <c r="J139" s="42"/>
    </row>
    <row r="140" customFormat="false" ht="15" hidden="false" customHeight="false" outlineLevel="0" collapsed="false">
      <c r="A140" s="68" t="str">
        <f aca="false">IF(D140="","",ROW()-4)</f>
        <v/>
      </c>
      <c r="B140" s="42"/>
      <c r="C140" s="43"/>
      <c r="D140" s="69"/>
      <c r="E140" s="42"/>
      <c r="F140" s="43"/>
      <c r="G140" s="43"/>
      <c r="H140" s="43"/>
      <c r="I140" s="43"/>
      <c r="J140" s="42"/>
    </row>
    <row r="141" customFormat="false" ht="15" hidden="false" customHeight="false" outlineLevel="0" collapsed="false">
      <c r="A141" s="68" t="str">
        <f aca="false">IF(D141="","",ROW()-4)</f>
        <v/>
      </c>
      <c r="B141" s="42"/>
      <c r="C141" s="43"/>
      <c r="D141" s="69"/>
      <c r="E141" s="42"/>
      <c r="F141" s="43"/>
      <c r="G141" s="43"/>
      <c r="H141" s="43"/>
      <c r="I141" s="43"/>
      <c r="J141" s="42"/>
    </row>
    <row r="142" customFormat="false" ht="15" hidden="false" customHeight="false" outlineLevel="0" collapsed="false">
      <c r="A142" s="68" t="str">
        <f aca="false">IF(D142="","",ROW()-4)</f>
        <v/>
      </c>
      <c r="B142" s="42"/>
      <c r="C142" s="43"/>
      <c r="D142" s="69"/>
      <c r="E142" s="42"/>
      <c r="F142" s="43"/>
      <c r="G142" s="43"/>
      <c r="H142" s="43"/>
      <c r="I142" s="43"/>
      <c r="J142" s="42"/>
    </row>
    <row r="143" customFormat="false" ht="15" hidden="false" customHeight="false" outlineLevel="0" collapsed="false">
      <c r="A143" s="68" t="str">
        <f aca="false">IF(D143="","",ROW()-4)</f>
        <v/>
      </c>
      <c r="B143" s="42"/>
      <c r="C143" s="43"/>
      <c r="D143" s="69"/>
      <c r="E143" s="42"/>
      <c r="F143" s="43"/>
      <c r="G143" s="43"/>
      <c r="H143" s="43"/>
      <c r="I143" s="43"/>
      <c r="J143" s="42"/>
    </row>
    <row r="144" customFormat="false" ht="15" hidden="false" customHeight="false" outlineLevel="0" collapsed="false">
      <c r="A144" s="68" t="str">
        <f aca="false">IF(D144="","",ROW()-4)</f>
        <v/>
      </c>
      <c r="B144" s="42"/>
      <c r="C144" s="43"/>
      <c r="D144" s="69"/>
      <c r="E144" s="42"/>
      <c r="F144" s="43"/>
      <c r="G144" s="43"/>
      <c r="H144" s="43"/>
      <c r="I144" s="43"/>
      <c r="J144" s="42"/>
    </row>
    <row r="145" customFormat="false" ht="15" hidden="false" customHeight="false" outlineLevel="0" collapsed="false">
      <c r="A145" s="68" t="str">
        <f aca="false">IF(D145="","",ROW()-4)</f>
        <v/>
      </c>
      <c r="B145" s="42"/>
      <c r="C145" s="43"/>
      <c r="D145" s="69"/>
      <c r="E145" s="42"/>
      <c r="F145" s="43"/>
      <c r="G145" s="43"/>
      <c r="H145" s="43"/>
      <c r="I145" s="43"/>
      <c r="J145" s="42"/>
    </row>
    <row r="146" customFormat="false" ht="15" hidden="false" customHeight="false" outlineLevel="0" collapsed="false">
      <c r="A146" s="68" t="str">
        <f aca="false">IF(D146="","",ROW()-4)</f>
        <v/>
      </c>
      <c r="B146" s="42"/>
      <c r="C146" s="43"/>
      <c r="D146" s="69"/>
      <c r="E146" s="42"/>
      <c r="F146" s="43"/>
      <c r="G146" s="43"/>
      <c r="H146" s="43"/>
      <c r="I146" s="43"/>
      <c r="J146" s="42"/>
    </row>
    <row r="147" customFormat="false" ht="15" hidden="false" customHeight="false" outlineLevel="0" collapsed="false">
      <c r="A147" s="68" t="str">
        <f aca="false">IF(D147="","",ROW()-4)</f>
        <v/>
      </c>
      <c r="B147" s="42"/>
      <c r="C147" s="43"/>
      <c r="D147" s="69"/>
      <c r="E147" s="42"/>
      <c r="F147" s="43"/>
      <c r="G147" s="43"/>
      <c r="H147" s="43"/>
      <c r="I147" s="43"/>
      <c r="J147" s="42"/>
    </row>
    <row r="148" customFormat="false" ht="15" hidden="false" customHeight="false" outlineLevel="0" collapsed="false">
      <c r="A148" s="68" t="str">
        <f aca="false">IF(D148="","",ROW()-4)</f>
        <v/>
      </c>
      <c r="B148" s="42"/>
      <c r="C148" s="43"/>
      <c r="D148" s="69"/>
      <c r="E148" s="42"/>
      <c r="F148" s="43"/>
      <c r="G148" s="43"/>
      <c r="H148" s="43"/>
      <c r="I148" s="43"/>
      <c r="J148" s="42"/>
    </row>
    <row r="149" customFormat="false" ht="15" hidden="false" customHeight="false" outlineLevel="0" collapsed="false">
      <c r="A149" s="68" t="str">
        <f aca="false">IF(D149="","",ROW()-4)</f>
        <v/>
      </c>
      <c r="B149" s="42"/>
      <c r="C149" s="43"/>
      <c r="D149" s="69"/>
      <c r="E149" s="42"/>
      <c r="F149" s="43"/>
      <c r="G149" s="43"/>
      <c r="H149" s="43"/>
      <c r="I149" s="43"/>
      <c r="J149" s="42"/>
    </row>
    <row r="150" customFormat="false" ht="15" hidden="false" customHeight="false" outlineLevel="0" collapsed="false">
      <c r="A150" s="68" t="str">
        <f aca="false">IF(D150="","",ROW()-4)</f>
        <v/>
      </c>
      <c r="B150" s="42"/>
      <c r="C150" s="43"/>
      <c r="D150" s="69"/>
      <c r="E150" s="42"/>
      <c r="F150" s="43"/>
      <c r="G150" s="43"/>
      <c r="H150" s="43"/>
      <c r="I150" s="43"/>
      <c r="J150" s="42"/>
    </row>
    <row r="151" customFormat="false" ht="15" hidden="false" customHeight="false" outlineLevel="0" collapsed="false">
      <c r="A151" s="68" t="str">
        <f aca="false">IF(D151="","",ROW()-4)</f>
        <v/>
      </c>
      <c r="B151" s="42"/>
      <c r="C151" s="43"/>
      <c r="D151" s="69"/>
      <c r="E151" s="42"/>
      <c r="F151" s="43"/>
      <c r="G151" s="43"/>
      <c r="H151" s="43"/>
      <c r="I151" s="43"/>
      <c r="J151" s="42"/>
    </row>
    <row r="152" customFormat="false" ht="15" hidden="false" customHeight="false" outlineLevel="0" collapsed="false">
      <c r="A152" s="68" t="str">
        <f aca="false">IF(D152="","",ROW()-4)</f>
        <v/>
      </c>
      <c r="B152" s="42"/>
      <c r="C152" s="43"/>
      <c r="D152" s="69"/>
      <c r="E152" s="42"/>
      <c r="F152" s="43"/>
      <c r="G152" s="43"/>
      <c r="H152" s="43"/>
      <c r="I152" s="43"/>
      <c r="J152" s="42"/>
    </row>
    <row r="153" customFormat="false" ht="15" hidden="false" customHeight="false" outlineLevel="0" collapsed="false">
      <c r="A153" s="68" t="str">
        <f aca="false">IF(D153="","",ROW()-4)</f>
        <v/>
      </c>
      <c r="B153" s="42"/>
      <c r="C153" s="43"/>
      <c r="D153" s="69"/>
      <c r="E153" s="42"/>
      <c r="F153" s="43"/>
      <c r="G153" s="43"/>
      <c r="H153" s="43"/>
      <c r="I153" s="43"/>
      <c r="J153" s="42"/>
    </row>
    <row r="154" customFormat="false" ht="15" hidden="false" customHeight="false" outlineLevel="0" collapsed="false">
      <c r="A154" s="68" t="str">
        <f aca="false">IF(D154="","",ROW()-4)</f>
        <v/>
      </c>
      <c r="B154" s="42"/>
      <c r="C154" s="43"/>
      <c r="D154" s="69"/>
      <c r="E154" s="42"/>
      <c r="F154" s="43"/>
      <c r="G154" s="43"/>
      <c r="H154" s="43"/>
      <c r="I154" s="43"/>
      <c r="J154" s="42"/>
    </row>
    <row r="155" customFormat="false" ht="15" hidden="false" customHeight="false" outlineLevel="0" collapsed="false">
      <c r="A155" s="68" t="str">
        <f aca="false">IF(D155="","",ROW()-4)</f>
        <v/>
      </c>
      <c r="B155" s="42"/>
      <c r="C155" s="43"/>
      <c r="D155" s="69"/>
      <c r="E155" s="42"/>
      <c r="F155" s="43"/>
      <c r="G155" s="43"/>
      <c r="H155" s="43"/>
      <c r="I155" s="43"/>
      <c r="J155" s="42"/>
    </row>
    <row r="156" customFormat="false" ht="15" hidden="false" customHeight="false" outlineLevel="0" collapsed="false">
      <c r="A156" s="68" t="str">
        <f aca="false">IF(D156="","",ROW()-4)</f>
        <v/>
      </c>
      <c r="B156" s="42"/>
      <c r="C156" s="43"/>
      <c r="D156" s="69"/>
      <c r="E156" s="42"/>
      <c r="F156" s="43"/>
      <c r="G156" s="43"/>
      <c r="H156" s="43"/>
      <c r="I156" s="43"/>
      <c r="J156" s="42"/>
    </row>
    <row r="157" customFormat="false" ht="15" hidden="false" customHeight="false" outlineLevel="0" collapsed="false">
      <c r="A157" s="68" t="str">
        <f aca="false">IF(D157="","",ROW()-4)</f>
        <v/>
      </c>
      <c r="B157" s="42"/>
      <c r="C157" s="43"/>
      <c r="D157" s="69"/>
      <c r="E157" s="42"/>
      <c r="F157" s="43"/>
      <c r="G157" s="43"/>
      <c r="H157" s="43"/>
      <c r="I157" s="43"/>
      <c r="J157" s="42"/>
    </row>
    <row r="158" customFormat="false" ht="15" hidden="false" customHeight="false" outlineLevel="0" collapsed="false">
      <c r="A158" s="68" t="str">
        <f aca="false">IF(D158="","",ROW()-4)</f>
        <v/>
      </c>
      <c r="B158" s="42"/>
      <c r="C158" s="43"/>
      <c r="D158" s="69"/>
      <c r="E158" s="42"/>
      <c r="F158" s="43"/>
      <c r="G158" s="43"/>
      <c r="H158" s="43"/>
      <c r="I158" s="43"/>
      <c r="J158" s="42"/>
    </row>
    <row r="159" customFormat="false" ht="15" hidden="false" customHeight="false" outlineLevel="0" collapsed="false">
      <c r="A159" s="68" t="str">
        <f aca="false">IF(D159="","",ROW()-4)</f>
        <v/>
      </c>
      <c r="B159" s="42"/>
      <c r="C159" s="43"/>
      <c r="D159" s="69"/>
      <c r="E159" s="42"/>
      <c r="F159" s="43"/>
      <c r="G159" s="43"/>
      <c r="H159" s="43"/>
      <c r="I159" s="43"/>
      <c r="J159" s="42"/>
    </row>
    <row r="160" customFormat="false" ht="15" hidden="false" customHeight="false" outlineLevel="0" collapsed="false">
      <c r="A160" s="68" t="str">
        <f aca="false">IF(D160="","",ROW()-4)</f>
        <v/>
      </c>
      <c r="B160" s="42"/>
      <c r="C160" s="43"/>
      <c r="D160" s="69"/>
      <c r="E160" s="42"/>
      <c r="F160" s="43"/>
      <c r="G160" s="43"/>
      <c r="H160" s="43"/>
      <c r="I160" s="43"/>
      <c r="J160" s="42"/>
    </row>
    <row r="161" customFormat="false" ht="15" hidden="false" customHeight="false" outlineLevel="0" collapsed="false">
      <c r="A161" s="68" t="str">
        <f aca="false">IF(D161="","",ROW()-4)</f>
        <v/>
      </c>
      <c r="B161" s="42"/>
      <c r="C161" s="43"/>
      <c r="D161" s="69"/>
      <c r="E161" s="42"/>
      <c r="F161" s="43"/>
      <c r="G161" s="43"/>
      <c r="H161" s="43"/>
      <c r="I161" s="43"/>
      <c r="J161" s="42"/>
    </row>
    <row r="162" customFormat="false" ht="15" hidden="false" customHeight="false" outlineLevel="0" collapsed="false">
      <c r="A162" s="68" t="str">
        <f aca="false">IF(D162="","",ROW()-4)</f>
        <v/>
      </c>
      <c r="B162" s="42"/>
      <c r="C162" s="43"/>
      <c r="D162" s="69"/>
      <c r="E162" s="42"/>
      <c r="F162" s="43"/>
      <c r="G162" s="43"/>
      <c r="H162" s="43"/>
      <c r="I162" s="43"/>
      <c r="J162" s="42"/>
    </row>
    <row r="163" customFormat="false" ht="15" hidden="false" customHeight="false" outlineLevel="0" collapsed="false">
      <c r="A163" s="68" t="str">
        <f aca="false">IF(D163="","",ROW()-4)</f>
        <v/>
      </c>
      <c r="B163" s="42"/>
      <c r="C163" s="43"/>
      <c r="D163" s="69"/>
      <c r="E163" s="42"/>
      <c r="F163" s="43"/>
      <c r="G163" s="43"/>
      <c r="H163" s="43"/>
      <c r="I163" s="43"/>
      <c r="J163" s="42"/>
    </row>
    <row r="164" customFormat="false" ht="15" hidden="false" customHeight="false" outlineLevel="0" collapsed="false">
      <c r="A164" s="68" t="str">
        <f aca="false">IF(D164="","",ROW()-4)</f>
        <v/>
      </c>
      <c r="B164" s="42"/>
      <c r="C164" s="43"/>
      <c r="D164" s="69"/>
      <c r="E164" s="42"/>
      <c r="F164" s="43"/>
      <c r="G164" s="43"/>
      <c r="H164" s="43"/>
      <c r="I164" s="43"/>
      <c r="J164" s="42"/>
    </row>
    <row r="165" customFormat="false" ht="15" hidden="false" customHeight="false" outlineLevel="0" collapsed="false">
      <c r="A165" s="68" t="str">
        <f aca="false">IF(D165="","",ROW()-4)</f>
        <v/>
      </c>
      <c r="B165" s="42"/>
      <c r="C165" s="43"/>
      <c r="D165" s="69"/>
      <c r="E165" s="42"/>
      <c r="F165" s="43"/>
      <c r="G165" s="43"/>
      <c r="H165" s="43"/>
      <c r="I165" s="43"/>
      <c r="J165" s="42"/>
    </row>
    <row r="166" customFormat="false" ht="15" hidden="false" customHeight="false" outlineLevel="0" collapsed="false">
      <c r="A166" s="68" t="str">
        <f aca="false">IF(D166="","",ROW()-4)</f>
        <v/>
      </c>
      <c r="B166" s="42"/>
      <c r="C166" s="43"/>
      <c r="D166" s="69"/>
      <c r="E166" s="42"/>
      <c r="F166" s="43"/>
      <c r="G166" s="43"/>
      <c r="H166" s="43"/>
      <c r="I166" s="43"/>
      <c r="J166" s="42"/>
    </row>
    <row r="167" customFormat="false" ht="15" hidden="false" customHeight="false" outlineLevel="0" collapsed="false">
      <c r="A167" s="68" t="str">
        <f aca="false">IF(D167="","",ROW()-4)</f>
        <v/>
      </c>
      <c r="B167" s="42"/>
      <c r="C167" s="43"/>
      <c r="D167" s="69"/>
      <c r="E167" s="42"/>
      <c r="F167" s="43"/>
      <c r="G167" s="43"/>
      <c r="H167" s="43"/>
      <c r="I167" s="43"/>
      <c r="J167" s="42"/>
    </row>
    <row r="168" customFormat="false" ht="15" hidden="false" customHeight="false" outlineLevel="0" collapsed="false">
      <c r="A168" s="68" t="str">
        <f aca="false">IF(D168="","",ROW()-4)</f>
        <v/>
      </c>
      <c r="B168" s="42"/>
      <c r="C168" s="43"/>
      <c r="D168" s="69"/>
      <c r="E168" s="42"/>
      <c r="F168" s="43"/>
      <c r="G168" s="43"/>
      <c r="H168" s="43"/>
      <c r="I168" s="43"/>
      <c r="J168" s="42"/>
    </row>
    <row r="169" customFormat="false" ht="15" hidden="false" customHeight="false" outlineLevel="0" collapsed="false">
      <c r="A169" s="68" t="str">
        <f aca="false">IF(D169="","",ROW()-4)</f>
        <v/>
      </c>
      <c r="B169" s="42"/>
      <c r="C169" s="43"/>
      <c r="D169" s="69"/>
      <c r="E169" s="42"/>
      <c r="F169" s="43"/>
      <c r="G169" s="43"/>
      <c r="H169" s="43"/>
      <c r="I169" s="43"/>
      <c r="J169" s="42"/>
    </row>
    <row r="170" customFormat="false" ht="15" hidden="false" customHeight="false" outlineLevel="0" collapsed="false">
      <c r="A170" s="68" t="str">
        <f aca="false">IF(D170="","",ROW()-4)</f>
        <v/>
      </c>
      <c r="B170" s="42"/>
      <c r="C170" s="43"/>
      <c r="D170" s="69"/>
      <c r="E170" s="42"/>
      <c r="F170" s="43"/>
      <c r="G170" s="43"/>
      <c r="H170" s="43"/>
      <c r="I170" s="43"/>
      <c r="J170" s="42"/>
    </row>
    <row r="171" customFormat="false" ht="15" hidden="false" customHeight="false" outlineLevel="0" collapsed="false">
      <c r="A171" s="68" t="str">
        <f aca="false">IF(D171="","",ROW()-4)</f>
        <v/>
      </c>
      <c r="B171" s="42"/>
      <c r="C171" s="43"/>
      <c r="D171" s="69"/>
      <c r="E171" s="42"/>
      <c r="F171" s="43"/>
      <c r="G171" s="43"/>
      <c r="H171" s="43"/>
      <c r="I171" s="43"/>
      <c r="J171" s="42"/>
    </row>
    <row r="172" customFormat="false" ht="15" hidden="false" customHeight="false" outlineLevel="0" collapsed="false">
      <c r="A172" s="68" t="str">
        <f aca="false">IF(D172="","",ROW()-4)</f>
        <v/>
      </c>
      <c r="B172" s="42"/>
      <c r="C172" s="43"/>
      <c r="D172" s="69"/>
      <c r="E172" s="42"/>
      <c r="F172" s="43"/>
      <c r="G172" s="43"/>
      <c r="H172" s="43"/>
      <c r="I172" s="43"/>
      <c r="J172" s="42"/>
    </row>
    <row r="173" customFormat="false" ht="15" hidden="false" customHeight="false" outlineLevel="0" collapsed="false">
      <c r="A173" s="68" t="str">
        <f aca="false">IF(D173="","",ROW()-4)</f>
        <v/>
      </c>
      <c r="B173" s="42"/>
      <c r="C173" s="43"/>
      <c r="D173" s="69"/>
      <c r="E173" s="42"/>
      <c r="F173" s="43"/>
      <c r="G173" s="43"/>
      <c r="H173" s="43"/>
      <c r="I173" s="43"/>
      <c r="J173" s="42"/>
    </row>
    <row r="174" customFormat="false" ht="15" hidden="false" customHeight="false" outlineLevel="0" collapsed="false">
      <c r="A174" s="68" t="str">
        <f aca="false">IF(D174="","",ROW()-4)</f>
        <v/>
      </c>
      <c r="B174" s="42"/>
      <c r="C174" s="43"/>
      <c r="D174" s="69"/>
      <c r="E174" s="42"/>
      <c r="F174" s="43"/>
      <c r="G174" s="43"/>
      <c r="H174" s="43"/>
      <c r="I174" s="43"/>
      <c r="J174" s="42"/>
    </row>
    <row r="175" customFormat="false" ht="15" hidden="false" customHeight="false" outlineLevel="0" collapsed="false">
      <c r="A175" s="68" t="str">
        <f aca="false">IF(D175="","",ROW()-4)</f>
        <v/>
      </c>
      <c r="B175" s="42"/>
      <c r="C175" s="43"/>
      <c r="D175" s="69"/>
      <c r="E175" s="42"/>
      <c r="F175" s="43"/>
      <c r="G175" s="43"/>
      <c r="H175" s="43"/>
      <c r="I175" s="43"/>
      <c r="J175" s="42"/>
    </row>
    <row r="176" customFormat="false" ht="15" hidden="false" customHeight="false" outlineLevel="0" collapsed="false">
      <c r="A176" s="68" t="str">
        <f aca="false">IF(D176="","",ROW()-4)</f>
        <v/>
      </c>
      <c r="B176" s="42"/>
      <c r="C176" s="43"/>
      <c r="D176" s="69"/>
      <c r="E176" s="42"/>
      <c r="F176" s="43"/>
      <c r="G176" s="43"/>
      <c r="H176" s="43"/>
      <c r="I176" s="43"/>
      <c r="J176" s="42"/>
    </row>
    <row r="177" customFormat="false" ht="15" hidden="false" customHeight="false" outlineLevel="0" collapsed="false">
      <c r="A177" s="68" t="str">
        <f aca="false">IF(D177="","",ROW()-4)</f>
        <v/>
      </c>
      <c r="B177" s="42"/>
      <c r="C177" s="43"/>
      <c r="D177" s="69"/>
      <c r="E177" s="42"/>
      <c r="F177" s="43"/>
      <c r="G177" s="43"/>
      <c r="H177" s="43"/>
      <c r="I177" s="43"/>
      <c r="J177" s="42"/>
    </row>
    <row r="178" customFormat="false" ht="15" hidden="false" customHeight="false" outlineLevel="0" collapsed="false">
      <c r="A178" s="68" t="str">
        <f aca="false">IF(D178="","",ROW()-4)</f>
        <v/>
      </c>
      <c r="B178" s="42"/>
      <c r="C178" s="43"/>
      <c r="D178" s="69"/>
      <c r="E178" s="42"/>
      <c r="F178" s="43"/>
      <c r="G178" s="43"/>
      <c r="H178" s="43"/>
      <c r="I178" s="43"/>
      <c r="J178" s="42"/>
    </row>
    <row r="179" customFormat="false" ht="15" hidden="false" customHeight="false" outlineLevel="0" collapsed="false">
      <c r="A179" s="68" t="str">
        <f aca="false">IF(D179="","",ROW()-4)</f>
        <v/>
      </c>
      <c r="B179" s="42"/>
      <c r="C179" s="43"/>
      <c r="D179" s="69"/>
      <c r="E179" s="42"/>
      <c r="F179" s="43"/>
      <c r="G179" s="43"/>
      <c r="H179" s="43"/>
      <c r="I179" s="43"/>
      <c r="J179" s="42"/>
    </row>
    <row r="180" customFormat="false" ht="15" hidden="false" customHeight="false" outlineLevel="0" collapsed="false">
      <c r="A180" s="68" t="str">
        <f aca="false">IF(D180="","",ROW()-4)</f>
        <v/>
      </c>
      <c r="B180" s="42"/>
      <c r="C180" s="43"/>
      <c r="D180" s="69"/>
      <c r="E180" s="42"/>
      <c r="F180" s="43"/>
      <c r="G180" s="43"/>
      <c r="H180" s="43"/>
      <c r="I180" s="43"/>
      <c r="J180" s="42"/>
    </row>
    <row r="181" customFormat="false" ht="15" hidden="false" customHeight="false" outlineLevel="0" collapsed="false">
      <c r="A181" s="68" t="str">
        <f aca="false">IF(D181="","",ROW()-4)</f>
        <v/>
      </c>
      <c r="B181" s="42"/>
      <c r="C181" s="43"/>
      <c r="D181" s="69"/>
      <c r="E181" s="42"/>
      <c r="F181" s="43"/>
      <c r="G181" s="43"/>
      <c r="H181" s="43"/>
      <c r="I181" s="43"/>
      <c r="J181" s="42"/>
    </row>
    <row r="182" customFormat="false" ht="15" hidden="false" customHeight="false" outlineLevel="0" collapsed="false">
      <c r="A182" s="68" t="str">
        <f aca="false">IF(D182="","",ROW()-4)</f>
        <v/>
      </c>
      <c r="B182" s="42"/>
      <c r="C182" s="43"/>
      <c r="D182" s="69"/>
      <c r="E182" s="42"/>
      <c r="F182" s="43"/>
      <c r="G182" s="43"/>
      <c r="H182" s="43"/>
      <c r="I182" s="43"/>
      <c r="J182" s="42"/>
    </row>
    <row r="183" customFormat="false" ht="15" hidden="false" customHeight="false" outlineLevel="0" collapsed="false">
      <c r="A183" s="68" t="str">
        <f aca="false">IF(D183="","",ROW()-4)</f>
        <v/>
      </c>
      <c r="B183" s="42"/>
      <c r="C183" s="43"/>
      <c r="D183" s="69"/>
      <c r="E183" s="42"/>
      <c r="F183" s="43"/>
      <c r="G183" s="43"/>
      <c r="H183" s="43"/>
      <c r="I183" s="43"/>
      <c r="J183" s="42"/>
    </row>
    <row r="184" customFormat="false" ht="15" hidden="false" customHeight="false" outlineLevel="0" collapsed="false">
      <c r="A184" s="68" t="str">
        <f aca="false">IF(D184="","",ROW()-4)</f>
        <v/>
      </c>
      <c r="B184" s="42"/>
      <c r="C184" s="43"/>
      <c r="D184" s="69"/>
      <c r="E184" s="42"/>
      <c r="F184" s="43"/>
      <c r="G184" s="43"/>
      <c r="H184" s="43"/>
      <c r="I184" s="43"/>
      <c r="J184" s="42"/>
    </row>
    <row r="185" customFormat="false" ht="15" hidden="false" customHeight="false" outlineLevel="0" collapsed="false">
      <c r="A185" s="68" t="str">
        <f aca="false">IF(D185="","",ROW()-4)</f>
        <v/>
      </c>
      <c r="B185" s="42"/>
      <c r="C185" s="43"/>
      <c r="D185" s="69"/>
      <c r="E185" s="42"/>
      <c r="F185" s="43"/>
      <c r="G185" s="43"/>
      <c r="H185" s="43"/>
      <c r="I185" s="43"/>
      <c r="J185" s="42"/>
    </row>
    <row r="186" customFormat="false" ht="15" hidden="false" customHeight="false" outlineLevel="0" collapsed="false">
      <c r="A186" s="68" t="str">
        <f aca="false">IF(D186="","",ROW()-4)</f>
        <v/>
      </c>
      <c r="B186" s="42"/>
      <c r="C186" s="43"/>
      <c r="D186" s="69"/>
      <c r="E186" s="42"/>
      <c r="F186" s="43"/>
      <c r="G186" s="43"/>
      <c r="H186" s="43"/>
      <c r="I186" s="43"/>
      <c r="J186" s="42"/>
    </row>
    <row r="187" customFormat="false" ht="15" hidden="false" customHeight="false" outlineLevel="0" collapsed="false">
      <c r="A187" s="68" t="str">
        <f aca="false">IF(D187="","",ROW()-4)</f>
        <v/>
      </c>
      <c r="B187" s="42"/>
      <c r="C187" s="43"/>
      <c r="D187" s="69"/>
      <c r="E187" s="42"/>
      <c r="F187" s="43"/>
      <c r="G187" s="43"/>
      <c r="H187" s="43"/>
      <c r="I187" s="43"/>
      <c r="J187" s="42"/>
    </row>
    <row r="188" customFormat="false" ht="15" hidden="false" customHeight="false" outlineLevel="0" collapsed="false">
      <c r="A188" s="68" t="str">
        <f aca="false">IF(D188="","",ROW()-4)</f>
        <v/>
      </c>
      <c r="B188" s="42"/>
      <c r="C188" s="43"/>
      <c r="D188" s="69"/>
      <c r="E188" s="42"/>
      <c r="F188" s="43"/>
      <c r="G188" s="43"/>
      <c r="H188" s="43"/>
      <c r="I188" s="43"/>
      <c r="J188" s="42"/>
    </row>
    <row r="189" customFormat="false" ht="15" hidden="false" customHeight="false" outlineLevel="0" collapsed="false">
      <c r="A189" s="68" t="str">
        <f aca="false">IF(D189="","",ROW()-4)</f>
        <v/>
      </c>
      <c r="B189" s="42"/>
      <c r="C189" s="43"/>
      <c r="D189" s="69"/>
      <c r="E189" s="42"/>
      <c r="F189" s="43"/>
      <c r="G189" s="43"/>
      <c r="H189" s="43"/>
      <c r="I189" s="43"/>
      <c r="J189" s="42"/>
    </row>
    <row r="190" customFormat="false" ht="15" hidden="false" customHeight="false" outlineLevel="0" collapsed="false">
      <c r="A190" s="68" t="str">
        <f aca="false">IF(D190="","",ROW()-4)</f>
        <v/>
      </c>
      <c r="B190" s="42"/>
      <c r="C190" s="43"/>
      <c r="D190" s="69"/>
      <c r="E190" s="42"/>
      <c r="F190" s="43"/>
      <c r="G190" s="43"/>
      <c r="H190" s="43"/>
      <c r="I190" s="43"/>
      <c r="J190" s="42"/>
    </row>
    <row r="191" customFormat="false" ht="15" hidden="false" customHeight="false" outlineLevel="0" collapsed="false">
      <c r="A191" s="68" t="str">
        <f aca="false">IF(D191="","",ROW()-4)</f>
        <v/>
      </c>
      <c r="B191" s="42"/>
      <c r="C191" s="43"/>
      <c r="D191" s="69"/>
      <c r="E191" s="42"/>
      <c r="F191" s="43"/>
      <c r="G191" s="43"/>
      <c r="H191" s="43"/>
      <c r="I191" s="43"/>
      <c r="J191" s="42"/>
    </row>
    <row r="192" customFormat="false" ht="15" hidden="false" customHeight="false" outlineLevel="0" collapsed="false">
      <c r="A192" s="68" t="str">
        <f aca="false">IF(D192="","",ROW()-4)</f>
        <v/>
      </c>
      <c r="B192" s="42"/>
      <c r="C192" s="43"/>
      <c r="D192" s="69"/>
      <c r="E192" s="42"/>
      <c r="F192" s="43"/>
      <c r="G192" s="43"/>
      <c r="H192" s="43"/>
      <c r="I192" s="43"/>
      <c r="J192" s="42"/>
    </row>
    <row r="193" customFormat="false" ht="15" hidden="false" customHeight="false" outlineLevel="0" collapsed="false">
      <c r="A193" s="68" t="str">
        <f aca="false">IF(D193="","",ROW()-4)</f>
        <v/>
      </c>
      <c r="B193" s="42"/>
      <c r="C193" s="43"/>
      <c r="D193" s="69"/>
      <c r="E193" s="42"/>
      <c r="F193" s="43"/>
      <c r="G193" s="43"/>
      <c r="H193" s="43"/>
      <c r="I193" s="43"/>
      <c r="J193" s="42"/>
    </row>
    <row r="194" customFormat="false" ht="15" hidden="false" customHeight="false" outlineLevel="0" collapsed="false">
      <c r="A194" s="68" t="str">
        <f aca="false">IF(D194="","",ROW()-4)</f>
        <v/>
      </c>
      <c r="B194" s="42"/>
      <c r="C194" s="43"/>
      <c r="D194" s="69"/>
      <c r="E194" s="42"/>
      <c r="F194" s="43"/>
      <c r="G194" s="43"/>
      <c r="H194" s="43"/>
      <c r="I194" s="43"/>
      <c r="J194" s="42"/>
    </row>
    <row r="195" customFormat="false" ht="15" hidden="false" customHeight="false" outlineLevel="0" collapsed="false">
      <c r="A195" s="68" t="str">
        <f aca="false">IF(D195="","",ROW()-4)</f>
        <v/>
      </c>
      <c r="B195" s="42"/>
      <c r="C195" s="43"/>
      <c r="D195" s="69"/>
      <c r="E195" s="42"/>
      <c r="F195" s="43"/>
      <c r="G195" s="43"/>
      <c r="H195" s="43"/>
      <c r="I195" s="43"/>
      <c r="J195" s="42"/>
    </row>
    <row r="196" customFormat="false" ht="15" hidden="false" customHeight="false" outlineLevel="0" collapsed="false">
      <c r="A196" s="68" t="str">
        <f aca="false">IF(D196="","",ROW()-4)</f>
        <v/>
      </c>
      <c r="B196" s="42"/>
      <c r="C196" s="43"/>
      <c r="D196" s="69"/>
      <c r="E196" s="42"/>
      <c r="F196" s="43"/>
      <c r="G196" s="43"/>
      <c r="H196" s="43"/>
      <c r="I196" s="43"/>
      <c r="J196" s="42"/>
    </row>
    <row r="197" customFormat="false" ht="15" hidden="false" customHeight="false" outlineLevel="0" collapsed="false">
      <c r="A197" s="68" t="str">
        <f aca="false">IF(D197="","",ROW()-4)</f>
        <v/>
      </c>
      <c r="B197" s="42"/>
      <c r="C197" s="43"/>
      <c r="D197" s="69"/>
      <c r="E197" s="42"/>
      <c r="F197" s="43"/>
      <c r="G197" s="43"/>
      <c r="H197" s="43"/>
      <c r="I197" s="43"/>
      <c r="J197" s="42"/>
    </row>
    <row r="198" customFormat="false" ht="15" hidden="false" customHeight="false" outlineLevel="0" collapsed="false">
      <c r="A198" s="68" t="str">
        <f aca="false">IF(D198="","",ROW()-4)</f>
        <v/>
      </c>
      <c r="B198" s="42"/>
      <c r="C198" s="43"/>
      <c r="D198" s="69"/>
      <c r="E198" s="42"/>
      <c r="F198" s="43"/>
      <c r="G198" s="43"/>
      <c r="H198" s="43"/>
      <c r="I198" s="43"/>
      <c r="J198" s="42"/>
    </row>
    <row r="199" customFormat="false" ht="15" hidden="false" customHeight="false" outlineLevel="0" collapsed="false">
      <c r="A199" s="68" t="str">
        <f aca="false">IF(D199="","",ROW()-4)</f>
        <v/>
      </c>
      <c r="B199" s="42"/>
      <c r="C199" s="43"/>
      <c r="D199" s="69"/>
      <c r="E199" s="42"/>
      <c r="F199" s="43"/>
      <c r="G199" s="43"/>
      <c r="H199" s="43"/>
      <c r="I199" s="43"/>
      <c r="J199" s="42"/>
    </row>
    <row r="200" customFormat="false" ht="15" hidden="false" customHeight="false" outlineLevel="0" collapsed="false">
      <c r="A200" s="68" t="str">
        <f aca="false">IF(D200="","",ROW()-4)</f>
        <v/>
      </c>
      <c r="B200" s="42"/>
      <c r="C200" s="43"/>
      <c r="D200" s="69"/>
      <c r="E200" s="42"/>
      <c r="F200" s="43"/>
      <c r="G200" s="43"/>
      <c r="H200" s="43"/>
      <c r="I200" s="43"/>
      <c r="J200" s="42"/>
    </row>
  </sheetData>
  <autoFilter ref="A4:J200"/>
  <mergeCells count="2">
    <mergeCell ref="A1:J1"/>
    <mergeCell ref="A2:J2"/>
  </mergeCells>
  <conditionalFormatting sqref="C5:C200">
    <cfRule type="cellIs" priority="2" operator="equal" aboveAverage="0" equalAverage="0" bottom="0" percent="0" rank="0" text="" dxfId="28">
      <formula>"GET"</formula>
    </cfRule>
    <cfRule type="cellIs" priority="3" operator="equal" aboveAverage="0" equalAverage="0" bottom="0" percent="0" rank="0" text="" dxfId="29">
      <formula>"POST"</formula>
    </cfRule>
    <cfRule type="cellIs" priority="4" operator="equal" aboveAverage="0" equalAverage="0" bottom="0" percent="0" rank="0" text="" dxfId="18">
      <formula>"PUT"</formula>
    </cfRule>
    <cfRule type="cellIs" priority="5" operator="equal" aboveAverage="0" equalAverage="0" bottom="0" percent="0" rank="0" text="" dxfId="30">
      <formula>"PATCH"</formula>
    </cfRule>
    <cfRule type="cellIs" priority="6" operator="equal" aboveAverage="0" equalAverage="0" bottom="0" percent="0" rank="0" text="" dxfId="0">
      <formula>"DELETE"</formula>
    </cfRule>
  </conditionalFormatting>
  <conditionalFormatting sqref="H5:H200">
    <cfRule type="cellIs" priority="7" operator="equal" aboveAverage="0" equalAverage="0" bottom="0" percent="0" rank="0" text="" dxfId="14">
      <formula>"Done"</formula>
    </cfRule>
    <cfRule type="cellIs" priority="8" operator="equal" aboveAverage="0" equalAverage="0" bottom="0" percent="0" rank="0" text="" dxfId="15">
      <formula>"In Progress"</formula>
    </cfRule>
    <cfRule type="cellIs" priority="9" operator="equal" aboveAverage="0" equalAverage="0" bottom="0" percent="0" rank="0" text="" dxfId="16">
      <formula>"Blocked"</formula>
    </cfRule>
    <cfRule type="cellIs" priority="10" operator="equal" aboveAverage="0" equalAverage="0" bottom="0" percent="0" rank="0" text="" dxfId="17">
      <formula>"To Do"</formula>
    </cfRule>
  </conditionalFormatting>
  <conditionalFormatting sqref="I5:I200">
    <cfRule type="cellIs" priority="11" operator="equal" aboveAverage="0" equalAverage="0" bottom="0" percent="0" rank="0" text="" dxfId="14">
      <formula>"Pass"</formula>
    </cfRule>
    <cfRule type="cellIs" priority="12" operator="equal" aboveAverage="0" equalAverage="0" bottom="0" percent="0" rank="0" text="" dxfId="16">
      <formula>"Fail"</formula>
    </cfRule>
    <cfRule type="cellIs" priority="13" operator="equal" aboveAverage="0" equalAverage="0" bottom="0" percent="0" rank="0" text="" dxfId="31">
      <formula>"Retest"</formula>
    </cfRule>
  </conditionalFormatting>
  <dataValidations count="6">
    <dataValidation allowBlank="true" error="Hãy chọn giá trị trong danh sách." errorStyle="stop" errorTitle="Giá trị không hợp lệ" operator="between" showDropDown="false" showErrorMessage="true" showInputMessage="false" sqref="B5:B200" type="list">
      <formula1>L_APIModule</formula1>
      <formula2>0</formula2>
    </dataValidation>
    <dataValidation allowBlank="true" error="Hãy chọn giá trị trong danh sách." errorStyle="stop" errorTitle="Giá trị không hợp lệ" operator="between" showDropDown="false" showErrorMessage="true" showInputMessage="false" sqref="C5:C200" type="list">
      <formula1>L_Method</formula1>
      <formula2>0</formula2>
    </dataValidation>
    <dataValidation allowBlank="true" error="Hãy chọn giá trị trong danh sách." errorStyle="stop" errorTitle="Giá trị không hợp lệ" operator="between" showDropDown="false" showErrorMessage="true" showInputMessage="false" sqref="F5:F200" type="list">
      <formula1>L_Access</formula1>
      <formula2>0</formula2>
    </dataValidation>
    <dataValidation allowBlank="true" error="Hãy chọn giá trị trong danh sách." errorStyle="stop" errorTitle="Giá trị không hợp lệ" operator="between" showDropDown="false" showErrorMessage="true" showInputMessage="false" sqref="G5:G200" type="list">
      <formula1>L_APIPhase</formula1>
      <formula2>0</formula2>
    </dataValidation>
    <dataValidation allowBlank="true" error="Hãy chọn giá trị trong danh sách." errorStyle="stop" errorTitle="Giá trị không hợp lệ" operator="between" showDropDown="false" showErrorMessage="true" showInputMessage="false" sqref="H5:H200" type="list">
      <formula1>L_Status</formula1>
      <formula2>0</formula2>
    </dataValidation>
    <dataValidation allowBlank="true" error="Hãy chọn giá trị trong danh sách." errorStyle="stop" errorTitle="Giá trị không hợp lệ" operator="between" showDropDown="false" showErrorMessage="true" showInputMessage="false" sqref="I5:I200" type="list">
      <formula1>L_Test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72A"/>
    <pageSetUpPr fitToPage="true"/>
  </sheetPr>
  <dimension ref="A1: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32"/>
  </cols>
  <sheetData>
    <row r="1" customFormat="false" ht="33.75" hidden="false" customHeight="true" outlineLevel="0" collapsed="false">
      <c r="A1" s="37" t="s">
        <v>607</v>
      </c>
      <c r="B1" s="37"/>
      <c r="C1" s="37"/>
      <c r="D1" s="37"/>
      <c r="E1" s="37"/>
      <c r="F1" s="37"/>
      <c r="G1" s="37"/>
    </row>
    <row r="2" customFormat="false" ht="21.75" hidden="false" customHeight="true" outlineLevel="0" collapsed="false">
      <c r="A2" s="67" t="str">
        <f aca="false">"Đã xử lý: "&amp;COUNTIF(U_Done,TRUE())&amp;" / "&amp;COUNTIF(U_Item,"?*")&amp;"  •  High chưa xử lý: "&amp;COUNTIFS(U_Prio,"High",U_Done,FALSE())&amp;"  •  Cột E chọn TRUE/FALSE (Google Sheets: Chèn → Hộp kiểm)"</f>
        <v>Đã xử lý: 0 / 22  •  High chưa xử lý: 7  •  Cột E chọn TRUE/FALSE (Google Sheets: Chèn → Hộp kiểm)</v>
      </c>
      <c r="B2" s="67"/>
      <c r="C2" s="67"/>
      <c r="D2" s="67"/>
      <c r="E2" s="67"/>
      <c r="F2" s="67"/>
      <c r="G2" s="67"/>
    </row>
    <row r="4" customFormat="false" ht="31.5" hidden="false" customHeight="true" outlineLevel="0" collapsed="false">
      <c r="A4" s="39" t="s">
        <v>383</v>
      </c>
      <c r="B4" s="39" t="s">
        <v>608</v>
      </c>
      <c r="C4" s="39" t="s">
        <v>609</v>
      </c>
      <c r="D4" s="39" t="s">
        <v>610</v>
      </c>
      <c r="E4" s="39" t="s">
        <v>611</v>
      </c>
      <c r="F4" s="39" t="s">
        <v>78</v>
      </c>
      <c r="G4" s="39" t="s">
        <v>86</v>
      </c>
    </row>
    <row r="5" customFormat="false" ht="15" hidden="false" customHeight="false" outlineLevel="0" collapsed="false">
      <c r="A5" s="68" t="n">
        <f aca="false">IF(C5="","",ROW()-4)</f>
        <v>1</v>
      </c>
      <c r="B5" s="42" t="s">
        <v>612</v>
      </c>
      <c r="C5" s="42" t="s">
        <v>613</v>
      </c>
      <c r="D5" s="43" t="s">
        <v>97</v>
      </c>
      <c r="E5" s="70" t="b">
        <f aca="false">FALSE()</f>
        <v>0</v>
      </c>
      <c r="F5" s="43" t="s">
        <v>95</v>
      </c>
      <c r="G5" s="42" t="s">
        <v>614</v>
      </c>
    </row>
    <row r="6" customFormat="false" ht="15" hidden="false" customHeight="false" outlineLevel="0" collapsed="false">
      <c r="A6" s="68" t="n">
        <f aca="false">IF(C6="","",ROW()-4)</f>
        <v>2</v>
      </c>
      <c r="B6" s="42" t="s">
        <v>615</v>
      </c>
      <c r="C6" s="42" t="s">
        <v>616</v>
      </c>
      <c r="D6" s="43" t="s">
        <v>116</v>
      </c>
      <c r="E6" s="70" t="b">
        <f aca="false">FALSE()</f>
        <v>0</v>
      </c>
      <c r="F6" s="43" t="s">
        <v>95</v>
      </c>
      <c r="G6" s="42"/>
    </row>
    <row r="7" customFormat="false" ht="15" hidden="false" customHeight="false" outlineLevel="0" collapsed="false">
      <c r="A7" s="68" t="n">
        <f aca="false">IF(C7="","",ROW()-4)</f>
        <v>3</v>
      </c>
      <c r="B7" s="42" t="s">
        <v>612</v>
      </c>
      <c r="C7" s="42" t="s">
        <v>617</v>
      </c>
      <c r="D7" s="43" t="s">
        <v>116</v>
      </c>
      <c r="E7" s="70" t="b">
        <f aca="false">FALSE()</f>
        <v>0</v>
      </c>
      <c r="F7" s="43" t="s">
        <v>95</v>
      </c>
      <c r="G7" s="42"/>
    </row>
    <row r="8" customFormat="false" ht="15" hidden="false" customHeight="false" outlineLevel="0" collapsed="false">
      <c r="A8" s="68" t="n">
        <f aca="false">IF(C8="","",ROW()-4)</f>
        <v>4</v>
      </c>
      <c r="B8" s="42" t="s">
        <v>612</v>
      </c>
      <c r="C8" s="42" t="s">
        <v>618</v>
      </c>
      <c r="D8" s="43" t="s">
        <v>146</v>
      </c>
      <c r="E8" s="70" t="b">
        <f aca="false">FALSE()</f>
        <v>0</v>
      </c>
      <c r="F8" s="43" t="s">
        <v>95</v>
      </c>
      <c r="G8" s="42"/>
    </row>
    <row r="9" customFormat="false" ht="15" hidden="false" customHeight="false" outlineLevel="0" collapsed="false">
      <c r="A9" s="68" t="n">
        <f aca="false">IF(C9="","",ROW()-4)</f>
        <v>5</v>
      </c>
      <c r="B9" s="42" t="s">
        <v>619</v>
      </c>
      <c r="C9" s="42" t="s">
        <v>620</v>
      </c>
      <c r="D9" s="43" t="s">
        <v>116</v>
      </c>
      <c r="E9" s="70" t="b">
        <f aca="false">FALSE()</f>
        <v>0</v>
      </c>
      <c r="F9" s="43" t="s">
        <v>95</v>
      </c>
      <c r="G9" s="42" t="s">
        <v>621</v>
      </c>
    </row>
    <row r="10" customFormat="false" ht="15" hidden="false" customHeight="false" outlineLevel="0" collapsed="false">
      <c r="A10" s="68" t="n">
        <f aca="false">IF(C10="","",ROW()-4)</f>
        <v>6</v>
      </c>
      <c r="B10" s="42" t="s">
        <v>612</v>
      </c>
      <c r="C10" s="42" t="s">
        <v>622</v>
      </c>
      <c r="D10" s="43" t="s">
        <v>97</v>
      </c>
      <c r="E10" s="70" t="b">
        <f aca="false">FALSE()</f>
        <v>0</v>
      </c>
      <c r="F10" s="43" t="s">
        <v>95</v>
      </c>
      <c r="G10" s="42" t="s">
        <v>623</v>
      </c>
    </row>
    <row r="11" customFormat="false" ht="15" hidden="false" customHeight="false" outlineLevel="0" collapsed="false">
      <c r="A11" s="68" t="n">
        <f aca="false">IF(C11="","",ROW()-4)</f>
        <v>7</v>
      </c>
      <c r="B11" s="42" t="s">
        <v>612</v>
      </c>
      <c r="C11" s="42" t="s">
        <v>624</v>
      </c>
      <c r="D11" s="43" t="s">
        <v>116</v>
      </c>
      <c r="E11" s="70" t="b">
        <f aca="false">FALSE()</f>
        <v>0</v>
      </c>
      <c r="F11" s="43" t="s">
        <v>95</v>
      </c>
      <c r="G11" s="42"/>
    </row>
    <row r="12" customFormat="false" ht="15" hidden="false" customHeight="false" outlineLevel="0" collapsed="false">
      <c r="A12" s="68" t="n">
        <f aca="false">IF(C12="","",ROW()-4)</f>
        <v>8</v>
      </c>
      <c r="B12" s="42" t="s">
        <v>625</v>
      </c>
      <c r="C12" s="42" t="s">
        <v>626</v>
      </c>
      <c r="D12" s="43" t="s">
        <v>116</v>
      </c>
      <c r="E12" s="70" t="b">
        <f aca="false">FALSE()</f>
        <v>0</v>
      </c>
      <c r="F12" s="43" t="s">
        <v>95</v>
      </c>
      <c r="G12" s="42"/>
    </row>
    <row r="13" customFormat="false" ht="15" hidden="false" customHeight="false" outlineLevel="0" collapsed="false">
      <c r="A13" s="68" t="n">
        <f aca="false">IF(C13="","",ROW()-4)</f>
        <v>9</v>
      </c>
      <c r="B13" s="42" t="s">
        <v>627</v>
      </c>
      <c r="C13" s="42" t="s">
        <v>628</v>
      </c>
      <c r="D13" s="43" t="s">
        <v>97</v>
      </c>
      <c r="E13" s="70" t="b">
        <f aca="false">FALSE()</f>
        <v>0</v>
      </c>
      <c r="F13" s="43" t="s">
        <v>95</v>
      </c>
      <c r="G13" s="42"/>
    </row>
    <row r="14" customFormat="false" ht="15" hidden="false" customHeight="false" outlineLevel="0" collapsed="false">
      <c r="A14" s="68" t="n">
        <f aca="false">IF(C14="","",ROW()-4)</f>
        <v>10</v>
      </c>
      <c r="B14" s="42" t="s">
        <v>629</v>
      </c>
      <c r="C14" s="42" t="s">
        <v>630</v>
      </c>
      <c r="D14" s="43" t="s">
        <v>116</v>
      </c>
      <c r="E14" s="70" t="b">
        <f aca="false">FALSE()</f>
        <v>0</v>
      </c>
      <c r="F14" s="43" t="s">
        <v>95</v>
      </c>
      <c r="G14" s="42" t="s">
        <v>631</v>
      </c>
    </row>
    <row r="15" customFormat="false" ht="15" hidden="false" customHeight="false" outlineLevel="0" collapsed="false">
      <c r="A15" s="68" t="n">
        <f aca="false">IF(C15="","",ROW()-4)</f>
        <v>11</v>
      </c>
      <c r="B15" s="42" t="s">
        <v>629</v>
      </c>
      <c r="C15" s="42" t="s">
        <v>632</v>
      </c>
      <c r="D15" s="43" t="s">
        <v>146</v>
      </c>
      <c r="E15" s="70" t="b">
        <f aca="false">FALSE()</f>
        <v>0</v>
      </c>
      <c r="F15" s="43" t="s">
        <v>95</v>
      </c>
      <c r="G15" s="42"/>
    </row>
    <row r="16" customFormat="false" ht="15" hidden="false" customHeight="false" outlineLevel="0" collapsed="false">
      <c r="A16" s="68" t="n">
        <f aca="false">IF(C16="","",ROW()-4)</f>
        <v>12</v>
      </c>
      <c r="B16" s="42" t="s">
        <v>633</v>
      </c>
      <c r="C16" s="42" t="s">
        <v>634</v>
      </c>
      <c r="D16" s="43" t="s">
        <v>97</v>
      </c>
      <c r="E16" s="70" t="b">
        <f aca="false">FALSE()</f>
        <v>0</v>
      </c>
      <c r="F16" s="43" t="s">
        <v>95</v>
      </c>
      <c r="G16" s="42"/>
    </row>
    <row r="17" customFormat="false" ht="15" hidden="false" customHeight="false" outlineLevel="0" collapsed="false">
      <c r="A17" s="68" t="n">
        <f aca="false">IF(C17="","",ROW()-4)</f>
        <v>13</v>
      </c>
      <c r="B17" s="42" t="s">
        <v>633</v>
      </c>
      <c r="C17" s="42" t="s">
        <v>635</v>
      </c>
      <c r="D17" s="43" t="s">
        <v>97</v>
      </c>
      <c r="E17" s="70" t="b">
        <f aca="false">FALSE()</f>
        <v>0</v>
      </c>
      <c r="F17" s="43" t="s">
        <v>95</v>
      </c>
      <c r="G17" s="42"/>
    </row>
    <row r="18" customFormat="false" ht="15" hidden="false" customHeight="false" outlineLevel="0" collapsed="false">
      <c r="A18" s="68" t="n">
        <f aca="false">IF(C18="","",ROW()-4)</f>
        <v>14</v>
      </c>
      <c r="B18" s="42" t="s">
        <v>619</v>
      </c>
      <c r="C18" s="42" t="s">
        <v>636</v>
      </c>
      <c r="D18" s="43" t="s">
        <v>97</v>
      </c>
      <c r="E18" s="70" t="b">
        <f aca="false">FALSE()</f>
        <v>0</v>
      </c>
      <c r="F18" s="43" t="s">
        <v>95</v>
      </c>
      <c r="G18" s="42"/>
    </row>
    <row r="19" customFormat="false" ht="15" hidden="false" customHeight="false" outlineLevel="0" collapsed="false">
      <c r="A19" s="68" t="n">
        <f aca="false">IF(C19="","",ROW()-4)</f>
        <v>15</v>
      </c>
      <c r="B19" s="42" t="s">
        <v>637</v>
      </c>
      <c r="C19" s="42" t="s">
        <v>638</v>
      </c>
      <c r="D19" s="43" t="s">
        <v>97</v>
      </c>
      <c r="E19" s="70" t="b">
        <f aca="false">FALSE()</f>
        <v>0</v>
      </c>
      <c r="F19" s="43" t="s">
        <v>95</v>
      </c>
      <c r="G19" s="42" t="s">
        <v>639</v>
      </c>
    </row>
    <row r="20" customFormat="false" ht="15" hidden="false" customHeight="false" outlineLevel="0" collapsed="false">
      <c r="A20" s="68" t="n">
        <f aca="false">IF(C20="","",ROW()-4)</f>
        <v>16</v>
      </c>
      <c r="B20" s="42" t="s">
        <v>619</v>
      </c>
      <c r="C20" s="42" t="s">
        <v>640</v>
      </c>
      <c r="D20" s="43" t="s">
        <v>116</v>
      </c>
      <c r="E20" s="70" t="b">
        <f aca="false">FALSE()</f>
        <v>0</v>
      </c>
      <c r="F20" s="43" t="s">
        <v>95</v>
      </c>
      <c r="G20" s="42"/>
    </row>
    <row r="21" customFormat="false" ht="15" hidden="false" customHeight="false" outlineLevel="0" collapsed="false">
      <c r="A21" s="68" t="n">
        <f aca="false">IF(C21="","",ROW()-4)</f>
        <v>17</v>
      </c>
      <c r="B21" s="42" t="s">
        <v>270</v>
      </c>
      <c r="C21" s="42" t="s">
        <v>641</v>
      </c>
      <c r="D21" s="43" t="s">
        <v>146</v>
      </c>
      <c r="E21" s="70" t="b">
        <f aca="false">FALSE()</f>
        <v>0</v>
      </c>
      <c r="F21" s="43" t="s">
        <v>95</v>
      </c>
      <c r="G21" s="42"/>
    </row>
    <row r="22" customFormat="false" ht="15" hidden="false" customHeight="false" outlineLevel="0" collapsed="false">
      <c r="A22" s="68" t="n">
        <f aca="false">IF(C22="","",ROW()-4)</f>
        <v>18</v>
      </c>
      <c r="B22" s="42" t="s">
        <v>642</v>
      </c>
      <c r="C22" s="42" t="s">
        <v>643</v>
      </c>
      <c r="D22" s="43" t="s">
        <v>146</v>
      </c>
      <c r="E22" s="70" t="b">
        <f aca="false">FALSE()</f>
        <v>0</v>
      </c>
      <c r="F22" s="43" t="s">
        <v>95</v>
      </c>
      <c r="G22" s="42"/>
    </row>
    <row r="23" customFormat="false" ht="15" hidden="false" customHeight="false" outlineLevel="0" collapsed="false">
      <c r="A23" s="68" t="n">
        <f aca="false">IF(C23="","",ROW()-4)</f>
        <v>19</v>
      </c>
      <c r="B23" s="42" t="s">
        <v>619</v>
      </c>
      <c r="C23" s="42" t="s">
        <v>644</v>
      </c>
      <c r="D23" s="43" t="s">
        <v>116</v>
      </c>
      <c r="E23" s="70" t="b">
        <f aca="false">FALSE()</f>
        <v>0</v>
      </c>
      <c r="F23" s="43" t="s">
        <v>95</v>
      </c>
      <c r="G23" s="42"/>
    </row>
    <row r="24" customFormat="false" ht="15" hidden="false" customHeight="false" outlineLevel="0" collapsed="false">
      <c r="A24" s="68" t="n">
        <f aca="false">IF(C24="","",ROW()-4)</f>
        <v>20</v>
      </c>
      <c r="B24" s="42" t="s">
        <v>619</v>
      </c>
      <c r="C24" s="42" t="s">
        <v>645</v>
      </c>
      <c r="D24" s="43" t="s">
        <v>116</v>
      </c>
      <c r="E24" s="70" t="b">
        <f aca="false">FALSE()</f>
        <v>0</v>
      </c>
      <c r="F24" s="43" t="s">
        <v>95</v>
      </c>
      <c r="G24" s="42"/>
    </row>
    <row r="25" customFormat="false" ht="15" hidden="false" customHeight="false" outlineLevel="0" collapsed="false">
      <c r="A25" s="68" t="n">
        <f aca="false">IF(C25="","",ROW()-4)</f>
        <v>21</v>
      </c>
      <c r="B25" s="42" t="s">
        <v>646</v>
      </c>
      <c r="C25" s="42" t="s">
        <v>647</v>
      </c>
      <c r="D25" s="43" t="s">
        <v>116</v>
      </c>
      <c r="E25" s="70" t="b">
        <f aca="false">FALSE()</f>
        <v>0</v>
      </c>
      <c r="F25" s="43" t="s">
        <v>95</v>
      </c>
      <c r="G25" s="42"/>
    </row>
    <row r="26" customFormat="false" ht="15" hidden="false" customHeight="false" outlineLevel="0" collapsed="false">
      <c r="A26" s="68" t="n">
        <f aca="false">IF(C26="","",ROW()-4)</f>
        <v>22</v>
      </c>
      <c r="B26" s="42" t="s">
        <v>297</v>
      </c>
      <c r="C26" s="42" t="s">
        <v>648</v>
      </c>
      <c r="D26" s="43" t="s">
        <v>146</v>
      </c>
      <c r="E26" s="70" t="b">
        <f aca="false">FALSE()</f>
        <v>0</v>
      </c>
      <c r="F26" s="43" t="s">
        <v>95</v>
      </c>
      <c r="G26" s="42"/>
    </row>
    <row r="27" customFormat="false" ht="15" hidden="false" customHeight="false" outlineLevel="0" collapsed="false">
      <c r="A27" s="68" t="str">
        <f aca="false">IF(C27="","",ROW()-4)</f>
        <v/>
      </c>
      <c r="B27" s="42"/>
      <c r="C27" s="42"/>
      <c r="D27" s="43"/>
      <c r="E27" s="43"/>
      <c r="F27" s="43"/>
      <c r="G27" s="42"/>
    </row>
    <row r="28" customFormat="false" ht="15" hidden="false" customHeight="false" outlineLevel="0" collapsed="false">
      <c r="A28" s="68" t="str">
        <f aca="false">IF(C28="","",ROW()-4)</f>
        <v/>
      </c>
      <c r="B28" s="42"/>
      <c r="C28" s="42"/>
      <c r="D28" s="43"/>
      <c r="E28" s="43"/>
      <c r="F28" s="43"/>
      <c r="G28" s="42"/>
    </row>
    <row r="29" customFormat="false" ht="15" hidden="false" customHeight="false" outlineLevel="0" collapsed="false">
      <c r="A29" s="68" t="str">
        <f aca="false">IF(C29="","",ROW()-4)</f>
        <v/>
      </c>
      <c r="B29" s="42"/>
      <c r="C29" s="42"/>
      <c r="D29" s="43"/>
      <c r="E29" s="43"/>
      <c r="F29" s="43"/>
      <c r="G29" s="42"/>
    </row>
    <row r="30" customFormat="false" ht="15" hidden="false" customHeight="false" outlineLevel="0" collapsed="false">
      <c r="A30" s="68" t="str">
        <f aca="false">IF(C30="","",ROW()-4)</f>
        <v/>
      </c>
      <c r="B30" s="42"/>
      <c r="C30" s="42"/>
      <c r="D30" s="43"/>
      <c r="E30" s="43"/>
      <c r="F30" s="43"/>
      <c r="G30" s="42"/>
    </row>
    <row r="31" customFormat="false" ht="15" hidden="false" customHeight="false" outlineLevel="0" collapsed="false">
      <c r="A31" s="68" t="str">
        <f aca="false">IF(C31="","",ROW()-4)</f>
        <v/>
      </c>
      <c r="B31" s="42"/>
      <c r="C31" s="42"/>
      <c r="D31" s="43"/>
      <c r="E31" s="43"/>
      <c r="F31" s="43"/>
      <c r="G31" s="42"/>
    </row>
    <row r="32" customFormat="false" ht="15" hidden="false" customHeight="false" outlineLevel="0" collapsed="false">
      <c r="A32" s="68" t="str">
        <f aca="false">IF(C32="","",ROW()-4)</f>
        <v/>
      </c>
      <c r="B32" s="42"/>
      <c r="C32" s="42"/>
      <c r="D32" s="43"/>
      <c r="E32" s="43"/>
      <c r="F32" s="43"/>
      <c r="G32" s="42"/>
    </row>
    <row r="33" customFormat="false" ht="15" hidden="false" customHeight="false" outlineLevel="0" collapsed="false">
      <c r="A33" s="68" t="str">
        <f aca="false">IF(C33="","",ROW()-4)</f>
        <v/>
      </c>
      <c r="B33" s="42"/>
      <c r="C33" s="42"/>
      <c r="D33" s="43"/>
      <c r="E33" s="43"/>
      <c r="F33" s="43"/>
      <c r="G33" s="42"/>
    </row>
    <row r="34" customFormat="false" ht="15" hidden="false" customHeight="false" outlineLevel="0" collapsed="false">
      <c r="A34" s="68" t="str">
        <f aca="false">IF(C34="","",ROW()-4)</f>
        <v/>
      </c>
      <c r="B34" s="42"/>
      <c r="C34" s="42"/>
      <c r="D34" s="43"/>
      <c r="E34" s="43"/>
      <c r="F34" s="43"/>
      <c r="G34" s="42"/>
    </row>
    <row r="35" customFormat="false" ht="15" hidden="false" customHeight="false" outlineLevel="0" collapsed="false">
      <c r="A35" s="68" t="str">
        <f aca="false">IF(C35="","",ROW()-4)</f>
        <v/>
      </c>
      <c r="B35" s="42"/>
      <c r="C35" s="42"/>
      <c r="D35" s="43"/>
      <c r="E35" s="43"/>
      <c r="F35" s="43"/>
      <c r="G35" s="42"/>
    </row>
    <row r="36" customFormat="false" ht="15" hidden="false" customHeight="false" outlineLevel="0" collapsed="false">
      <c r="A36" s="68" t="str">
        <f aca="false">IF(C36="","",ROW()-4)</f>
        <v/>
      </c>
      <c r="B36" s="42"/>
      <c r="C36" s="42"/>
      <c r="D36" s="43"/>
      <c r="E36" s="43"/>
      <c r="F36" s="43"/>
      <c r="G36" s="42"/>
    </row>
    <row r="37" customFormat="false" ht="15" hidden="false" customHeight="false" outlineLevel="0" collapsed="false">
      <c r="A37" s="68" t="str">
        <f aca="false">IF(C37="","",ROW()-4)</f>
        <v/>
      </c>
      <c r="B37" s="42"/>
      <c r="C37" s="42"/>
      <c r="D37" s="43"/>
      <c r="E37" s="43"/>
      <c r="F37" s="43"/>
      <c r="G37" s="42"/>
    </row>
    <row r="38" customFormat="false" ht="15" hidden="false" customHeight="false" outlineLevel="0" collapsed="false">
      <c r="A38" s="68" t="str">
        <f aca="false">IF(C38="","",ROW()-4)</f>
        <v/>
      </c>
      <c r="B38" s="42"/>
      <c r="C38" s="42"/>
      <c r="D38" s="43"/>
      <c r="E38" s="43"/>
      <c r="F38" s="43"/>
      <c r="G38" s="42"/>
    </row>
    <row r="39" customFormat="false" ht="15" hidden="false" customHeight="false" outlineLevel="0" collapsed="false">
      <c r="A39" s="68" t="str">
        <f aca="false">IF(C39="","",ROW()-4)</f>
        <v/>
      </c>
      <c r="B39" s="42"/>
      <c r="C39" s="42"/>
      <c r="D39" s="43"/>
      <c r="E39" s="43"/>
      <c r="F39" s="43"/>
      <c r="G39" s="42"/>
    </row>
    <row r="40" customFormat="false" ht="15" hidden="false" customHeight="false" outlineLevel="0" collapsed="false">
      <c r="A40" s="68" t="str">
        <f aca="false">IF(C40="","",ROW()-4)</f>
        <v/>
      </c>
      <c r="B40" s="42"/>
      <c r="C40" s="42"/>
      <c r="D40" s="43"/>
      <c r="E40" s="43"/>
      <c r="F40" s="43"/>
      <c r="G40" s="42"/>
    </row>
    <row r="41" customFormat="false" ht="15" hidden="false" customHeight="false" outlineLevel="0" collapsed="false">
      <c r="A41" s="68" t="str">
        <f aca="false">IF(C41="","",ROW()-4)</f>
        <v/>
      </c>
      <c r="B41" s="42"/>
      <c r="C41" s="42"/>
      <c r="D41" s="43"/>
      <c r="E41" s="43"/>
      <c r="F41" s="43"/>
      <c r="G41" s="42"/>
    </row>
    <row r="42" customFormat="false" ht="15" hidden="false" customHeight="false" outlineLevel="0" collapsed="false">
      <c r="A42" s="68" t="str">
        <f aca="false">IF(C42="","",ROW()-4)</f>
        <v/>
      </c>
      <c r="B42" s="42"/>
      <c r="C42" s="42"/>
      <c r="D42" s="43"/>
      <c r="E42" s="43"/>
      <c r="F42" s="43"/>
      <c r="G42" s="42"/>
    </row>
    <row r="43" customFormat="false" ht="15" hidden="false" customHeight="false" outlineLevel="0" collapsed="false">
      <c r="A43" s="68" t="str">
        <f aca="false">IF(C43="","",ROW()-4)</f>
        <v/>
      </c>
      <c r="B43" s="42"/>
      <c r="C43" s="42"/>
      <c r="D43" s="43"/>
      <c r="E43" s="43"/>
      <c r="F43" s="43"/>
      <c r="G43" s="42"/>
    </row>
    <row r="44" customFormat="false" ht="15" hidden="false" customHeight="false" outlineLevel="0" collapsed="false">
      <c r="A44" s="68" t="str">
        <f aca="false">IF(C44="","",ROW()-4)</f>
        <v/>
      </c>
      <c r="B44" s="42"/>
      <c r="C44" s="42"/>
      <c r="D44" s="43"/>
      <c r="E44" s="43"/>
      <c r="F44" s="43"/>
      <c r="G44" s="42"/>
    </row>
    <row r="45" customFormat="false" ht="15" hidden="false" customHeight="false" outlineLevel="0" collapsed="false">
      <c r="A45" s="68" t="str">
        <f aca="false">IF(C45="","",ROW()-4)</f>
        <v/>
      </c>
      <c r="B45" s="42"/>
      <c r="C45" s="42"/>
      <c r="D45" s="43"/>
      <c r="E45" s="43"/>
      <c r="F45" s="43"/>
      <c r="G45" s="42"/>
    </row>
    <row r="46" customFormat="false" ht="15" hidden="false" customHeight="false" outlineLevel="0" collapsed="false">
      <c r="A46" s="68" t="str">
        <f aca="false">IF(C46="","",ROW()-4)</f>
        <v/>
      </c>
      <c r="B46" s="42"/>
      <c r="C46" s="42"/>
      <c r="D46" s="43"/>
      <c r="E46" s="43"/>
      <c r="F46" s="43"/>
      <c r="G46" s="42"/>
    </row>
    <row r="47" customFormat="false" ht="15" hidden="false" customHeight="false" outlineLevel="0" collapsed="false">
      <c r="A47" s="68" t="str">
        <f aca="false">IF(C47="","",ROW()-4)</f>
        <v/>
      </c>
      <c r="B47" s="42"/>
      <c r="C47" s="42"/>
      <c r="D47" s="43"/>
      <c r="E47" s="43"/>
      <c r="F47" s="43"/>
      <c r="G47" s="42"/>
    </row>
    <row r="48" customFormat="false" ht="15" hidden="false" customHeight="false" outlineLevel="0" collapsed="false">
      <c r="A48" s="68" t="str">
        <f aca="false">IF(C48="","",ROW()-4)</f>
        <v/>
      </c>
      <c r="B48" s="42"/>
      <c r="C48" s="42"/>
      <c r="D48" s="43"/>
      <c r="E48" s="43"/>
      <c r="F48" s="43"/>
      <c r="G48" s="42"/>
    </row>
    <row r="49" customFormat="false" ht="15" hidden="false" customHeight="false" outlineLevel="0" collapsed="false">
      <c r="A49" s="68" t="str">
        <f aca="false">IF(C49="","",ROW()-4)</f>
        <v/>
      </c>
      <c r="B49" s="42"/>
      <c r="C49" s="42"/>
      <c r="D49" s="43"/>
      <c r="E49" s="43"/>
      <c r="F49" s="43"/>
      <c r="G49" s="42"/>
    </row>
    <row r="50" customFormat="false" ht="15" hidden="false" customHeight="false" outlineLevel="0" collapsed="false">
      <c r="A50" s="68" t="str">
        <f aca="false">IF(C50="","",ROW()-4)</f>
        <v/>
      </c>
      <c r="B50" s="42"/>
      <c r="C50" s="42"/>
      <c r="D50" s="43"/>
      <c r="E50" s="43"/>
      <c r="F50" s="43"/>
      <c r="G50" s="42"/>
    </row>
    <row r="51" customFormat="false" ht="15" hidden="false" customHeight="false" outlineLevel="0" collapsed="false">
      <c r="A51" s="68" t="str">
        <f aca="false">IF(C51="","",ROW()-4)</f>
        <v/>
      </c>
      <c r="B51" s="42"/>
      <c r="C51" s="42"/>
      <c r="D51" s="43"/>
      <c r="E51" s="43"/>
      <c r="F51" s="43"/>
      <c r="G51" s="42"/>
    </row>
    <row r="52" customFormat="false" ht="15" hidden="false" customHeight="false" outlineLevel="0" collapsed="false">
      <c r="A52" s="68" t="str">
        <f aca="false">IF(C52="","",ROW()-4)</f>
        <v/>
      </c>
      <c r="B52" s="42"/>
      <c r="C52" s="42"/>
      <c r="D52" s="43"/>
      <c r="E52" s="43"/>
      <c r="F52" s="43"/>
      <c r="G52" s="42"/>
    </row>
    <row r="53" customFormat="false" ht="15" hidden="false" customHeight="false" outlineLevel="0" collapsed="false">
      <c r="A53" s="68" t="str">
        <f aca="false">IF(C53="","",ROW()-4)</f>
        <v/>
      </c>
      <c r="B53" s="42"/>
      <c r="C53" s="42"/>
      <c r="D53" s="43"/>
      <c r="E53" s="43"/>
      <c r="F53" s="43"/>
      <c r="G53" s="42"/>
    </row>
    <row r="54" customFormat="false" ht="15" hidden="false" customHeight="false" outlineLevel="0" collapsed="false">
      <c r="A54" s="68" t="str">
        <f aca="false">IF(C54="","",ROW()-4)</f>
        <v/>
      </c>
      <c r="B54" s="42"/>
      <c r="C54" s="42"/>
      <c r="D54" s="43"/>
      <c r="E54" s="43"/>
      <c r="F54" s="43"/>
      <c r="G54" s="42"/>
    </row>
    <row r="55" customFormat="false" ht="15" hidden="false" customHeight="false" outlineLevel="0" collapsed="false">
      <c r="A55" s="68" t="str">
        <f aca="false">IF(C55="","",ROW()-4)</f>
        <v/>
      </c>
      <c r="B55" s="42"/>
      <c r="C55" s="42"/>
      <c r="D55" s="43"/>
      <c r="E55" s="43"/>
      <c r="F55" s="43"/>
      <c r="G55" s="42"/>
    </row>
    <row r="56" customFormat="false" ht="15" hidden="false" customHeight="false" outlineLevel="0" collapsed="false">
      <c r="A56" s="68" t="str">
        <f aca="false">IF(C56="","",ROW()-4)</f>
        <v/>
      </c>
      <c r="B56" s="42"/>
      <c r="C56" s="42"/>
      <c r="D56" s="43"/>
      <c r="E56" s="43"/>
      <c r="F56" s="43"/>
      <c r="G56" s="42"/>
    </row>
    <row r="57" customFormat="false" ht="15" hidden="false" customHeight="false" outlineLevel="0" collapsed="false">
      <c r="A57" s="68" t="str">
        <f aca="false">IF(C57="","",ROW()-4)</f>
        <v/>
      </c>
      <c r="B57" s="42"/>
      <c r="C57" s="42"/>
      <c r="D57" s="43"/>
      <c r="E57" s="43"/>
      <c r="F57" s="43"/>
      <c r="G57" s="42"/>
    </row>
    <row r="58" customFormat="false" ht="15" hidden="false" customHeight="false" outlineLevel="0" collapsed="false">
      <c r="A58" s="68" t="str">
        <f aca="false">IF(C58="","",ROW()-4)</f>
        <v/>
      </c>
      <c r="B58" s="42"/>
      <c r="C58" s="42"/>
      <c r="D58" s="43"/>
      <c r="E58" s="43"/>
      <c r="F58" s="43"/>
      <c r="G58" s="42"/>
    </row>
    <row r="59" customFormat="false" ht="15" hidden="false" customHeight="false" outlineLevel="0" collapsed="false">
      <c r="A59" s="68" t="str">
        <f aca="false">IF(C59="","",ROW()-4)</f>
        <v/>
      </c>
      <c r="B59" s="42"/>
      <c r="C59" s="42"/>
      <c r="D59" s="43"/>
      <c r="E59" s="43"/>
      <c r="F59" s="43"/>
      <c r="G59" s="42"/>
    </row>
    <row r="60" customFormat="false" ht="15" hidden="false" customHeight="false" outlineLevel="0" collapsed="false">
      <c r="A60" s="68" t="str">
        <f aca="false">IF(C60="","",ROW()-4)</f>
        <v/>
      </c>
      <c r="B60" s="42"/>
      <c r="C60" s="42"/>
      <c r="D60" s="43"/>
      <c r="E60" s="43"/>
      <c r="F60" s="43"/>
      <c r="G60" s="42"/>
    </row>
    <row r="61" customFormat="false" ht="15" hidden="false" customHeight="false" outlineLevel="0" collapsed="false">
      <c r="A61" s="68" t="str">
        <f aca="false">IF(C61="","",ROW()-4)</f>
        <v/>
      </c>
      <c r="B61" s="42"/>
      <c r="C61" s="42"/>
      <c r="D61" s="43"/>
      <c r="E61" s="43"/>
      <c r="F61" s="43"/>
      <c r="G61" s="42"/>
    </row>
    <row r="62" customFormat="false" ht="15" hidden="false" customHeight="false" outlineLevel="0" collapsed="false">
      <c r="A62" s="68" t="str">
        <f aca="false">IF(C62="","",ROW()-4)</f>
        <v/>
      </c>
      <c r="B62" s="42"/>
      <c r="C62" s="42"/>
      <c r="D62" s="43"/>
      <c r="E62" s="43"/>
      <c r="F62" s="43"/>
      <c r="G62" s="42"/>
    </row>
    <row r="63" customFormat="false" ht="15" hidden="false" customHeight="false" outlineLevel="0" collapsed="false">
      <c r="A63" s="68" t="str">
        <f aca="false">IF(C63="","",ROW()-4)</f>
        <v/>
      </c>
      <c r="B63" s="42"/>
      <c r="C63" s="42"/>
      <c r="D63" s="43"/>
      <c r="E63" s="43"/>
      <c r="F63" s="43"/>
      <c r="G63" s="42"/>
    </row>
    <row r="64" customFormat="false" ht="15" hidden="false" customHeight="false" outlineLevel="0" collapsed="false">
      <c r="A64" s="68" t="str">
        <f aca="false">IF(C64="","",ROW()-4)</f>
        <v/>
      </c>
      <c r="B64" s="42"/>
      <c r="C64" s="42"/>
      <c r="D64" s="43"/>
      <c r="E64" s="43"/>
      <c r="F64" s="43"/>
      <c r="G64" s="42"/>
    </row>
    <row r="65" customFormat="false" ht="15" hidden="false" customHeight="false" outlineLevel="0" collapsed="false">
      <c r="A65" s="68" t="str">
        <f aca="false">IF(C65="","",ROW()-4)</f>
        <v/>
      </c>
      <c r="B65" s="42"/>
      <c r="C65" s="42"/>
      <c r="D65" s="43"/>
      <c r="E65" s="43"/>
      <c r="F65" s="43"/>
      <c r="G65" s="42"/>
    </row>
    <row r="66" customFormat="false" ht="15" hidden="false" customHeight="false" outlineLevel="0" collapsed="false">
      <c r="A66" s="68" t="str">
        <f aca="false">IF(C66="","",ROW()-4)</f>
        <v/>
      </c>
      <c r="B66" s="42"/>
      <c r="C66" s="42"/>
      <c r="D66" s="43"/>
      <c r="E66" s="43"/>
      <c r="F66" s="43"/>
      <c r="G66" s="42"/>
    </row>
    <row r="67" customFormat="false" ht="15" hidden="false" customHeight="false" outlineLevel="0" collapsed="false">
      <c r="A67" s="68" t="str">
        <f aca="false">IF(C67="","",ROW()-4)</f>
        <v/>
      </c>
      <c r="B67" s="42"/>
      <c r="C67" s="42"/>
      <c r="D67" s="43"/>
      <c r="E67" s="43"/>
      <c r="F67" s="43"/>
      <c r="G67" s="42"/>
    </row>
    <row r="68" customFormat="false" ht="15" hidden="false" customHeight="false" outlineLevel="0" collapsed="false">
      <c r="A68" s="68" t="str">
        <f aca="false">IF(C68="","",ROW()-4)</f>
        <v/>
      </c>
      <c r="B68" s="42"/>
      <c r="C68" s="42"/>
      <c r="D68" s="43"/>
      <c r="E68" s="43"/>
      <c r="F68" s="43"/>
      <c r="G68" s="42"/>
    </row>
    <row r="69" customFormat="false" ht="15" hidden="false" customHeight="false" outlineLevel="0" collapsed="false">
      <c r="A69" s="68" t="str">
        <f aca="false">IF(C69="","",ROW()-4)</f>
        <v/>
      </c>
      <c r="B69" s="42"/>
      <c r="C69" s="42"/>
      <c r="D69" s="43"/>
      <c r="E69" s="43"/>
      <c r="F69" s="43"/>
      <c r="G69" s="42"/>
    </row>
    <row r="70" customFormat="false" ht="15" hidden="false" customHeight="false" outlineLevel="0" collapsed="false">
      <c r="A70" s="68" t="str">
        <f aca="false">IF(C70="","",ROW()-4)</f>
        <v/>
      </c>
      <c r="B70" s="42"/>
      <c r="C70" s="42"/>
      <c r="D70" s="43"/>
      <c r="E70" s="43"/>
      <c r="F70" s="43"/>
      <c r="G70" s="42"/>
    </row>
    <row r="71" customFormat="false" ht="15" hidden="false" customHeight="false" outlineLevel="0" collapsed="false">
      <c r="A71" s="68" t="str">
        <f aca="false">IF(C71="","",ROW()-4)</f>
        <v/>
      </c>
      <c r="B71" s="42"/>
      <c r="C71" s="42"/>
      <c r="D71" s="43"/>
      <c r="E71" s="43"/>
      <c r="F71" s="43"/>
      <c r="G71" s="42"/>
    </row>
    <row r="72" customFormat="false" ht="15" hidden="false" customHeight="false" outlineLevel="0" collapsed="false">
      <c r="A72" s="68" t="str">
        <f aca="false">IF(C72="","",ROW()-4)</f>
        <v/>
      </c>
      <c r="B72" s="42"/>
      <c r="C72" s="42"/>
      <c r="D72" s="43"/>
      <c r="E72" s="43"/>
      <c r="F72" s="43"/>
      <c r="G72" s="42"/>
    </row>
    <row r="73" customFormat="false" ht="15" hidden="false" customHeight="false" outlineLevel="0" collapsed="false">
      <c r="A73" s="68" t="str">
        <f aca="false">IF(C73="","",ROW()-4)</f>
        <v/>
      </c>
      <c r="B73" s="42"/>
      <c r="C73" s="42"/>
      <c r="D73" s="43"/>
      <c r="E73" s="43"/>
      <c r="F73" s="43"/>
      <c r="G73" s="42"/>
    </row>
    <row r="74" customFormat="false" ht="15" hidden="false" customHeight="false" outlineLevel="0" collapsed="false">
      <c r="A74" s="68" t="str">
        <f aca="false">IF(C74="","",ROW()-4)</f>
        <v/>
      </c>
      <c r="B74" s="42"/>
      <c r="C74" s="42"/>
      <c r="D74" s="43"/>
      <c r="E74" s="43"/>
      <c r="F74" s="43"/>
      <c r="G74" s="42"/>
    </row>
    <row r="75" customFormat="false" ht="15" hidden="false" customHeight="false" outlineLevel="0" collapsed="false">
      <c r="A75" s="68" t="str">
        <f aca="false">IF(C75="","",ROW()-4)</f>
        <v/>
      </c>
      <c r="B75" s="42"/>
      <c r="C75" s="42"/>
      <c r="D75" s="43"/>
      <c r="E75" s="43"/>
      <c r="F75" s="43"/>
      <c r="G75" s="42"/>
    </row>
    <row r="76" customFormat="false" ht="15" hidden="false" customHeight="false" outlineLevel="0" collapsed="false">
      <c r="A76" s="68" t="str">
        <f aca="false">IF(C76="","",ROW()-4)</f>
        <v/>
      </c>
      <c r="B76" s="42"/>
      <c r="C76" s="42"/>
      <c r="D76" s="43"/>
      <c r="E76" s="43"/>
      <c r="F76" s="43"/>
      <c r="G76" s="42"/>
    </row>
    <row r="77" customFormat="false" ht="15" hidden="false" customHeight="false" outlineLevel="0" collapsed="false">
      <c r="A77" s="68" t="str">
        <f aca="false">IF(C77="","",ROW()-4)</f>
        <v/>
      </c>
      <c r="B77" s="42"/>
      <c r="C77" s="42"/>
      <c r="D77" s="43"/>
      <c r="E77" s="43"/>
      <c r="F77" s="43"/>
      <c r="G77" s="42"/>
    </row>
    <row r="78" customFormat="false" ht="15" hidden="false" customHeight="false" outlineLevel="0" collapsed="false">
      <c r="A78" s="68" t="str">
        <f aca="false">IF(C78="","",ROW()-4)</f>
        <v/>
      </c>
      <c r="B78" s="42"/>
      <c r="C78" s="42"/>
      <c r="D78" s="43"/>
      <c r="E78" s="43"/>
      <c r="F78" s="43"/>
      <c r="G78" s="42"/>
    </row>
    <row r="79" customFormat="false" ht="15" hidden="false" customHeight="false" outlineLevel="0" collapsed="false">
      <c r="A79" s="68" t="str">
        <f aca="false">IF(C79="","",ROW()-4)</f>
        <v/>
      </c>
      <c r="B79" s="42"/>
      <c r="C79" s="42"/>
      <c r="D79" s="43"/>
      <c r="E79" s="43"/>
      <c r="F79" s="43"/>
      <c r="G79" s="42"/>
    </row>
    <row r="80" customFormat="false" ht="15" hidden="false" customHeight="false" outlineLevel="0" collapsed="false">
      <c r="A80" s="68" t="str">
        <f aca="false">IF(C80="","",ROW()-4)</f>
        <v/>
      </c>
      <c r="B80" s="42"/>
      <c r="C80" s="42"/>
      <c r="D80" s="43"/>
      <c r="E80" s="43"/>
      <c r="F80" s="43"/>
      <c r="G80" s="42"/>
    </row>
    <row r="81" customFormat="false" ht="15" hidden="false" customHeight="false" outlineLevel="0" collapsed="false">
      <c r="A81" s="68" t="str">
        <f aca="false">IF(C81="","",ROW()-4)</f>
        <v/>
      </c>
      <c r="B81" s="42"/>
      <c r="C81" s="42"/>
      <c r="D81" s="43"/>
      <c r="E81" s="43"/>
      <c r="F81" s="43"/>
      <c r="G81" s="42"/>
    </row>
    <row r="82" customFormat="false" ht="15" hidden="false" customHeight="false" outlineLevel="0" collapsed="false">
      <c r="A82" s="68" t="str">
        <f aca="false">IF(C82="","",ROW()-4)</f>
        <v/>
      </c>
      <c r="B82" s="42"/>
      <c r="C82" s="42"/>
      <c r="D82" s="43"/>
      <c r="E82" s="43"/>
      <c r="F82" s="43"/>
      <c r="G82" s="42"/>
    </row>
    <row r="83" customFormat="false" ht="15" hidden="false" customHeight="false" outlineLevel="0" collapsed="false">
      <c r="A83" s="68" t="str">
        <f aca="false">IF(C83="","",ROW()-4)</f>
        <v/>
      </c>
      <c r="B83" s="42"/>
      <c r="C83" s="42"/>
      <c r="D83" s="43"/>
      <c r="E83" s="43"/>
      <c r="F83" s="43"/>
      <c r="G83" s="42"/>
    </row>
    <row r="84" customFormat="false" ht="15" hidden="false" customHeight="false" outlineLevel="0" collapsed="false">
      <c r="A84" s="68" t="str">
        <f aca="false">IF(C84="","",ROW()-4)</f>
        <v/>
      </c>
      <c r="B84" s="42"/>
      <c r="C84" s="42"/>
      <c r="D84" s="43"/>
      <c r="E84" s="43"/>
      <c r="F84" s="43"/>
      <c r="G84" s="42"/>
    </row>
    <row r="85" customFormat="false" ht="15" hidden="false" customHeight="false" outlineLevel="0" collapsed="false">
      <c r="A85" s="68" t="str">
        <f aca="false">IF(C85="","",ROW()-4)</f>
        <v/>
      </c>
      <c r="B85" s="42"/>
      <c r="C85" s="42"/>
      <c r="D85" s="43"/>
      <c r="E85" s="43"/>
      <c r="F85" s="43"/>
      <c r="G85" s="42"/>
    </row>
    <row r="86" customFormat="false" ht="15" hidden="false" customHeight="false" outlineLevel="0" collapsed="false">
      <c r="A86" s="68" t="str">
        <f aca="false">IF(C86="","",ROW()-4)</f>
        <v/>
      </c>
      <c r="B86" s="42"/>
      <c r="C86" s="42"/>
      <c r="D86" s="43"/>
      <c r="E86" s="43"/>
      <c r="F86" s="43"/>
      <c r="G86" s="42"/>
    </row>
    <row r="87" customFormat="false" ht="15" hidden="false" customHeight="false" outlineLevel="0" collapsed="false">
      <c r="A87" s="68" t="str">
        <f aca="false">IF(C87="","",ROW()-4)</f>
        <v/>
      </c>
      <c r="B87" s="42"/>
      <c r="C87" s="42"/>
      <c r="D87" s="43"/>
      <c r="E87" s="43"/>
      <c r="F87" s="43"/>
      <c r="G87" s="42"/>
    </row>
    <row r="88" customFormat="false" ht="15" hidden="false" customHeight="false" outlineLevel="0" collapsed="false">
      <c r="A88" s="68" t="str">
        <f aca="false">IF(C88="","",ROW()-4)</f>
        <v/>
      </c>
      <c r="B88" s="42"/>
      <c r="C88" s="42"/>
      <c r="D88" s="43"/>
      <c r="E88" s="43"/>
      <c r="F88" s="43"/>
      <c r="G88" s="42"/>
    </row>
    <row r="89" customFormat="false" ht="15" hidden="false" customHeight="false" outlineLevel="0" collapsed="false">
      <c r="A89" s="68" t="str">
        <f aca="false">IF(C89="","",ROW()-4)</f>
        <v/>
      </c>
      <c r="B89" s="42"/>
      <c r="C89" s="42"/>
      <c r="D89" s="43"/>
      <c r="E89" s="43"/>
      <c r="F89" s="43"/>
      <c r="G89" s="42"/>
    </row>
    <row r="90" customFormat="false" ht="15" hidden="false" customHeight="false" outlineLevel="0" collapsed="false">
      <c r="A90" s="68" t="str">
        <f aca="false">IF(C90="","",ROW()-4)</f>
        <v/>
      </c>
      <c r="B90" s="42"/>
      <c r="C90" s="42"/>
      <c r="D90" s="43"/>
      <c r="E90" s="43"/>
      <c r="F90" s="43"/>
      <c r="G90" s="42"/>
    </row>
    <row r="91" customFormat="false" ht="15" hidden="false" customHeight="false" outlineLevel="0" collapsed="false">
      <c r="A91" s="68" t="str">
        <f aca="false">IF(C91="","",ROW()-4)</f>
        <v/>
      </c>
      <c r="B91" s="42"/>
      <c r="C91" s="42"/>
      <c r="D91" s="43"/>
      <c r="E91" s="43"/>
      <c r="F91" s="43"/>
      <c r="G91" s="42"/>
    </row>
    <row r="92" customFormat="false" ht="15" hidden="false" customHeight="false" outlineLevel="0" collapsed="false">
      <c r="A92" s="68" t="str">
        <f aca="false">IF(C92="","",ROW()-4)</f>
        <v/>
      </c>
      <c r="B92" s="42"/>
      <c r="C92" s="42"/>
      <c r="D92" s="43"/>
      <c r="E92" s="43"/>
      <c r="F92" s="43"/>
      <c r="G92" s="42"/>
    </row>
    <row r="93" customFormat="false" ht="15" hidden="false" customHeight="false" outlineLevel="0" collapsed="false">
      <c r="A93" s="68" t="str">
        <f aca="false">IF(C93="","",ROW()-4)</f>
        <v/>
      </c>
      <c r="B93" s="42"/>
      <c r="C93" s="42"/>
      <c r="D93" s="43"/>
      <c r="E93" s="43"/>
      <c r="F93" s="43"/>
      <c r="G93" s="42"/>
    </row>
    <row r="94" customFormat="false" ht="15" hidden="false" customHeight="false" outlineLevel="0" collapsed="false">
      <c r="A94" s="68" t="str">
        <f aca="false">IF(C94="","",ROW()-4)</f>
        <v/>
      </c>
      <c r="B94" s="42"/>
      <c r="C94" s="42"/>
      <c r="D94" s="43"/>
      <c r="E94" s="43"/>
      <c r="F94" s="43"/>
      <c r="G94" s="42"/>
    </row>
    <row r="95" customFormat="false" ht="15" hidden="false" customHeight="false" outlineLevel="0" collapsed="false">
      <c r="A95" s="68" t="str">
        <f aca="false">IF(C95="","",ROW()-4)</f>
        <v/>
      </c>
      <c r="B95" s="42"/>
      <c r="C95" s="42"/>
      <c r="D95" s="43"/>
      <c r="E95" s="43"/>
      <c r="F95" s="43"/>
      <c r="G95" s="42"/>
    </row>
    <row r="96" customFormat="false" ht="15" hidden="false" customHeight="false" outlineLevel="0" collapsed="false">
      <c r="A96" s="68" t="str">
        <f aca="false">IF(C96="","",ROW()-4)</f>
        <v/>
      </c>
      <c r="B96" s="42"/>
      <c r="C96" s="42"/>
      <c r="D96" s="43"/>
      <c r="E96" s="43"/>
      <c r="F96" s="43"/>
      <c r="G96" s="42"/>
    </row>
    <row r="97" customFormat="false" ht="15" hidden="false" customHeight="false" outlineLevel="0" collapsed="false">
      <c r="A97" s="68" t="str">
        <f aca="false">IF(C97="","",ROW()-4)</f>
        <v/>
      </c>
      <c r="B97" s="42"/>
      <c r="C97" s="42"/>
      <c r="D97" s="43"/>
      <c r="E97" s="43"/>
      <c r="F97" s="43"/>
      <c r="G97" s="42"/>
    </row>
    <row r="98" customFormat="false" ht="15" hidden="false" customHeight="false" outlineLevel="0" collapsed="false">
      <c r="A98" s="68" t="str">
        <f aca="false">IF(C98="","",ROW()-4)</f>
        <v/>
      </c>
      <c r="B98" s="42"/>
      <c r="C98" s="42"/>
      <c r="D98" s="43"/>
      <c r="E98" s="43"/>
      <c r="F98" s="43"/>
      <c r="G98" s="42"/>
    </row>
    <row r="99" customFormat="false" ht="15" hidden="false" customHeight="false" outlineLevel="0" collapsed="false">
      <c r="A99" s="68" t="str">
        <f aca="false">IF(C99="","",ROW()-4)</f>
        <v/>
      </c>
      <c r="B99" s="42"/>
      <c r="C99" s="42"/>
      <c r="D99" s="43"/>
      <c r="E99" s="43"/>
      <c r="F99" s="43"/>
      <c r="G99" s="42"/>
    </row>
    <row r="100" customFormat="false" ht="15" hidden="false" customHeight="false" outlineLevel="0" collapsed="false">
      <c r="A100" s="68" t="str">
        <f aca="false">IF(C100="","",ROW()-4)</f>
        <v/>
      </c>
      <c r="B100" s="42"/>
      <c r="C100" s="42"/>
      <c r="D100" s="43"/>
      <c r="E100" s="43"/>
      <c r="F100" s="43"/>
      <c r="G100" s="42"/>
    </row>
    <row r="101" customFormat="false" ht="15" hidden="false" customHeight="false" outlineLevel="0" collapsed="false">
      <c r="A101" s="68" t="str">
        <f aca="false">IF(C101="","",ROW()-4)</f>
        <v/>
      </c>
      <c r="B101" s="42"/>
      <c r="C101" s="42"/>
      <c r="D101" s="43"/>
      <c r="E101" s="43"/>
      <c r="F101" s="43"/>
      <c r="G101" s="42"/>
    </row>
    <row r="102" customFormat="false" ht="15" hidden="false" customHeight="false" outlineLevel="0" collapsed="false">
      <c r="A102" s="68" t="str">
        <f aca="false">IF(C102="","",ROW()-4)</f>
        <v/>
      </c>
      <c r="B102" s="42"/>
      <c r="C102" s="42"/>
      <c r="D102" s="43"/>
      <c r="E102" s="43"/>
      <c r="F102" s="43"/>
      <c r="G102" s="42"/>
    </row>
    <row r="103" customFormat="false" ht="15" hidden="false" customHeight="false" outlineLevel="0" collapsed="false">
      <c r="A103" s="68" t="str">
        <f aca="false">IF(C103="","",ROW()-4)</f>
        <v/>
      </c>
      <c r="B103" s="42"/>
      <c r="C103" s="42"/>
      <c r="D103" s="43"/>
      <c r="E103" s="43"/>
      <c r="F103" s="43"/>
      <c r="G103" s="42"/>
    </row>
    <row r="104" customFormat="false" ht="15" hidden="false" customHeight="false" outlineLevel="0" collapsed="false">
      <c r="A104" s="68" t="str">
        <f aca="false">IF(C104="","",ROW()-4)</f>
        <v/>
      </c>
      <c r="B104" s="42"/>
      <c r="C104" s="42"/>
      <c r="D104" s="43"/>
      <c r="E104" s="43"/>
      <c r="F104" s="43"/>
      <c r="G104" s="42"/>
    </row>
    <row r="105" customFormat="false" ht="15" hidden="false" customHeight="false" outlineLevel="0" collapsed="false">
      <c r="A105" s="68" t="str">
        <f aca="false">IF(C105="","",ROW()-4)</f>
        <v/>
      </c>
      <c r="B105" s="42"/>
      <c r="C105" s="42"/>
      <c r="D105" s="43"/>
      <c r="E105" s="43"/>
      <c r="F105" s="43"/>
      <c r="G105" s="42"/>
    </row>
    <row r="106" customFormat="false" ht="15" hidden="false" customHeight="false" outlineLevel="0" collapsed="false">
      <c r="A106" s="68" t="str">
        <f aca="false">IF(C106="","",ROW()-4)</f>
        <v/>
      </c>
      <c r="B106" s="42"/>
      <c r="C106" s="42"/>
      <c r="D106" s="43"/>
      <c r="E106" s="43"/>
      <c r="F106" s="43"/>
      <c r="G106" s="42"/>
    </row>
    <row r="107" customFormat="false" ht="15" hidden="false" customHeight="false" outlineLevel="0" collapsed="false">
      <c r="A107" s="68" t="str">
        <f aca="false">IF(C107="","",ROW()-4)</f>
        <v/>
      </c>
      <c r="B107" s="42"/>
      <c r="C107" s="42"/>
      <c r="D107" s="43"/>
      <c r="E107" s="43"/>
      <c r="F107" s="43"/>
      <c r="G107" s="42"/>
    </row>
    <row r="108" customFormat="false" ht="15" hidden="false" customHeight="false" outlineLevel="0" collapsed="false">
      <c r="A108" s="68" t="str">
        <f aca="false">IF(C108="","",ROW()-4)</f>
        <v/>
      </c>
      <c r="B108" s="42"/>
      <c r="C108" s="42"/>
      <c r="D108" s="43"/>
      <c r="E108" s="43"/>
      <c r="F108" s="43"/>
      <c r="G108" s="42"/>
    </row>
    <row r="109" customFormat="false" ht="15" hidden="false" customHeight="false" outlineLevel="0" collapsed="false">
      <c r="A109" s="68" t="str">
        <f aca="false">IF(C109="","",ROW()-4)</f>
        <v/>
      </c>
      <c r="B109" s="42"/>
      <c r="C109" s="42"/>
      <c r="D109" s="43"/>
      <c r="E109" s="43"/>
      <c r="F109" s="43"/>
      <c r="G109" s="42"/>
    </row>
    <row r="110" customFormat="false" ht="15" hidden="false" customHeight="false" outlineLevel="0" collapsed="false">
      <c r="A110" s="68" t="str">
        <f aca="false">IF(C110="","",ROW()-4)</f>
        <v/>
      </c>
      <c r="B110" s="42"/>
      <c r="C110" s="42"/>
      <c r="D110" s="43"/>
      <c r="E110" s="43"/>
      <c r="F110" s="43"/>
      <c r="G110" s="42"/>
    </row>
    <row r="111" customFormat="false" ht="15" hidden="false" customHeight="false" outlineLevel="0" collapsed="false">
      <c r="A111" s="68" t="str">
        <f aca="false">IF(C111="","",ROW()-4)</f>
        <v/>
      </c>
      <c r="B111" s="42"/>
      <c r="C111" s="42"/>
      <c r="D111" s="43"/>
      <c r="E111" s="43"/>
      <c r="F111" s="43"/>
      <c r="G111" s="42"/>
    </row>
    <row r="112" customFormat="false" ht="15" hidden="false" customHeight="false" outlineLevel="0" collapsed="false">
      <c r="A112" s="68" t="str">
        <f aca="false">IF(C112="","",ROW()-4)</f>
        <v/>
      </c>
      <c r="B112" s="42"/>
      <c r="C112" s="42"/>
      <c r="D112" s="43"/>
      <c r="E112" s="43"/>
      <c r="F112" s="43"/>
      <c r="G112" s="42"/>
    </row>
    <row r="113" customFormat="false" ht="15" hidden="false" customHeight="false" outlineLevel="0" collapsed="false">
      <c r="A113" s="68" t="str">
        <f aca="false">IF(C113="","",ROW()-4)</f>
        <v/>
      </c>
      <c r="B113" s="42"/>
      <c r="C113" s="42"/>
      <c r="D113" s="43"/>
      <c r="E113" s="43"/>
      <c r="F113" s="43"/>
      <c r="G113" s="42"/>
    </row>
    <row r="114" customFormat="false" ht="15" hidden="false" customHeight="false" outlineLevel="0" collapsed="false">
      <c r="A114" s="68" t="str">
        <f aca="false">IF(C114="","",ROW()-4)</f>
        <v/>
      </c>
      <c r="B114" s="42"/>
      <c r="C114" s="42"/>
      <c r="D114" s="43"/>
      <c r="E114" s="43"/>
      <c r="F114" s="43"/>
      <c r="G114" s="42"/>
    </row>
    <row r="115" customFormat="false" ht="15" hidden="false" customHeight="false" outlineLevel="0" collapsed="false">
      <c r="A115" s="68" t="str">
        <f aca="false">IF(C115="","",ROW()-4)</f>
        <v/>
      </c>
      <c r="B115" s="42"/>
      <c r="C115" s="42"/>
      <c r="D115" s="43"/>
      <c r="E115" s="43"/>
      <c r="F115" s="43"/>
      <c r="G115" s="42"/>
    </row>
    <row r="116" customFormat="false" ht="15" hidden="false" customHeight="false" outlineLevel="0" collapsed="false">
      <c r="A116" s="68" t="str">
        <f aca="false">IF(C116="","",ROW()-4)</f>
        <v/>
      </c>
      <c r="B116" s="42"/>
      <c r="C116" s="42"/>
      <c r="D116" s="43"/>
      <c r="E116" s="43"/>
      <c r="F116" s="43"/>
      <c r="G116" s="42"/>
    </row>
    <row r="117" customFormat="false" ht="15" hidden="false" customHeight="false" outlineLevel="0" collapsed="false">
      <c r="A117" s="68" t="str">
        <f aca="false">IF(C117="","",ROW()-4)</f>
        <v/>
      </c>
      <c r="B117" s="42"/>
      <c r="C117" s="42"/>
      <c r="D117" s="43"/>
      <c r="E117" s="43"/>
      <c r="F117" s="43"/>
      <c r="G117" s="42"/>
    </row>
    <row r="118" customFormat="false" ht="15" hidden="false" customHeight="false" outlineLevel="0" collapsed="false">
      <c r="A118" s="68" t="str">
        <f aca="false">IF(C118="","",ROW()-4)</f>
        <v/>
      </c>
      <c r="B118" s="42"/>
      <c r="C118" s="42"/>
      <c r="D118" s="43"/>
      <c r="E118" s="43"/>
      <c r="F118" s="43"/>
      <c r="G118" s="42"/>
    </row>
    <row r="119" customFormat="false" ht="15" hidden="false" customHeight="false" outlineLevel="0" collapsed="false">
      <c r="A119" s="68" t="str">
        <f aca="false">IF(C119="","",ROW()-4)</f>
        <v/>
      </c>
      <c r="B119" s="42"/>
      <c r="C119" s="42"/>
      <c r="D119" s="43"/>
      <c r="E119" s="43"/>
      <c r="F119" s="43"/>
      <c r="G119" s="42"/>
    </row>
    <row r="120" customFormat="false" ht="15" hidden="false" customHeight="false" outlineLevel="0" collapsed="false">
      <c r="A120" s="68" t="str">
        <f aca="false">IF(C120="","",ROW()-4)</f>
        <v/>
      </c>
      <c r="B120" s="42"/>
      <c r="C120" s="42"/>
      <c r="D120" s="43"/>
      <c r="E120" s="43"/>
      <c r="F120" s="43"/>
      <c r="G120" s="42"/>
    </row>
  </sheetData>
  <autoFilter ref="A4:G120"/>
  <mergeCells count="2">
    <mergeCell ref="A1:G1"/>
    <mergeCell ref="A2:G2"/>
  </mergeCells>
  <conditionalFormatting sqref="D5:D120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8">
      <formula>"Medium"</formula>
    </cfRule>
    <cfRule type="cellIs" priority="4" operator="equal" aboveAverage="0" equalAverage="0" bottom="0" percent="0" rank="0" text="" dxfId="19">
      <formula>"Low"</formula>
    </cfRule>
  </conditionalFormatting>
  <conditionalFormatting sqref="A5:G120">
    <cfRule type="expression" priority="5" aboveAverage="0" equalAverage="0" bottom="0" percent="0" rank="0" text="" dxfId="32">
      <formula>$E5=1</formula>
    </cfRule>
  </conditionalFormatting>
  <conditionalFormatting sqref="E5:E120">
    <cfRule type="expression" priority="6" aboveAverage="0" equalAverage="0" bottom="0" percent="0" rank="0" text="" dxfId="0">
      <formula>$E5=0</formula>
    </cfRule>
  </conditionalFormatting>
  <dataValidations count="4">
    <dataValidation allowBlank="true" error="Hãy chọn giá trị trong danh sách." errorStyle="stop" errorTitle="Giá trị không hợp lệ" operator="between" showDropDown="false" showErrorMessage="true" showInputMessage="false" sqref="B5:B120" type="list">
      <formula1>L_UXArea</formula1>
      <formula2>0</formula2>
    </dataValidation>
    <dataValidation allowBlank="true" error="Hãy chọn giá trị trong danh sách." errorStyle="stop" errorTitle="Giá trị không hợp lệ" operator="between" showDropDown="false" showErrorMessage="true" showInputMessage="false" sqref="D5:D120" type="list">
      <formula1>L_Priority</formula1>
      <formula2>0</formula2>
    </dataValidation>
    <dataValidation allowBlank="true" error="Hãy chọn giá trị trong danh sách." errorStyle="stop" errorTitle="Giá trị không hợp lệ" operator="between" showDropDown="false" showErrorMessage="true" showInputMessage="false" sqref="E5:E120" type="list">
      <formula1>"TRUE,FALSE"</formula1>
      <formula2>0</formula2>
    </dataValidation>
    <dataValidation allowBlank="true" error="Hãy chọn giá trị trong danh sách." errorStyle="stop" errorTitle="Giá trị không hợp lệ" operator="between" showDropDown="false" showErrorMessage="true" showInputMessage="false" sqref="F5:F120" type="list">
      <formula1>L_Members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true"/>
  </sheetPr>
  <dimension ref="A1:A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4" min="4" style="0" width="36"/>
    <col collapsed="false" customWidth="true" hidden="false" outlineLevel="0" max="6" min="5" style="0" width="9"/>
    <col collapsed="false" customWidth="true" hidden="false" outlineLevel="0" max="7" min="7" style="0" width="54"/>
    <col collapsed="false" customWidth="true" hidden="false" outlineLevel="0" max="8" min="8" style="0" width="3"/>
    <col collapsed="false" customWidth="true" hidden="false" outlineLevel="0" max="9" min="9" style="0" width="30"/>
    <col collapsed="false" customWidth="true" hidden="false" outlineLevel="0" max="10" min="10" style="0" width="3"/>
    <col collapsed="false" customWidth="true" hidden="false" outlineLevel="0" max="11" min="11" style="0" width="16"/>
    <col collapsed="false" customWidth="true" hidden="false" outlineLevel="0" max="12" min="12" style="0" width="3"/>
    <col collapsed="false" customWidth="true" hidden="false" outlineLevel="0" max="13" min="13" style="0" width="12"/>
    <col collapsed="false" customWidth="true" hidden="false" outlineLevel="0" max="14" min="14" style="0" width="3"/>
    <col collapsed="false" customWidth="true" hidden="false" outlineLevel="0" max="15" min="15" style="0" width="20"/>
    <col collapsed="false" customWidth="true" hidden="false" outlineLevel="0" max="16" min="16" style="0" width="3"/>
    <col collapsed="false" customWidth="true" hidden="false" outlineLevel="0" max="17" min="17" style="0" width="14"/>
    <col collapsed="false" customWidth="true" hidden="false" outlineLevel="0" max="18" min="18" style="0" width="3"/>
    <col collapsed="false" customWidth="true" hidden="false" outlineLevel="0" max="19" min="19" style="0" width="13"/>
    <col collapsed="false" customWidth="true" hidden="false" outlineLevel="0" max="20" min="20" style="0" width="3"/>
    <col collapsed="false" customWidth="true" hidden="false" outlineLevel="0" max="21" min="21" style="0" width="16"/>
    <col collapsed="false" customWidth="true" hidden="false" outlineLevel="0" max="22" min="22" style="0" width="3"/>
    <col collapsed="false" customWidth="true" hidden="false" outlineLevel="0" max="23" min="23" style="0" width="12"/>
    <col collapsed="false" customWidth="true" hidden="false" outlineLevel="0" max="24" min="24" style="0" width="3"/>
    <col collapsed="false" customWidth="true" hidden="false" outlineLevel="0" max="25" min="25" style="0" width="32"/>
    <col collapsed="false" customWidth="true" hidden="false" outlineLevel="0" max="26" min="26" style="0" width="3"/>
    <col collapsed="false" customWidth="true" hidden="false" outlineLevel="0" max="27" min="27" style="0" width="22"/>
    <col collapsed="false" customWidth="true" hidden="false" outlineLevel="0" max="28" min="28" style="0" width="3"/>
  </cols>
  <sheetData>
    <row r="1" customFormat="false" ht="33.75" hidden="false" customHeight="true" outlineLevel="0" collapsed="false">
      <c r="A1" s="37" t="s">
        <v>649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</row>
    <row r="2" customFormat="false" ht="30" hidden="false" customHeight="true" outlineLevel="0" collapsed="false">
      <c r="A2" s="38" t="s">
        <v>650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</row>
    <row r="3" customFormat="false" ht="15" hidden="false" customHeight="false" outlineLevel="0" collapsed="false">
      <c r="A3" s="71" t="s">
        <v>651</v>
      </c>
    </row>
    <row r="4" customFormat="false" ht="15" hidden="false" customHeight="false" outlineLevel="0" collapsed="false">
      <c r="A4" s="72" t="s">
        <v>652</v>
      </c>
      <c r="B4" s="73" t="n">
        <v>46307</v>
      </c>
    </row>
    <row r="5" customFormat="false" ht="15" hidden="false" customHeight="false" outlineLevel="0" collapsed="false">
      <c r="A5" s="72" t="s">
        <v>653</v>
      </c>
      <c r="B5" s="74" t="n">
        <v>34</v>
      </c>
    </row>
    <row r="6" customFormat="false" ht="15" hidden="false" customHeight="false" outlineLevel="0" collapsed="false">
      <c r="A6" s="72" t="s">
        <v>654</v>
      </c>
      <c r="B6" s="75" t="n">
        <f aca="true">MAX(0,INT((TODAY()-B4)/7)+1)</f>
        <v>1</v>
      </c>
    </row>
    <row r="7" customFormat="false" ht="15" hidden="false" customHeight="false" outlineLevel="0" collapsed="false">
      <c r="A7" s="72" t="s">
        <v>655</v>
      </c>
      <c r="B7" s="76" t="n">
        <f aca="true">TODAY()</f>
        <v>46307</v>
      </c>
    </row>
    <row r="10" customFormat="false" ht="31.5" hidden="false" customHeight="true" outlineLevel="0" collapsed="false">
      <c r="A10" s="39" t="s">
        <v>69</v>
      </c>
      <c r="B10" s="39" t="s">
        <v>71</v>
      </c>
      <c r="D10" s="39" t="s">
        <v>75</v>
      </c>
      <c r="E10" s="39" t="s">
        <v>81</v>
      </c>
      <c r="F10" s="39" t="s">
        <v>82</v>
      </c>
      <c r="G10" s="39" t="s">
        <v>656</v>
      </c>
      <c r="I10" s="39" t="s">
        <v>76</v>
      </c>
      <c r="K10" s="39" t="s">
        <v>79</v>
      </c>
      <c r="M10" s="39" t="s">
        <v>657</v>
      </c>
      <c r="O10" s="39" t="s">
        <v>658</v>
      </c>
      <c r="Q10" s="39" t="s">
        <v>391</v>
      </c>
      <c r="S10" s="39" t="s">
        <v>659</v>
      </c>
      <c r="U10" s="39" t="s">
        <v>388</v>
      </c>
      <c r="W10" s="39" t="s">
        <v>660</v>
      </c>
      <c r="Y10" s="39" t="s">
        <v>661</v>
      </c>
      <c r="AA10" s="39" t="s">
        <v>662</v>
      </c>
    </row>
    <row r="11" customFormat="false" ht="23.85" hidden="false" customHeight="false" outlineLevel="0" collapsed="false">
      <c r="A11" s="42" t="s">
        <v>95</v>
      </c>
      <c r="B11" s="42" t="s">
        <v>663</v>
      </c>
      <c r="D11" s="42" t="s">
        <v>92</v>
      </c>
      <c r="E11" s="43" t="n">
        <v>1</v>
      </c>
      <c r="F11" s="43" t="n">
        <v>2</v>
      </c>
      <c r="G11" s="42" t="s">
        <v>664</v>
      </c>
      <c r="I11" s="42" t="s">
        <v>93</v>
      </c>
      <c r="K11" s="42" t="s">
        <v>96</v>
      </c>
      <c r="M11" s="42" t="s">
        <v>97</v>
      </c>
      <c r="O11" s="42" t="s">
        <v>25</v>
      </c>
      <c r="Q11" s="42" t="s">
        <v>399</v>
      </c>
      <c r="S11" s="42" t="s">
        <v>417</v>
      </c>
      <c r="U11" s="42" t="s">
        <v>397</v>
      </c>
      <c r="W11" s="42" t="s">
        <v>398</v>
      </c>
      <c r="Y11" s="42" t="s">
        <v>393</v>
      </c>
      <c r="AA11" s="42" t="s">
        <v>612</v>
      </c>
    </row>
    <row r="12" customFormat="false" ht="15" hidden="false" customHeight="false" outlineLevel="0" collapsed="false">
      <c r="A12" s="42" t="s">
        <v>665</v>
      </c>
      <c r="B12" s="42" t="s">
        <v>666</v>
      </c>
      <c r="D12" s="42" t="s">
        <v>125</v>
      </c>
      <c r="E12" s="43" t="n">
        <v>3</v>
      </c>
      <c r="F12" s="43" t="n">
        <v>5</v>
      </c>
      <c r="G12" s="42" t="s">
        <v>667</v>
      </c>
      <c r="I12" s="42" t="s">
        <v>113</v>
      </c>
      <c r="K12" s="42" t="s">
        <v>115</v>
      </c>
      <c r="M12" s="42" t="s">
        <v>116</v>
      </c>
      <c r="O12" s="42" t="s">
        <v>26</v>
      </c>
      <c r="Q12" s="42" t="s">
        <v>668</v>
      </c>
      <c r="S12" s="42" t="s">
        <v>394</v>
      </c>
      <c r="U12" s="42" t="s">
        <v>409</v>
      </c>
      <c r="W12" s="42" t="s">
        <v>423</v>
      </c>
      <c r="Y12" s="42" t="s">
        <v>424</v>
      </c>
      <c r="AA12" s="42" t="s">
        <v>615</v>
      </c>
    </row>
    <row r="13" customFormat="false" ht="15" hidden="false" customHeight="false" outlineLevel="0" collapsed="false">
      <c r="A13" s="42" t="s">
        <v>669</v>
      </c>
      <c r="B13" s="42" t="s">
        <v>670</v>
      </c>
      <c r="D13" s="42" t="s">
        <v>153</v>
      </c>
      <c r="E13" s="43" t="n">
        <v>6</v>
      </c>
      <c r="F13" s="43" t="n">
        <v>9</v>
      </c>
      <c r="G13" s="42" t="s">
        <v>671</v>
      </c>
      <c r="I13" s="42" t="s">
        <v>140</v>
      </c>
      <c r="K13" s="42" t="s">
        <v>161</v>
      </c>
      <c r="M13" s="42" t="s">
        <v>146</v>
      </c>
      <c r="O13" s="42" t="s">
        <v>29</v>
      </c>
      <c r="Q13" s="42" t="s">
        <v>672</v>
      </c>
      <c r="S13" s="42" t="s">
        <v>425</v>
      </c>
      <c r="U13" s="42" t="s">
        <v>556</v>
      </c>
      <c r="Y13" s="42" t="s">
        <v>442</v>
      </c>
      <c r="AA13" s="42" t="s">
        <v>625</v>
      </c>
    </row>
    <row r="14" customFormat="false" ht="15" hidden="false" customHeight="false" outlineLevel="0" collapsed="false">
      <c r="A14" s="42" t="s">
        <v>673</v>
      </c>
      <c r="B14" s="42" t="s">
        <v>674</v>
      </c>
      <c r="D14" s="42" t="s">
        <v>177</v>
      </c>
      <c r="E14" s="43" t="n">
        <v>10</v>
      </c>
      <c r="F14" s="43" t="n">
        <v>13</v>
      </c>
      <c r="G14" s="42" t="s">
        <v>675</v>
      </c>
      <c r="I14" s="42" t="s">
        <v>136</v>
      </c>
      <c r="K14" s="42" t="s">
        <v>207</v>
      </c>
      <c r="O14" s="42" t="s">
        <v>54</v>
      </c>
      <c r="Q14" s="42" t="s">
        <v>676</v>
      </c>
      <c r="S14" s="42" t="s">
        <v>575</v>
      </c>
      <c r="U14" s="42" t="s">
        <v>570</v>
      </c>
      <c r="W14" s="77" t="s">
        <v>677</v>
      </c>
      <c r="Y14" s="42" t="s">
        <v>454</v>
      </c>
      <c r="AA14" s="42" t="s">
        <v>627</v>
      </c>
    </row>
    <row r="15" customFormat="false" ht="15" hidden="false" customHeight="false" outlineLevel="0" collapsed="false">
      <c r="A15" s="42" t="s">
        <v>678</v>
      </c>
      <c r="B15" s="42" t="s">
        <v>679</v>
      </c>
      <c r="D15" s="42" t="s">
        <v>201</v>
      </c>
      <c r="E15" s="43" t="n">
        <v>14</v>
      </c>
      <c r="F15" s="43" t="n">
        <v>17</v>
      </c>
      <c r="G15" s="42" t="s">
        <v>680</v>
      </c>
      <c r="I15" s="42" t="s">
        <v>120</v>
      </c>
      <c r="K15" s="42" t="s">
        <v>211</v>
      </c>
      <c r="S15" s="42" t="s">
        <v>471</v>
      </c>
      <c r="U15" s="42" t="s">
        <v>551</v>
      </c>
      <c r="Y15" s="42" t="s">
        <v>459</v>
      </c>
      <c r="AA15" s="42" t="s">
        <v>637</v>
      </c>
    </row>
    <row r="16" customFormat="false" ht="15" hidden="false" customHeight="false" outlineLevel="0" collapsed="false">
      <c r="D16" s="42" t="s">
        <v>228</v>
      </c>
      <c r="E16" s="43" t="n">
        <v>18</v>
      </c>
      <c r="F16" s="43" t="n">
        <v>21</v>
      </c>
      <c r="G16" s="42" t="s">
        <v>681</v>
      </c>
      <c r="I16" s="42" t="s">
        <v>257</v>
      </c>
      <c r="K16" s="42" t="s">
        <v>233</v>
      </c>
      <c r="Y16" s="42" t="s">
        <v>473</v>
      </c>
      <c r="AA16" s="42" t="s">
        <v>270</v>
      </c>
    </row>
    <row r="17" customFormat="false" ht="15" hidden="false" customHeight="false" outlineLevel="0" collapsed="false">
      <c r="A17" s="71" t="s">
        <v>62</v>
      </c>
      <c r="D17" s="42" t="s">
        <v>256</v>
      </c>
      <c r="E17" s="43" t="n">
        <v>22</v>
      </c>
      <c r="F17" s="43" t="n">
        <v>24</v>
      </c>
      <c r="G17" s="42" t="s">
        <v>682</v>
      </c>
      <c r="I17" s="42" t="s">
        <v>270</v>
      </c>
      <c r="K17" s="42" t="s">
        <v>150</v>
      </c>
      <c r="Y17" s="42" t="s">
        <v>478</v>
      </c>
      <c r="AA17" s="42" t="s">
        <v>642</v>
      </c>
    </row>
    <row r="18" customFormat="false" ht="31.5" hidden="false" customHeight="true" outlineLevel="0" collapsed="false">
      <c r="A18" s="39" t="s">
        <v>9</v>
      </c>
      <c r="B18" s="39" t="s">
        <v>47</v>
      </c>
      <c r="C18" s="39" t="s">
        <v>683</v>
      </c>
      <c r="D18" s="42" t="s">
        <v>287</v>
      </c>
      <c r="E18" s="43" t="n">
        <v>25</v>
      </c>
      <c r="F18" s="43" t="n">
        <v>27</v>
      </c>
      <c r="G18" s="42" t="s">
        <v>684</v>
      </c>
      <c r="I18" s="42" t="s">
        <v>277</v>
      </c>
      <c r="K18" s="42" t="s">
        <v>102</v>
      </c>
      <c r="Y18" s="42" t="s">
        <v>486</v>
      </c>
      <c r="AA18" s="42" t="s">
        <v>629</v>
      </c>
    </row>
    <row r="19" customFormat="false" ht="23.85" hidden="false" customHeight="false" outlineLevel="0" collapsed="false">
      <c r="A19" s="42" t="s">
        <v>685</v>
      </c>
      <c r="B19" s="78" t="n">
        <v>21</v>
      </c>
      <c r="C19" s="42" t="s">
        <v>686</v>
      </c>
      <c r="D19" s="42" t="s">
        <v>311</v>
      </c>
      <c r="E19" s="43" t="n">
        <v>28</v>
      </c>
      <c r="F19" s="43" t="n">
        <v>30</v>
      </c>
      <c r="G19" s="42" t="s">
        <v>687</v>
      </c>
      <c r="I19" s="42" t="s">
        <v>312</v>
      </c>
      <c r="K19" s="42" t="s">
        <v>110</v>
      </c>
      <c r="Y19" s="42" t="s">
        <v>496</v>
      </c>
      <c r="AA19" s="42" t="s">
        <v>633</v>
      </c>
    </row>
    <row r="20" customFormat="false" ht="23.85" hidden="false" customHeight="false" outlineLevel="0" collapsed="false">
      <c r="A20" s="42" t="s">
        <v>688</v>
      </c>
      <c r="B20" s="78" t="n">
        <v>27</v>
      </c>
      <c r="C20" s="42" t="s">
        <v>689</v>
      </c>
      <c r="D20" s="42" t="s">
        <v>337</v>
      </c>
      <c r="E20" s="43" t="n">
        <v>31</v>
      </c>
      <c r="F20" s="43" t="n">
        <v>34</v>
      </c>
      <c r="G20" s="42" t="s">
        <v>690</v>
      </c>
      <c r="I20" s="42" t="s">
        <v>328</v>
      </c>
      <c r="Y20" s="42" t="s">
        <v>521</v>
      </c>
      <c r="AA20" s="42" t="s">
        <v>646</v>
      </c>
    </row>
    <row r="21" customFormat="false" ht="15" hidden="false" customHeight="false" outlineLevel="0" collapsed="false">
      <c r="A21" s="42" t="s">
        <v>691</v>
      </c>
      <c r="B21" s="78" t="n">
        <v>34</v>
      </c>
      <c r="C21" s="42" t="s">
        <v>692</v>
      </c>
      <c r="I21" s="42" t="s">
        <v>297</v>
      </c>
      <c r="Y21" s="42" t="s">
        <v>539</v>
      </c>
      <c r="AA21" s="42" t="s">
        <v>297</v>
      </c>
    </row>
    <row r="22" customFormat="false" ht="15" hidden="false" customHeight="false" outlineLevel="0" collapsed="false">
      <c r="I22" s="42" t="s">
        <v>345</v>
      </c>
      <c r="Y22" s="42" t="s">
        <v>546</v>
      </c>
      <c r="AA22" s="42" t="s">
        <v>619</v>
      </c>
    </row>
    <row r="23" customFormat="false" ht="15" hidden="false" customHeight="false" outlineLevel="0" collapsed="false">
      <c r="I23" s="42" t="s">
        <v>338</v>
      </c>
      <c r="Y23" s="42" t="s">
        <v>553</v>
      </c>
    </row>
    <row r="24" customFormat="false" ht="15" hidden="false" customHeight="false" outlineLevel="0" collapsed="false">
      <c r="Y24" s="42" t="s">
        <v>567</v>
      </c>
    </row>
    <row r="25" customFormat="false" ht="15" hidden="false" customHeight="false" outlineLevel="0" collapsed="false">
      <c r="Y25" s="42" t="s">
        <v>598</v>
      </c>
    </row>
  </sheetData>
  <mergeCells count="2">
    <mergeCell ref="A1:AD1"/>
    <mergeCell ref="A2:A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2026-10-12T03:03:39Z</dcterms:created>
  <dc:creator>openpyxl</dc:creator>
  <dc:description/>
  <dc:language>en-US</dc:language>
  <cp:lastModifiedBy/>
  <dcterms:modified xsi:type="dcterms:W3CDTF">2026-10-12T03:03:40Z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