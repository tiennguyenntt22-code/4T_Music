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a việc" sheetId="1" state="visible" r:id="rId1"/>
    <sheet xmlns:r="http://schemas.openxmlformats.org/officeDocument/2006/relationships" name="Danh sách API" sheetId="2" state="visible" r:id="rId2"/>
  </sheets>
  <definedNames>
    <definedName name="_xlnm._FilterDatabase" localSheetId="1" hidden="1">'Danh sách API'!$A$1:$L$75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4E79"/>
      <sz val="13"/>
    </font>
    <font>
      <name val="Arial"/>
      <b val="1"/>
    </font>
    <font>
      <name val="Arial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Tổng hợp chia việc (tự cập nhật khi đổi cột Người làm / Trạng thái)</t>
        </is>
      </c>
    </row>
    <row r="3">
      <c r="A3" s="2" t="inlineStr"/>
      <c r="B3" s="2" t="inlineStr">
        <is>
          <t>Người A</t>
        </is>
      </c>
      <c r="C3" s="2" t="inlineStr">
        <is>
          <t>Người B</t>
        </is>
      </c>
      <c r="D3" s="2" t="inlineStr">
        <is>
          <t>Cả hai</t>
        </is>
      </c>
      <c r="E3" s="2" t="inlineStr">
        <is>
          <t>Tổng</t>
        </is>
      </c>
    </row>
    <row r="4">
      <c r="A4" s="3" t="inlineStr">
        <is>
          <t>Tổng số API</t>
        </is>
      </c>
      <c r="B4" s="3">
        <f>COUNTIFS('Danh sách API'!$K$2:$K$75,"Người A")</f>
        <v/>
      </c>
      <c r="C4" s="3">
        <f>COUNTIFS('Danh sách API'!$K$2:$K$75,"Người B")</f>
        <v/>
      </c>
      <c r="D4" s="3">
        <f>COUNTIFS('Danh sách API'!$K$2:$K$75,"Cả hai")</f>
        <v/>
      </c>
      <c r="E4" s="3">
        <f>SUM(B4:D4)</f>
        <v/>
      </c>
    </row>
    <row r="5">
      <c r="A5" s="3" t="inlineStr">
        <is>
          <t>Giai đoạn 1</t>
        </is>
      </c>
      <c r="B5" s="3">
        <f>COUNTIFS('Danh sách API'!$K$2:$K$75,"Người A",'Danh sách API'!$H$2:$H$75,"1")</f>
        <v/>
      </c>
      <c r="C5" s="3">
        <f>COUNTIFS('Danh sách API'!$K$2:$K$75,"Người B",'Danh sách API'!$H$2:$H$75,"1")</f>
        <v/>
      </c>
      <c r="D5" s="3">
        <f>COUNTIFS('Danh sách API'!$K$2:$K$75,"Cả hai",'Danh sách API'!$H$2:$H$75,"1")</f>
        <v/>
      </c>
      <c r="E5" s="3">
        <f>SUM(B5:D5)</f>
        <v/>
      </c>
    </row>
    <row r="6">
      <c r="A6" s="3" t="inlineStr">
        <is>
          <t>Giai đoạn 1 - Must</t>
        </is>
      </c>
      <c r="B6" s="3">
        <f>COUNTIFS('Danh sách API'!$K$2:$K$75,"Người A",'Danh sách API'!$H$2:$H$75,"1",'Danh sách API'!$I$2:$I$75,"Must")</f>
        <v/>
      </c>
      <c r="C6" s="3">
        <f>COUNTIFS('Danh sách API'!$K$2:$K$75,"Người B",'Danh sách API'!$H$2:$H$75,"1",'Danh sách API'!$I$2:$I$75,"Must")</f>
        <v/>
      </c>
      <c r="D6" s="3">
        <f>COUNTIFS('Danh sách API'!$K$2:$K$75,"Cả hai",'Danh sách API'!$H$2:$H$75,"1",'Danh sách API'!$I$2:$I$75,"Must")</f>
        <v/>
      </c>
      <c r="E6" s="3">
        <f>SUM(B6:D6)</f>
        <v/>
      </c>
    </row>
    <row r="7">
      <c r="A7" s="3" t="inlineStr">
        <is>
          <t>Giai đoạn 2</t>
        </is>
      </c>
      <c r="B7" s="3">
        <f>COUNTIFS('Danh sách API'!$K$2:$K$75,"Người A",'Danh sách API'!$H$2:$H$75,"2")</f>
        <v/>
      </c>
      <c r="C7" s="3">
        <f>COUNTIFS('Danh sách API'!$K$2:$K$75,"Người B",'Danh sách API'!$H$2:$H$75,"2")</f>
        <v/>
      </c>
      <c r="D7" s="3">
        <f>COUNTIFS('Danh sách API'!$K$2:$K$75,"Cả hai",'Danh sách API'!$H$2:$H$75,"2")</f>
        <v/>
      </c>
      <c r="E7" s="3">
        <f>SUM(B7:D7)</f>
        <v/>
      </c>
    </row>
    <row r="8">
      <c r="A8" s="3" t="inlineStr">
        <is>
          <t>Giai đoạn 3</t>
        </is>
      </c>
      <c r="B8" s="3">
        <f>COUNTIFS('Danh sách API'!$K$2:$K$75,"Người A",'Danh sách API'!$H$2:$H$75,"3")</f>
        <v/>
      </c>
      <c r="C8" s="3">
        <f>COUNTIFS('Danh sách API'!$K$2:$K$75,"Người B",'Danh sách API'!$H$2:$H$75,"3")</f>
        <v/>
      </c>
      <c r="D8" s="3">
        <f>COUNTIFS('Danh sách API'!$K$2:$K$75,"Cả hai",'Danh sách API'!$H$2:$H$75,"3")</f>
        <v/>
      </c>
      <c r="E8" s="3">
        <f>SUM(B8:D8)</f>
        <v/>
      </c>
    </row>
    <row r="9">
      <c r="A9" s="3" t="inlineStr">
        <is>
          <t>Đã xong (Xong + Đã kiểm thử)</t>
        </is>
      </c>
      <c r="B9" s="3">
        <f>COUNTIFS('Danh sách API'!$K$2:$K$75,"Người A",'Danh sách API'!$L$2:$L$75,"Xong")+COUNTIFS('Danh sách API'!$K$2:$K$75,"Người A",'Danh sách API'!$L$2:$L$75,"Đã kiểm thử")</f>
        <v/>
      </c>
      <c r="C9" s="3">
        <f>COUNTIFS('Danh sách API'!$K$2:$K$75,"Người B",'Danh sách API'!$L$2:$L$75,"Xong")+COUNTIFS('Danh sách API'!$K$2:$K$75,"Người B",'Danh sách API'!$L$2:$L$75,"Đã kiểm thử")</f>
        <v/>
      </c>
      <c r="D9" s="3">
        <f>COUNTIFS('Danh sách API'!$K$2:$K$75,"Cả hai",'Danh sách API'!$L$2:$L$75,"Xong")+COUNTIFS('Danh sách API'!$K$2:$K$75,"Cả hai",'Danh sách API'!$L$2:$L$75,"Đã kiểm thử")</f>
        <v/>
      </c>
      <c r="E9" s="3">
        <f>SUM(B9:D9)</f>
        <v/>
      </c>
    </row>
    <row r="12">
      <c r="A12" s="4" t="inlineStr">
        <is>
          <t>Cách chia đề xuất</t>
        </is>
      </c>
    </row>
    <row r="13" ht="45" customHeight="1">
      <c r="A13" s="5" t="inlineStr">
        <is>
          <t>Người A: phần dữ liệu người dùng</t>
        </is>
      </c>
      <c r="B13" s="6" t="inlineStr">
        <is>
          <t>Nền tảng chung (kết nối DB, middleware JWT, phân quyền), Auth, hồ sơ, playlist, yêu thích/theo dõi, trạng thái phát và lịch sử, tải offline.</t>
        </is>
      </c>
    </row>
    <row r="14" ht="45" customHeight="1">
      <c r="A14" s="5" t="inlineStr">
        <is>
          <t>Người B: phần nội dung nhạc</t>
        </is>
      </c>
      <c r="B14" s="6" t="inlineStr">
        <is>
          <t>Bài hát và stream file nhạc, tìm kiếm, nghệ sĩ/album/thể loại, toàn bộ quản trị (nội dung nhạc, upload file, người dùng), cổng nghệ sĩ, thống kê.</t>
        </is>
      </c>
    </row>
    <row r="15" ht="45" customHeight="1">
      <c r="A15" s="5" t="inlineStr">
        <is>
          <t>Lý do chia theo mảng</t>
        </is>
      </c>
      <c r="B15" s="6" t="inlineStr">
        <is>
          <t>Mỗi người sở hữu một nhóm bảng DB riêng nên ít sửa chồng code của nhau. B làm phần đọc công khai (không cần đăng nhập) trước, nên không phải chờ A xong Auth.</t>
        </is>
      </c>
    </row>
    <row r="17">
      <c r="A17" s="4" t="inlineStr">
        <is>
          <t>Thứ tự làm</t>
        </is>
      </c>
    </row>
    <row r="18" ht="45" customHeight="1">
      <c r="A18" s="5" t="inlineStr">
        <is>
          <t>Bước 1 (cả hai)</t>
        </is>
      </c>
      <c r="B18" s="6" t="inlineStr">
        <is>
          <t>Thống nhất cấu trúc project, định dạng JSON trả về và mã lỗi, bổ sung bảng mới vào schema (Genre, FavoriteSong, FollowArtist, ListenHistory, token, cột file_url...).</t>
        </is>
      </c>
    </row>
    <row r="19" ht="30" customHeight="1">
      <c r="A19" s="5" t="inlineStr">
        <is>
          <t>Bước 2</t>
        </is>
      </c>
      <c r="B19" s="6" t="inlineStr">
        <is>
          <t>Người A làm nền tảng chung + Auth. Song song Người B làm GET bài hát, nghệ sĩ, album, thể loại, tìm kiếm, stream.</t>
        </is>
      </c>
    </row>
    <row r="20" ht="30" customHeight="1">
      <c r="A20" s="5" t="inlineStr">
        <is>
          <t>Bước 3</t>
        </is>
      </c>
      <c r="B20" s="6" t="inlineStr">
        <is>
          <t>Người A làm playlist, yêu thích, trạng thái phát. Người B làm các API quản trị (cần middleware phân quyền của Người A).</t>
        </is>
      </c>
    </row>
    <row r="21" ht="15" customHeight="1">
      <c r="A21" s="5" t="inlineStr">
        <is>
          <t>Bước 4</t>
        </is>
      </c>
      <c r="B21" s="6" t="inlineStr">
        <is>
          <t>Các API giai đoạn 2 và 3 theo thứ tự ưu tiên Should rồi Could.</t>
        </is>
      </c>
    </row>
    <row r="23">
      <c r="A23" s="4" t="inlineStr">
        <is>
          <t>Ghi chú</t>
        </is>
      </c>
    </row>
    <row r="24" ht="60" customHeight="1">
      <c r="A24" s="5" t="inlineStr">
        <is>
          <t>Phụ thuộc chéo</t>
        </is>
      </c>
      <c r="B24" s="6" t="inlineStr">
        <is>
          <t>POST /songs/:id/like và /artists/:id/follow (Người A) dùng bảng Song/Artist của Người B; /songs/:id/plays (Người B) ghi bảng ListenHistory mà Người A dùng cho lịch sử. Hai người cần chốt cấu trúc các bảng này ở Bước 1.</t>
        </is>
      </c>
    </row>
    <row r="25" ht="30" customHeight="1">
      <c r="A25" s="5" t="inlineStr">
        <is>
          <t>Không cần API</t>
        </is>
      </c>
      <c r="B25" s="6" t="inlineStr">
        <is>
          <t>Hẹn giờ tắt nhạc (FR-16), giao diện sáng/tối (FR-50), âm lượng, lặp, ngẫu nhiên, hàng đợi phát xử lý ở frontend.</t>
        </is>
      </c>
    </row>
    <row r="26" ht="30" customHeight="1">
      <c r="A26" s="5" t="inlineStr">
        <is>
          <t>Ngôn ngữ backend</t>
        </is>
      </c>
      <c r="B26" s="6" t="inlineStr">
        <is>
          <t>Danh sách endpoint không phụ thuộc ngôn ngữ; nhóm vẫn cần chốt C++ hay Node.js + Express (BRD mục 13).</t>
        </is>
      </c>
    </row>
  </sheetData>
  <mergeCells count="10">
    <mergeCell ref="B21:F21"/>
    <mergeCell ref="B24:F24"/>
    <mergeCell ref="B20:F20"/>
    <mergeCell ref="B15:F15"/>
    <mergeCell ref="B25:F25"/>
    <mergeCell ref="B19:F19"/>
    <mergeCell ref="B14:F14"/>
    <mergeCell ref="B26:F26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36" customWidth="1" min="4" max="4"/>
    <col width="58" customWidth="1" min="5" max="5"/>
    <col width="9" customWidth="1" min="6" max="6"/>
    <col width="16" customWidth="1" min="7" max="7"/>
    <col width="10" customWidth="1" min="8" max="8"/>
    <col width="9" customWidth="1" min="9" max="9"/>
    <col width="30" customWidth="1" min="10" max="10"/>
    <col width="12" customWidth="1" min="11" max="11"/>
    <col width="13" customWidth="1" min="12" max="12"/>
  </cols>
  <sheetData>
    <row r="1">
      <c r="A1" s="7" t="inlineStr">
        <is>
          <t>Mã</t>
        </is>
      </c>
      <c r="B1" s="7" t="inlineStr">
        <is>
          <t>Nhóm</t>
        </is>
      </c>
      <c r="C1" s="7" t="inlineStr">
        <is>
          <t>Method</t>
        </is>
      </c>
      <c r="D1" s="7" t="inlineStr">
        <is>
          <t>Endpoint</t>
        </is>
      </c>
      <c r="E1" s="7" t="inlineStr">
        <is>
          <t>Mô tả</t>
        </is>
      </c>
      <c r="F1" s="7" t="inlineStr">
        <is>
          <t>Quyền</t>
        </is>
      </c>
      <c r="G1" s="7" t="inlineStr">
        <is>
          <t>FR / BRL</t>
        </is>
      </c>
      <c r="H1" s="7" t="inlineStr">
        <is>
          <t>Giai đoạn</t>
        </is>
      </c>
      <c r="I1" s="7" t="inlineStr">
        <is>
          <t>Ưu tiên</t>
        </is>
      </c>
      <c r="J1" s="7" t="inlineStr">
        <is>
          <t>Bảng DB</t>
        </is>
      </c>
      <c r="K1" s="7" t="inlineStr">
        <is>
          <t>Người làm</t>
        </is>
      </c>
      <c r="L1" s="7" t="inlineStr">
        <is>
          <t>Trạng thái</t>
        </is>
      </c>
    </row>
    <row r="2">
      <c r="A2" s="8" t="inlineStr">
        <is>
          <t>API-01</t>
        </is>
      </c>
      <c r="B2" s="8" t="inlineStr">
        <is>
          <t>0. Nền tảng chung</t>
        </is>
      </c>
      <c r="C2" s="8" t="inlineStr">
        <is>
          <t>-</t>
        </is>
      </c>
      <c r="D2" s="8" t="inlineStr">
        <is>
          <t>(middleware)</t>
        </is>
      </c>
      <c r="E2" s="8" t="inlineStr">
        <is>
          <t>Kết nối MySQL, cấu trúc project, định dạng lỗi chung, phân trang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1</t>
        </is>
      </c>
      <c r="I2" s="8" t="inlineStr">
        <is>
          <t>Must</t>
        </is>
      </c>
      <c r="J2" s="8" t="inlineStr">
        <is>
          <t>-</t>
        </is>
      </c>
      <c r="K2" s="8" t="inlineStr">
        <is>
          <t>Người A</t>
        </is>
      </c>
      <c r="L2" s="8" t="inlineStr">
        <is>
          <t>Chưa làm</t>
        </is>
      </c>
    </row>
    <row r="3">
      <c r="A3" s="8" t="inlineStr">
        <is>
          <t>API-02</t>
        </is>
      </c>
      <c r="B3" s="8" t="inlineStr">
        <is>
          <t>0. Nền tảng chung</t>
        </is>
      </c>
      <c r="C3" s="8" t="inlineStr">
        <is>
          <t>-</t>
        </is>
      </c>
      <c r="D3" s="8" t="inlineStr">
        <is>
          <t>(middleware)</t>
        </is>
      </c>
      <c r="E3" s="8" t="inlineStr">
        <is>
          <t>Xác thực JWT và kiểm tra vai trò (guest/user/artist/admin), chặn tài khoản banned</t>
        </is>
      </c>
      <c r="F3" s="8" t="inlineStr">
        <is>
          <t>-</t>
        </is>
      </c>
      <c r="G3" s="8" t="inlineStr">
        <is>
          <t>FR-06, BRL-03</t>
        </is>
      </c>
      <c r="H3" s="8" t="inlineStr">
        <is>
          <t>1</t>
        </is>
      </c>
      <c r="I3" s="8" t="inlineStr">
        <is>
          <t>Must</t>
        </is>
      </c>
      <c r="J3" s="8" t="inlineStr">
        <is>
          <t>User</t>
        </is>
      </c>
      <c r="K3" s="8" t="inlineStr">
        <is>
          <t>Người A</t>
        </is>
      </c>
      <c r="L3" s="8" t="inlineStr">
        <is>
          <t>Chưa làm</t>
        </is>
      </c>
    </row>
    <row r="4">
      <c r="A4" s="8" t="inlineStr">
        <is>
          <t>API-03</t>
        </is>
      </c>
      <c r="B4" s="8" t="inlineStr">
        <is>
          <t>1. Xác thực (Auth)</t>
        </is>
      </c>
      <c r="C4" s="8" t="inlineStr">
        <is>
          <t>POST</t>
        </is>
      </c>
      <c r="D4" s="8" t="inlineStr">
        <is>
          <t>/api/auth/register</t>
        </is>
      </c>
      <c r="E4" s="8" t="inlineStr">
        <is>
          <t>Đăng ký tài khoản (email, user_name, mật khẩu, ngày sinh); băm mật khẩu</t>
        </is>
      </c>
      <c r="F4" s="8" t="inlineStr">
        <is>
          <t>Khách</t>
        </is>
      </c>
      <c r="G4" s="8" t="inlineStr">
        <is>
          <t>FR-01</t>
        </is>
      </c>
      <c r="H4" s="8" t="inlineStr">
        <is>
          <t>1</t>
        </is>
      </c>
      <c r="I4" s="8" t="inlineStr">
        <is>
          <t>Must</t>
        </is>
      </c>
      <c r="J4" s="8" t="inlineStr">
        <is>
          <t>User</t>
        </is>
      </c>
      <c r="K4" s="8" t="inlineStr">
        <is>
          <t>Người A</t>
        </is>
      </c>
      <c r="L4" s="8" t="inlineStr">
        <is>
          <t>Chưa làm</t>
        </is>
      </c>
    </row>
    <row r="5">
      <c r="A5" s="8" t="inlineStr">
        <is>
          <t>API-04</t>
        </is>
      </c>
      <c r="B5" s="8" t="inlineStr">
        <is>
          <t>1. Xác thực (Auth)</t>
        </is>
      </c>
      <c r="C5" s="8" t="inlineStr">
        <is>
          <t>POST</t>
        </is>
      </c>
      <c r="D5" s="8" t="inlineStr">
        <is>
          <t>/api/auth/login</t>
        </is>
      </c>
      <c r="E5" s="8" t="inlineStr">
        <is>
          <t>Đăng nhập, trả access token và refresh token</t>
        </is>
      </c>
      <c r="F5" s="8" t="inlineStr">
        <is>
          <t>Khách</t>
        </is>
      </c>
      <c r="G5" s="8" t="inlineStr">
        <is>
          <t>FR-03</t>
        </is>
      </c>
      <c r="H5" s="8" t="inlineStr">
        <is>
          <t>1</t>
        </is>
      </c>
      <c r="I5" s="8" t="inlineStr">
        <is>
          <t>Must</t>
        </is>
      </c>
      <c r="J5" s="8" t="inlineStr">
        <is>
          <t>User</t>
        </is>
      </c>
      <c r="K5" s="8" t="inlineStr">
        <is>
          <t>Người A</t>
        </is>
      </c>
      <c r="L5" s="8" t="inlineStr">
        <is>
          <t>Chưa làm</t>
        </is>
      </c>
    </row>
    <row r="6">
      <c r="A6" s="8" t="inlineStr">
        <is>
          <t>API-05</t>
        </is>
      </c>
      <c r="B6" s="8" t="inlineStr">
        <is>
          <t>1. Xác thực (Auth)</t>
        </is>
      </c>
      <c r="C6" s="8" t="inlineStr">
        <is>
          <t>POST</t>
        </is>
      </c>
      <c r="D6" s="8" t="inlineStr">
        <is>
          <t>/api/auth/logout</t>
        </is>
      </c>
      <c r="E6" s="8" t="inlineStr">
        <is>
          <t>Đăng xuất, hủy refresh token</t>
        </is>
      </c>
      <c r="F6" s="8" t="inlineStr">
        <is>
          <t>User</t>
        </is>
      </c>
      <c r="G6" s="8" t="inlineStr">
        <is>
          <t>FR-03</t>
        </is>
      </c>
      <c r="H6" s="8" t="inlineStr">
        <is>
          <t>1</t>
        </is>
      </c>
      <c r="I6" s="8" t="inlineStr">
        <is>
          <t>Must</t>
        </is>
      </c>
      <c r="J6" s="8" t="inlineStr">
        <is>
          <t>RefreshToken (mới)</t>
        </is>
      </c>
      <c r="K6" s="8" t="inlineStr">
        <is>
          <t>Người A</t>
        </is>
      </c>
      <c r="L6" s="8" t="inlineStr">
        <is>
          <t>Chưa làm</t>
        </is>
      </c>
    </row>
    <row r="7">
      <c r="A7" s="8" t="inlineStr">
        <is>
          <t>API-06</t>
        </is>
      </c>
      <c r="B7" s="8" t="inlineStr">
        <is>
          <t>1. Xác thực (Auth)</t>
        </is>
      </c>
      <c r="C7" s="8" t="inlineStr">
        <is>
          <t>POST</t>
        </is>
      </c>
      <c r="D7" s="8" t="inlineStr">
        <is>
          <t>/api/auth/refresh</t>
        </is>
      </c>
      <c r="E7" s="8" t="inlineStr">
        <is>
          <t>Cấp lại access token từ refresh token</t>
        </is>
      </c>
      <c r="F7" s="8" t="inlineStr">
        <is>
          <t>User</t>
        </is>
      </c>
      <c r="G7" s="8" t="inlineStr">
        <is>
          <t>FR-03</t>
        </is>
      </c>
      <c r="H7" s="8" t="inlineStr">
        <is>
          <t>1</t>
        </is>
      </c>
      <c r="I7" s="8" t="inlineStr">
        <is>
          <t>Must</t>
        </is>
      </c>
      <c r="J7" s="8" t="inlineStr">
        <is>
          <t>RefreshToken (mới)</t>
        </is>
      </c>
      <c r="K7" s="8" t="inlineStr">
        <is>
          <t>Người A</t>
        </is>
      </c>
      <c r="L7" s="8" t="inlineStr">
        <is>
          <t>Chưa làm</t>
        </is>
      </c>
    </row>
    <row r="8">
      <c r="A8" s="8" t="inlineStr">
        <is>
          <t>API-07</t>
        </is>
      </c>
      <c r="B8" s="8" t="inlineStr">
        <is>
          <t>1. Xác thực (Auth)</t>
        </is>
      </c>
      <c r="C8" s="8" t="inlineStr">
        <is>
          <t>GET</t>
        </is>
      </c>
      <c r="D8" s="8" t="inlineStr">
        <is>
          <t>/api/auth/verify-email?token=</t>
        </is>
      </c>
      <c r="E8" s="8" t="inlineStr">
        <is>
          <t>Xác minh email qua liên kết</t>
        </is>
      </c>
      <c r="F8" s="8" t="inlineStr">
        <is>
          <t>Khách</t>
        </is>
      </c>
      <c r="G8" s="8" t="inlineStr">
        <is>
          <t>FR-02</t>
        </is>
      </c>
      <c r="H8" s="8" t="inlineStr">
        <is>
          <t>1</t>
        </is>
      </c>
      <c r="I8" s="8" t="inlineStr">
        <is>
          <t>Should</t>
        </is>
      </c>
      <c r="J8" s="8" t="inlineStr">
        <is>
          <t>User, EmailToken (mới)</t>
        </is>
      </c>
      <c r="K8" s="8" t="inlineStr">
        <is>
          <t>Người A</t>
        </is>
      </c>
      <c r="L8" s="8" t="inlineStr">
        <is>
          <t>Chưa làm</t>
        </is>
      </c>
    </row>
    <row r="9">
      <c r="A9" s="8" t="inlineStr">
        <is>
          <t>API-08</t>
        </is>
      </c>
      <c r="B9" s="8" t="inlineStr">
        <is>
          <t>1. Xác thực (Auth)</t>
        </is>
      </c>
      <c r="C9" s="8" t="inlineStr">
        <is>
          <t>POST</t>
        </is>
      </c>
      <c r="D9" s="8" t="inlineStr">
        <is>
          <t>/api/auth/resend-verification</t>
        </is>
      </c>
      <c r="E9" s="8" t="inlineStr">
        <is>
          <t>Gửi lại email xác minh</t>
        </is>
      </c>
      <c r="F9" s="8" t="inlineStr">
        <is>
          <t>User</t>
        </is>
      </c>
      <c r="G9" s="8" t="inlineStr">
        <is>
          <t>FR-02</t>
        </is>
      </c>
      <c r="H9" s="8" t="inlineStr">
        <is>
          <t>1</t>
        </is>
      </c>
      <c r="I9" s="8" t="inlineStr">
        <is>
          <t>Should</t>
        </is>
      </c>
      <c r="J9" s="8" t="inlineStr">
        <is>
          <t>EmailToken (mới)</t>
        </is>
      </c>
      <c r="K9" s="8" t="inlineStr">
        <is>
          <t>Người A</t>
        </is>
      </c>
      <c r="L9" s="8" t="inlineStr">
        <is>
          <t>Chưa làm</t>
        </is>
      </c>
    </row>
    <row r="10">
      <c r="A10" s="8" t="inlineStr">
        <is>
          <t>API-09</t>
        </is>
      </c>
      <c r="B10" s="8" t="inlineStr">
        <is>
          <t>1. Xác thực (Auth)</t>
        </is>
      </c>
      <c r="C10" s="8" t="inlineStr">
        <is>
          <t>POST</t>
        </is>
      </c>
      <c r="D10" s="8" t="inlineStr">
        <is>
          <t>/api/auth/forgot-password</t>
        </is>
      </c>
      <c r="E10" s="8" t="inlineStr">
        <is>
          <t>Gửi email đặt lại mật khẩu</t>
        </is>
      </c>
      <c r="F10" s="8" t="inlineStr">
        <is>
          <t>Khách</t>
        </is>
      </c>
      <c r="G10" s="8" t="inlineStr">
        <is>
          <t>FR-04</t>
        </is>
      </c>
      <c r="H10" s="8" t="inlineStr">
        <is>
          <t>1</t>
        </is>
      </c>
      <c r="I10" s="8" t="inlineStr">
        <is>
          <t>Should</t>
        </is>
      </c>
      <c r="J10" s="8" t="inlineStr">
        <is>
          <t>PasswordReset (mới)</t>
        </is>
      </c>
      <c r="K10" s="8" t="inlineStr">
        <is>
          <t>Người A</t>
        </is>
      </c>
      <c r="L10" s="8" t="inlineStr">
        <is>
          <t>Chưa làm</t>
        </is>
      </c>
    </row>
    <row r="11">
      <c r="A11" s="8" t="inlineStr">
        <is>
          <t>API-10</t>
        </is>
      </c>
      <c r="B11" s="8" t="inlineStr">
        <is>
          <t>1. Xác thực (Auth)</t>
        </is>
      </c>
      <c r="C11" s="8" t="inlineStr">
        <is>
          <t>POST</t>
        </is>
      </c>
      <c r="D11" s="8" t="inlineStr">
        <is>
          <t>/api/auth/reset-password</t>
        </is>
      </c>
      <c r="E11" s="8" t="inlineStr">
        <is>
          <t>Đặt lại mật khẩu bằng token</t>
        </is>
      </c>
      <c r="F11" s="8" t="inlineStr">
        <is>
          <t>Khách</t>
        </is>
      </c>
      <c r="G11" s="8" t="inlineStr">
        <is>
          <t>FR-04</t>
        </is>
      </c>
      <c r="H11" s="8" t="inlineStr">
        <is>
          <t>1</t>
        </is>
      </c>
      <c r="I11" s="8" t="inlineStr">
        <is>
          <t>Should</t>
        </is>
      </c>
      <c r="J11" s="8" t="inlineStr">
        <is>
          <t>PasswordReset (mới)</t>
        </is>
      </c>
      <c r="K11" s="8" t="inlineStr">
        <is>
          <t>Người A</t>
        </is>
      </c>
      <c r="L11" s="8" t="inlineStr">
        <is>
          <t>Chưa làm</t>
        </is>
      </c>
    </row>
    <row r="12">
      <c r="A12" s="8" t="inlineStr">
        <is>
          <t>API-11</t>
        </is>
      </c>
      <c r="B12" s="8" t="inlineStr">
        <is>
          <t>2. Hồ sơ người dùng</t>
        </is>
      </c>
      <c r="C12" s="8" t="inlineStr">
        <is>
          <t>GET</t>
        </is>
      </c>
      <c r="D12" s="8" t="inlineStr">
        <is>
          <t>/api/users/me</t>
        </is>
      </c>
      <c r="E12" s="8" t="inlineStr">
        <is>
          <t>Lấy thông tin tài khoản đang đăng nhập</t>
        </is>
      </c>
      <c r="F12" s="8" t="inlineStr">
        <is>
          <t>User</t>
        </is>
      </c>
      <c r="G12" s="8" t="inlineStr">
        <is>
          <t>FR-05</t>
        </is>
      </c>
      <c r="H12" s="8" t="inlineStr">
        <is>
          <t>1</t>
        </is>
      </c>
      <c r="I12" s="8" t="inlineStr">
        <is>
          <t>Must</t>
        </is>
      </c>
      <c r="J12" s="8" t="inlineStr">
        <is>
          <t>User</t>
        </is>
      </c>
      <c r="K12" s="8" t="inlineStr">
        <is>
          <t>Người A</t>
        </is>
      </c>
      <c r="L12" s="8" t="inlineStr">
        <is>
          <t>Chưa làm</t>
        </is>
      </c>
    </row>
    <row r="13">
      <c r="A13" s="8" t="inlineStr">
        <is>
          <t>API-12</t>
        </is>
      </c>
      <c r="B13" s="8" t="inlineStr">
        <is>
          <t>2. Hồ sơ người dùng</t>
        </is>
      </c>
      <c r="C13" s="8" t="inlineStr">
        <is>
          <t>PATCH</t>
        </is>
      </c>
      <c r="D13" s="8" t="inlineStr">
        <is>
          <t>/api/users/me</t>
        </is>
      </c>
      <c r="E13" s="8" t="inlineStr">
        <is>
          <t>Cập nhật hồ sơ: tên hiển thị, ngôn ngữ</t>
        </is>
      </c>
      <c r="F13" s="8" t="inlineStr">
        <is>
          <t>User</t>
        </is>
      </c>
      <c r="G13" s="8" t="inlineStr">
        <is>
          <t>FR-05</t>
        </is>
      </c>
      <c r="H13" s="8" t="inlineStr">
        <is>
          <t>1</t>
        </is>
      </c>
      <c r="I13" s="8" t="inlineStr">
        <is>
          <t>Should</t>
        </is>
      </c>
      <c r="J13" s="8" t="inlineStr">
        <is>
          <t>User</t>
        </is>
      </c>
      <c r="K13" s="8" t="inlineStr">
        <is>
          <t>Người A</t>
        </is>
      </c>
      <c r="L13" s="8" t="inlineStr">
        <is>
          <t>Chưa làm</t>
        </is>
      </c>
    </row>
    <row r="14">
      <c r="A14" s="8" t="inlineStr">
        <is>
          <t>API-13</t>
        </is>
      </c>
      <c r="B14" s="8" t="inlineStr">
        <is>
          <t>2. Hồ sơ người dùng</t>
        </is>
      </c>
      <c r="C14" s="8" t="inlineStr">
        <is>
          <t>PUT</t>
        </is>
      </c>
      <c r="D14" s="8" t="inlineStr">
        <is>
          <t>/api/users/me/password</t>
        </is>
      </c>
      <c r="E14" s="8" t="inlineStr">
        <is>
          <t>Đổi mật khẩu (cần mật khẩu cũ)</t>
        </is>
      </c>
      <c r="F14" s="8" t="inlineStr">
        <is>
          <t>User</t>
        </is>
      </c>
      <c r="G14" s="8" t="inlineStr">
        <is>
          <t>FR-05</t>
        </is>
      </c>
      <c r="H14" s="8" t="inlineStr">
        <is>
          <t>1</t>
        </is>
      </c>
      <c r="I14" s="8" t="inlineStr">
        <is>
          <t>Should</t>
        </is>
      </c>
      <c r="J14" s="8" t="inlineStr">
        <is>
          <t>User</t>
        </is>
      </c>
      <c r="K14" s="8" t="inlineStr">
        <is>
          <t>Người A</t>
        </is>
      </c>
      <c r="L14" s="8" t="inlineStr">
        <is>
          <t>Chưa làm</t>
        </is>
      </c>
    </row>
    <row r="15">
      <c r="A15" s="8" t="inlineStr">
        <is>
          <t>API-14</t>
        </is>
      </c>
      <c r="B15" s="8" t="inlineStr">
        <is>
          <t>2. Hồ sơ người dùng</t>
        </is>
      </c>
      <c r="C15" s="8" t="inlineStr">
        <is>
          <t>POST</t>
        </is>
      </c>
      <c r="D15" s="8" t="inlineStr">
        <is>
          <t>/api/users/me/avatar</t>
        </is>
      </c>
      <c r="E15" s="8" t="inlineStr">
        <is>
          <t>Tải lên ảnh đại diện</t>
        </is>
      </c>
      <c r="F15" s="8" t="inlineStr">
        <is>
          <t>User</t>
        </is>
      </c>
      <c r="G15" s="8" t="inlineStr">
        <is>
          <t>FR-05</t>
        </is>
      </c>
      <c r="H15" s="8" t="inlineStr">
        <is>
          <t>1</t>
        </is>
      </c>
      <c r="I15" s="8" t="inlineStr">
        <is>
          <t>Could</t>
        </is>
      </c>
      <c r="J15" s="8" t="inlineStr">
        <is>
          <t>User</t>
        </is>
      </c>
      <c r="K15" s="8" t="inlineStr">
        <is>
          <t>Người A</t>
        </is>
      </c>
      <c r="L15" s="8" t="inlineStr">
        <is>
          <t>Chưa làm</t>
        </is>
      </c>
    </row>
    <row r="16">
      <c r="A16" s="8" t="inlineStr">
        <is>
          <t>API-15</t>
        </is>
      </c>
      <c r="B16" s="8" t="inlineStr">
        <is>
          <t>3. Bài hát và phát nhạc</t>
        </is>
      </c>
      <c r="C16" s="8" t="inlineStr">
        <is>
          <t>GET</t>
        </is>
      </c>
      <c r="D16" s="8" t="inlineStr">
        <is>
          <t>/api/songs</t>
        </is>
      </c>
      <c r="E16" s="8" t="inlineStr">
        <is>
          <t>Danh sách bài hát, lọc theo nghệ sĩ/album/thể loại, phân trang, sắp xếp</t>
        </is>
      </c>
      <c r="F16" s="8" t="inlineStr">
        <is>
          <t>Khách</t>
        </is>
      </c>
      <c r="G16" s="8" t="inlineStr">
        <is>
          <t>FR-20</t>
        </is>
      </c>
      <c r="H16" s="8" t="inlineStr">
        <is>
          <t>1</t>
        </is>
      </c>
      <c r="I16" s="8" t="inlineStr">
        <is>
          <t>Must</t>
        </is>
      </c>
      <c r="J16" s="8" t="inlineStr">
        <is>
          <t>Song</t>
        </is>
      </c>
      <c r="K16" s="8" t="inlineStr">
        <is>
          <t>Người B</t>
        </is>
      </c>
      <c r="L16" s="8" t="inlineStr">
        <is>
          <t>Chưa làm</t>
        </is>
      </c>
    </row>
    <row r="17">
      <c r="A17" s="8" t="inlineStr">
        <is>
          <t>API-16</t>
        </is>
      </c>
      <c r="B17" s="8" t="inlineStr">
        <is>
          <t>3. Bài hát và phát nhạc</t>
        </is>
      </c>
      <c r="C17" s="8" t="inlineStr">
        <is>
          <t>GET</t>
        </is>
      </c>
      <c r="D17" s="8" t="inlineStr">
        <is>
          <t>/api/songs/:id</t>
        </is>
      </c>
      <c r="E17" s="8" t="inlineStr">
        <is>
          <t>Chi tiết bài hát (kèm nghệ sĩ, album, ảnh bìa)</t>
        </is>
      </c>
      <c r="F17" s="8" t="inlineStr">
        <is>
          <t>Khách</t>
        </is>
      </c>
      <c r="G17" s="8" t="inlineStr">
        <is>
          <t>FR-21</t>
        </is>
      </c>
      <c r="H17" s="8" t="inlineStr">
        <is>
          <t>1</t>
        </is>
      </c>
      <c r="I17" s="8" t="inlineStr">
        <is>
          <t>Must</t>
        </is>
      </c>
      <c r="J17" s="8" t="inlineStr">
        <is>
          <t>Song</t>
        </is>
      </c>
      <c r="K17" s="8" t="inlineStr">
        <is>
          <t>Người B</t>
        </is>
      </c>
      <c r="L17" s="8" t="inlineStr">
        <is>
          <t>Chưa làm</t>
        </is>
      </c>
    </row>
    <row r="18">
      <c r="A18" s="8" t="inlineStr">
        <is>
          <t>API-17</t>
        </is>
      </c>
      <c r="B18" s="8" t="inlineStr">
        <is>
          <t>3. Bài hát và phát nhạc</t>
        </is>
      </c>
      <c r="C18" s="8" t="inlineStr">
        <is>
          <t>GET</t>
        </is>
      </c>
      <c r="D18" s="8" t="inlineStr">
        <is>
          <t>/api/songs/:id/stream</t>
        </is>
      </c>
      <c r="E18" s="8" t="inlineStr">
        <is>
          <t>Phát file nhạc, hỗ trợ HTTP Range để tua; kiểm tra quyền truy cập file</t>
        </is>
      </c>
      <c r="F18" s="8" t="inlineStr">
        <is>
          <t>Khách</t>
        </is>
      </c>
      <c r="G18" s="8" t="inlineStr">
        <is>
          <t>FR-10, BRL-12</t>
        </is>
      </c>
      <c r="H18" s="8" t="inlineStr">
        <is>
          <t>1</t>
        </is>
      </c>
      <c r="I18" s="8" t="inlineStr">
        <is>
          <t>Must</t>
        </is>
      </c>
      <c r="J18" s="8" t="inlineStr">
        <is>
          <t>Song (thêm cột file_url)</t>
        </is>
      </c>
      <c r="K18" s="8" t="inlineStr">
        <is>
          <t>Người B</t>
        </is>
      </c>
      <c r="L18" s="8" t="inlineStr">
        <is>
          <t>Chưa làm</t>
        </is>
      </c>
    </row>
    <row r="19">
      <c r="A19" s="8" t="inlineStr">
        <is>
          <t>API-18</t>
        </is>
      </c>
      <c r="B19" s="8" t="inlineStr">
        <is>
          <t>3. Bài hát và phát nhạc</t>
        </is>
      </c>
      <c r="C19" s="8" t="inlineStr">
        <is>
          <t>POST</t>
        </is>
      </c>
      <c r="D19" s="8" t="inlineStr">
        <is>
          <t>/api/songs/:id/plays</t>
        </is>
      </c>
      <c r="E19" s="8" t="inlineStr">
        <is>
          <t>Ghi nhận một lượt nghe (tăng lượt nghe, lưu lịch sử nếu đã đăng nhập)</t>
        </is>
      </c>
      <c r="F19" s="8" t="inlineStr">
        <is>
          <t>Khách</t>
        </is>
      </c>
      <c r="G19" s="8" t="inlineStr">
        <is>
          <t>FR-24, FR-62</t>
        </is>
      </c>
      <c r="H19" s="8" t="inlineStr">
        <is>
          <t>1</t>
        </is>
      </c>
      <c r="I19" s="8" t="inlineStr">
        <is>
          <t>Should</t>
        </is>
      </c>
      <c r="J19" s="8" t="inlineStr">
        <is>
          <t>ListenHistory (mới)</t>
        </is>
      </c>
      <c r="K19" s="8" t="inlineStr">
        <is>
          <t>Người B</t>
        </is>
      </c>
      <c r="L19" s="8" t="inlineStr">
        <is>
          <t>Chưa làm</t>
        </is>
      </c>
    </row>
    <row r="20">
      <c r="A20" s="8" t="inlineStr">
        <is>
          <t>API-19</t>
        </is>
      </c>
      <c r="B20" s="8" t="inlineStr">
        <is>
          <t>3. Bài hát và phát nhạc</t>
        </is>
      </c>
      <c r="C20" s="8" t="inlineStr">
        <is>
          <t>GET</t>
        </is>
      </c>
      <c r="D20" s="8" t="inlineStr">
        <is>
          <t>/api/songs/:id/lyrics</t>
        </is>
      </c>
      <c r="E20" s="8" t="inlineStr">
        <is>
          <t>Lấy lời bài hát có mốc thời gian</t>
        </is>
      </c>
      <c r="F20" s="8" t="inlineStr">
        <is>
          <t>Khách</t>
        </is>
      </c>
      <c r="G20" s="8" t="inlineStr">
        <is>
          <t>FR-15</t>
        </is>
      </c>
      <c r="H20" s="8" t="inlineStr">
        <is>
          <t>2</t>
        </is>
      </c>
      <c r="I20" s="8" t="inlineStr">
        <is>
          <t>Could</t>
        </is>
      </c>
      <c r="J20" s="8" t="inlineStr">
        <is>
          <t>Lyrics (mới)</t>
        </is>
      </c>
      <c r="K20" s="8" t="inlineStr">
        <is>
          <t>Người B</t>
        </is>
      </c>
      <c r="L20" s="8" t="inlineStr">
        <is>
          <t>Chưa làm</t>
        </is>
      </c>
    </row>
    <row r="21">
      <c r="A21" s="8" t="inlineStr">
        <is>
          <t>API-20</t>
        </is>
      </c>
      <c r="B21" s="8" t="inlineStr">
        <is>
          <t>4. Tìm kiếm và khám phá</t>
        </is>
      </c>
      <c r="C21" s="8" t="inlineStr">
        <is>
          <t>GET</t>
        </is>
      </c>
      <c r="D21" s="8" t="inlineStr">
        <is>
          <t>/api/search?q=&amp;type=</t>
        </is>
      </c>
      <c r="E21" s="8" t="inlineStr">
        <is>
          <t>Tìm theo tên bài, nghệ sĩ, album, thể loại</t>
        </is>
      </c>
      <c r="F21" s="8" t="inlineStr">
        <is>
          <t>Khách</t>
        </is>
      </c>
      <c r="G21" s="8" t="inlineStr">
        <is>
          <t>FR-20</t>
        </is>
      </c>
      <c r="H21" s="8" t="inlineStr">
        <is>
          <t>1</t>
        </is>
      </c>
      <c r="I21" s="8" t="inlineStr">
        <is>
          <t>Must</t>
        </is>
      </c>
      <c r="J21" s="8" t="inlineStr">
        <is>
          <t>Song, Artist, Album, Genre</t>
        </is>
      </c>
      <c r="K21" s="8" t="inlineStr">
        <is>
          <t>Người B</t>
        </is>
      </c>
      <c r="L21" s="8" t="inlineStr">
        <is>
          <t>Chưa làm</t>
        </is>
      </c>
    </row>
    <row r="22">
      <c r="A22" s="8" t="inlineStr">
        <is>
          <t>API-21</t>
        </is>
      </c>
      <c r="B22" s="8" t="inlineStr">
        <is>
          <t>4. Tìm kiếm và khám phá</t>
        </is>
      </c>
      <c r="C22" s="8" t="inlineStr">
        <is>
          <t>GET</t>
        </is>
      </c>
      <c r="D22" s="8" t="inlineStr">
        <is>
          <t>/api/artists</t>
        </is>
      </c>
      <c r="E22" s="8" t="inlineStr">
        <is>
          <t>Danh sách nghệ sĩ</t>
        </is>
      </c>
      <c r="F22" s="8" t="inlineStr">
        <is>
          <t>Khách</t>
        </is>
      </c>
      <c r="G22" s="8" t="inlineStr">
        <is>
          <t>FR-21</t>
        </is>
      </c>
      <c r="H22" s="8" t="inlineStr">
        <is>
          <t>1</t>
        </is>
      </c>
      <c r="I22" s="8" t="inlineStr">
        <is>
          <t>Must</t>
        </is>
      </c>
      <c r="J22" s="8" t="inlineStr">
        <is>
          <t>Artist</t>
        </is>
      </c>
      <c r="K22" s="8" t="inlineStr">
        <is>
          <t>Người B</t>
        </is>
      </c>
      <c r="L22" s="8" t="inlineStr">
        <is>
          <t>Chưa làm</t>
        </is>
      </c>
    </row>
    <row r="23">
      <c r="A23" s="8" t="inlineStr">
        <is>
          <t>API-22</t>
        </is>
      </c>
      <c r="B23" s="8" t="inlineStr">
        <is>
          <t>4. Tìm kiếm và khám phá</t>
        </is>
      </c>
      <c r="C23" s="8" t="inlineStr">
        <is>
          <t>GET</t>
        </is>
      </c>
      <c r="D23" s="8" t="inlineStr">
        <is>
          <t>/api/artists/:id</t>
        </is>
      </c>
      <c r="E23" s="8" t="inlineStr">
        <is>
          <t>Trang nghệ sĩ (thông tin, số người theo dõi)</t>
        </is>
      </c>
      <c r="F23" s="8" t="inlineStr">
        <is>
          <t>Khách</t>
        </is>
      </c>
      <c r="G23" s="8" t="inlineStr">
        <is>
          <t>FR-21</t>
        </is>
      </c>
      <c r="H23" s="8" t="inlineStr">
        <is>
          <t>1</t>
        </is>
      </c>
      <c r="I23" s="8" t="inlineStr">
        <is>
          <t>Must</t>
        </is>
      </c>
      <c r="J23" s="8" t="inlineStr">
        <is>
          <t>Artist</t>
        </is>
      </c>
      <c r="K23" s="8" t="inlineStr">
        <is>
          <t>Người B</t>
        </is>
      </c>
      <c r="L23" s="8" t="inlineStr">
        <is>
          <t>Chưa làm</t>
        </is>
      </c>
    </row>
    <row r="24">
      <c r="A24" s="8" t="inlineStr">
        <is>
          <t>API-23</t>
        </is>
      </c>
      <c r="B24" s="8" t="inlineStr">
        <is>
          <t>4. Tìm kiếm và khám phá</t>
        </is>
      </c>
      <c r="C24" s="8" t="inlineStr">
        <is>
          <t>GET</t>
        </is>
      </c>
      <c r="D24" s="8" t="inlineStr">
        <is>
          <t>/api/artists/:id/songs</t>
        </is>
      </c>
      <c r="E24" s="8" t="inlineStr">
        <is>
          <t>Bài hát của nghệ sĩ</t>
        </is>
      </c>
      <c r="F24" s="8" t="inlineStr">
        <is>
          <t>Khách</t>
        </is>
      </c>
      <c r="G24" s="8" t="inlineStr">
        <is>
          <t>FR-21</t>
        </is>
      </c>
      <c r="H24" s="8" t="inlineStr">
        <is>
          <t>1</t>
        </is>
      </c>
      <c r="I24" s="8" t="inlineStr">
        <is>
          <t>Must</t>
        </is>
      </c>
      <c r="J24" s="8" t="inlineStr">
        <is>
          <t>Song</t>
        </is>
      </c>
      <c r="K24" s="8" t="inlineStr">
        <is>
          <t>Người B</t>
        </is>
      </c>
      <c r="L24" s="8" t="inlineStr">
        <is>
          <t>Chưa làm</t>
        </is>
      </c>
    </row>
    <row r="25">
      <c r="A25" s="8" t="inlineStr">
        <is>
          <t>API-24</t>
        </is>
      </c>
      <c r="B25" s="8" t="inlineStr">
        <is>
          <t>4. Tìm kiếm và khám phá</t>
        </is>
      </c>
      <c r="C25" s="8" t="inlineStr">
        <is>
          <t>GET</t>
        </is>
      </c>
      <c r="D25" s="8" t="inlineStr">
        <is>
          <t>/api/artists/:id/albums</t>
        </is>
      </c>
      <c r="E25" s="8" t="inlineStr">
        <is>
          <t>Album của nghệ sĩ</t>
        </is>
      </c>
      <c r="F25" s="8" t="inlineStr">
        <is>
          <t>Khách</t>
        </is>
      </c>
      <c r="G25" s="8" t="inlineStr">
        <is>
          <t>FR-21</t>
        </is>
      </c>
      <c r="H25" s="8" t="inlineStr">
        <is>
          <t>1</t>
        </is>
      </c>
      <c r="I25" s="8" t="inlineStr">
        <is>
          <t>Must</t>
        </is>
      </c>
      <c r="J25" s="8" t="inlineStr">
        <is>
          <t>Album</t>
        </is>
      </c>
      <c r="K25" s="8" t="inlineStr">
        <is>
          <t>Người B</t>
        </is>
      </c>
      <c r="L25" s="8" t="inlineStr">
        <is>
          <t>Chưa làm</t>
        </is>
      </c>
    </row>
    <row r="26">
      <c r="A26" s="8" t="inlineStr">
        <is>
          <t>API-25</t>
        </is>
      </c>
      <c r="B26" s="8" t="inlineStr">
        <is>
          <t>4. Tìm kiếm và khám phá</t>
        </is>
      </c>
      <c r="C26" s="8" t="inlineStr">
        <is>
          <t>GET</t>
        </is>
      </c>
      <c r="D26" s="8" t="inlineStr">
        <is>
          <t>/api/albums/:id</t>
        </is>
      </c>
      <c r="E26" s="8" t="inlineStr">
        <is>
          <t>Chi tiết album kèm danh sách bài</t>
        </is>
      </c>
      <c r="F26" s="8" t="inlineStr">
        <is>
          <t>Khách</t>
        </is>
      </c>
      <c r="G26" s="8" t="inlineStr">
        <is>
          <t>FR-21</t>
        </is>
      </c>
      <c r="H26" s="8" t="inlineStr">
        <is>
          <t>1</t>
        </is>
      </c>
      <c r="I26" s="8" t="inlineStr">
        <is>
          <t>Must</t>
        </is>
      </c>
      <c r="J26" s="8" t="inlineStr">
        <is>
          <t>Album, Song</t>
        </is>
      </c>
      <c r="K26" s="8" t="inlineStr">
        <is>
          <t>Người B</t>
        </is>
      </c>
      <c r="L26" s="8" t="inlineStr">
        <is>
          <t>Chưa làm</t>
        </is>
      </c>
    </row>
    <row r="27">
      <c r="A27" s="8" t="inlineStr">
        <is>
          <t>API-26</t>
        </is>
      </c>
      <c r="B27" s="8" t="inlineStr">
        <is>
          <t>4. Tìm kiếm và khám phá</t>
        </is>
      </c>
      <c r="C27" s="8" t="inlineStr">
        <is>
          <t>GET</t>
        </is>
      </c>
      <c r="D27" s="8" t="inlineStr">
        <is>
          <t>/api/genres</t>
        </is>
      </c>
      <c r="E27" s="8" t="inlineStr">
        <is>
          <t>Danh sách thể loại</t>
        </is>
      </c>
      <c r="F27" s="8" t="inlineStr">
        <is>
          <t>Khách</t>
        </is>
      </c>
      <c r="G27" s="8" t="inlineStr">
        <is>
          <t>FR-20</t>
        </is>
      </c>
      <c r="H27" s="8" t="inlineStr">
        <is>
          <t>1</t>
        </is>
      </c>
      <c r="I27" s="8" t="inlineStr">
        <is>
          <t>Must</t>
        </is>
      </c>
      <c r="J27" s="8" t="inlineStr">
        <is>
          <t>Genre (mới)</t>
        </is>
      </c>
      <c r="K27" s="8" t="inlineStr">
        <is>
          <t>Người B</t>
        </is>
      </c>
      <c r="L27" s="8" t="inlineStr">
        <is>
          <t>Chưa làm</t>
        </is>
      </c>
    </row>
    <row r="28">
      <c r="A28" s="8" t="inlineStr">
        <is>
          <t>API-27</t>
        </is>
      </c>
      <c r="B28" s="8" t="inlineStr">
        <is>
          <t>4. Tìm kiếm và khám phá</t>
        </is>
      </c>
      <c r="C28" s="8" t="inlineStr">
        <is>
          <t>GET</t>
        </is>
      </c>
      <c r="D28" s="8" t="inlineStr">
        <is>
          <t>/api/genres/:id/songs</t>
        </is>
      </c>
      <c r="E28" s="8" t="inlineStr">
        <is>
          <t>Bài hát theo thể loại</t>
        </is>
      </c>
      <c r="F28" s="8" t="inlineStr">
        <is>
          <t>Khách</t>
        </is>
      </c>
      <c r="G28" s="8" t="inlineStr">
        <is>
          <t>FR-20</t>
        </is>
      </c>
      <c r="H28" s="8" t="inlineStr">
        <is>
          <t>1</t>
        </is>
      </c>
      <c r="I28" s="8" t="inlineStr">
        <is>
          <t>Should</t>
        </is>
      </c>
      <c r="J28" s="8" t="inlineStr">
        <is>
          <t>Genre, Song</t>
        </is>
      </c>
      <c r="K28" s="8" t="inlineStr">
        <is>
          <t>Người B</t>
        </is>
      </c>
      <c r="L28" s="8" t="inlineStr">
        <is>
          <t>Chưa làm</t>
        </is>
      </c>
    </row>
    <row r="29">
      <c r="A29" s="8" t="inlineStr">
        <is>
          <t>API-28</t>
        </is>
      </c>
      <c r="B29" s="8" t="inlineStr">
        <is>
          <t>5. Playlist</t>
        </is>
      </c>
      <c r="C29" s="8" t="inlineStr">
        <is>
          <t>GET</t>
        </is>
      </c>
      <c r="D29" s="8" t="inlineStr">
        <is>
          <t>/api/playlists</t>
        </is>
      </c>
      <c r="E29" s="8" t="inlineStr">
        <is>
          <t>Danh sách playlist của tôi</t>
        </is>
      </c>
      <c r="F29" s="8" t="inlineStr">
        <is>
          <t>User</t>
        </is>
      </c>
      <c r="G29" s="8" t="inlineStr">
        <is>
          <t>FR-22</t>
        </is>
      </c>
      <c r="H29" s="8" t="inlineStr">
        <is>
          <t>1</t>
        </is>
      </c>
      <c r="I29" s="8" t="inlineStr">
        <is>
          <t>Must</t>
        </is>
      </c>
      <c r="J29" s="8" t="inlineStr">
        <is>
          <t>Playlist</t>
        </is>
      </c>
      <c r="K29" s="8" t="inlineStr">
        <is>
          <t>Người A</t>
        </is>
      </c>
      <c r="L29" s="8" t="inlineStr">
        <is>
          <t>Chưa làm</t>
        </is>
      </c>
    </row>
    <row r="30">
      <c r="A30" s="8" t="inlineStr">
        <is>
          <t>API-29</t>
        </is>
      </c>
      <c r="B30" s="8" t="inlineStr">
        <is>
          <t>5. Playlist</t>
        </is>
      </c>
      <c r="C30" s="8" t="inlineStr">
        <is>
          <t>POST</t>
        </is>
      </c>
      <c r="D30" s="8" t="inlineStr">
        <is>
          <t>/api/playlists</t>
        </is>
      </c>
      <c r="E30" s="8" t="inlineStr">
        <is>
          <t>Tạo playlist</t>
        </is>
      </c>
      <c r="F30" s="8" t="inlineStr">
        <is>
          <t>User</t>
        </is>
      </c>
      <c r="G30" s="8" t="inlineStr">
        <is>
          <t>FR-22</t>
        </is>
      </c>
      <c r="H30" s="8" t="inlineStr">
        <is>
          <t>1</t>
        </is>
      </c>
      <c r="I30" s="8" t="inlineStr">
        <is>
          <t>Must</t>
        </is>
      </c>
      <c r="J30" s="8" t="inlineStr">
        <is>
          <t>Playlist</t>
        </is>
      </c>
      <c r="K30" s="8" t="inlineStr">
        <is>
          <t>Người A</t>
        </is>
      </c>
      <c r="L30" s="8" t="inlineStr">
        <is>
          <t>Chưa làm</t>
        </is>
      </c>
    </row>
    <row r="31">
      <c r="A31" s="8" t="inlineStr">
        <is>
          <t>API-30</t>
        </is>
      </c>
      <c r="B31" s="8" t="inlineStr">
        <is>
          <t>5. Playlist</t>
        </is>
      </c>
      <c r="C31" s="8" t="inlineStr">
        <is>
          <t>GET</t>
        </is>
      </c>
      <c r="D31" s="8" t="inlineStr">
        <is>
          <t>/api/playlists/:id</t>
        </is>
      </c>
      <c r="E31" s="8" t="inlineStr">
        <is>
          <t>Chi tiết playlist kèm bài hát</t>
        </is>
      </c>
      <c r="F31" s="8" t="inlineStr">
        <is>
          <t>User</t>
        </is>
      </c>
      <c r="G31" s="8" t="inlineStr">
        <is>
          <t>FR-22</t>
        </is>
      </c>
      <c r="H31" s="8" t="inlineStr">
        <is>
          <t>1</t>
        </is>
      </c>
      <c r="I31" s="8" t="inlineStr">
        <is>
          <t>Must</t>
        </is>
      </c>
      <c r="J31" s="8" t="inlineStr">
        <is>
          <t>Playlist, Playlist_song</t>
        </is>
      </c>
      <c r="K31" s="8" t="inlineStr">
        <is>
          <t>Người A</t>
        </is>
      </c>
      <c r="L31" s="8" t="inlineStr">
        <is>
          <t>Chưa làm</t>
        </is>
      </c>
    </row>
    <row r="32">
      <c r="A32" s="8" t="inlineStr">
        <is>
          <t>API-31</t>
        </is>
      </c>
      <c r="B32" s="8" t="inlineStr">
        <is>
          <t>5. Playlist</t>
        </is>
      </c>
      <c r="C32" s="8" t="inlineStr">
        <is>
          <t>PATCH</t>
        </is>
      </c>
      <c r="D32" s="8" t="inlineStr">
        <is>
          <t>/api/playlists/:id</t>
        </is>
      </c>
      <c r="E32" s="8" t="inlineStr">
        <is>
          <t>Đổi tên, mô tả (chỉ chủ sở hữu)</t>
        </is>
      </c>
      <c r="F32" s="8" t="inlineStr">
        <is>
          <t>User</t>
        </is>
      </c>
      <c r="G32" s="8" t="inlineStr">
        <is>
          <t>FR-22, BRL-06</t>
        </is>
      </c>
      <c r="H32" s="8" t="inlineStr">
        <is>
          <t>1</t>
        </is>
      </c>
      <c r="I32" s="8" t="inlineStr">
        <is>
          <t>Must</t>
        </is>
      </c>
      <c r="J32" s="8" t="inlineStr">
        <is>
          <t>Playlist</t>
        </is>
      </c>
      <c r="K32" s="8" t="inlineStr">
        <is>
          <t>Người A</t>
        </is>
      </c>
      <c r="L32" s="8" t="inlineStr">
        <is>
          <t>Chưa làm</t>
        </is>
      </c>
    </row>
    <row r="33">
      <c r="A33" s="8" t="inlineStr">
        <is>
          <t>API-32</t>
        </is>
      </c>
      <c r="B33" s="8" t="inlineStr">
        <is>
          <t>5. Playlist</t>
        </is>
      </c>
      <c r="C33" s="8" t="inlineStr">
        <is>
          <t>DELETE</t>
        </is>
      </c>
      <c r="D33" s="8" t="inlineStr">
        <is>
          <t>/api/playlists/:id</t>
        </is>
      </c>
      <c r="E33" s="8" t="inlineStr">
        <is>
          <t>Xóa playlist (chỉ chủ sở hữu)</t>
        </is>
      </c>
      <c r="F33" s="8" t="inlineStr">
        <is>
          <t>User</t>
        </is>
      </c>
      <c r="G33" s="8" t="inlineStr">
        <is>
          <t>FR-22, BRL-06</t>
        </is>
      </c>
      <c r="H33" s="8" t="inlineStr">
        <is>
          <t>1</t>
        </is>
      </c>
      <c r="I33" s="8" t="inlineStr">
        <is>
          <t>Must</t>
        </is>
      </c>
      <c r="J33" s="8" t="inlineStr">
        <is>
          <t>Playlist</t>
        </is>
      </c>
      <c r="K33" s="8" t="inlineStr">
        <is>
          <t>Người A</t>
        </is>
      </c>
      <c r="L33" s="8" t="inlineStr">
        <is>
          <t>Chưa làm</t>
        </is>
      </c>
    </row>
    <row r="34">
      <c r="A34" s="8" t="inlineStr">
        <is>
          <t>API-33</t>
        </is>
      </c>
      <c r="B34" s="8" t="inlineStr">
        <is>
          <t>5. Playlist</t>
        </is>
      </c>
      <c r="C34" s="8" t="inlineStr">
        <is>
          <t>POST</t>
        </is>
      </c>
      <c r="D34" s="8" t="inlineStr">
        <is>
          <t>/api/playlists/:id/songs</t>
        </is>
      </c>
      <c r="E34" s="8" t="inlineStr">
        <is>
          <t>Thêm bài vào playlist (không trùng)</t>
        </is>
      </c>
      <c r="F34" s="8" t="inlineStr">
        <is>
          <t>User</t>
        </is>
      </c>
      <c r="G34" s="8" t="inlineStr">
        <is>
          <t>FR-22, BRL-07</t>
        </is>
      </c>
      <c r="H34" s="8" t="inlineStr">
        <is>
          <t>1</t>
        </is>
      </c>
      <c r="I34" s="8" t="inlineStr">
        <is>
          <t>Must</t>
        </is>
      </c>
      <c r="J34" s="8" t="inlineStr">
        <is>
          <t>Playlist_song</t>
        </is>
      </c>
      <c r="K34" s="8" t="inlineStr">
        <is>
          <t>Người A</t>
        </is>
      </c>
      <c r="L34" s="8" t="inlineStr">
        <is>
          <t>Chưa làm</t>
        </is>
      </c>
    </row>
    <row r="35">
      <c r="A35" s="8" t="inlineStr">
        <is>
          <t>API-34</t>
        </is>
      </c>
      <c r="B35" s="8" t="inlineStr">
        <is>
          <t>5. Playlist</t>
        </is>
      </c>
      <c r="C35" s="8" t="inlineStr">
        <is>
          <t>DELETE</t>
        </is>
      </c>
      <c r="D35" s="8" t="inlineStr">
        <is>
          <t>/api/playlists/:id/songs/:songId</t>
        </is>
      </c>
      <c r="E35" s="8" t="inlineStr">
        <is>
          <t>Bỏ bài khỏi playlist</t>
        </is>
      </c>
      <c r="F35" s="8" t="inlineStr">
        <is>
          <t>User</t>
        </is>
      </c>
      <c r="G35" s="8" t="inlineStr">
        <is>
          <t>FR-22</t>
        </is>
      </c>
      <c r="H35" s="8" t="inlineStr">
        <is>
          <t>1</t>
        </is>
      </c>
      <c r="I35" s="8" t="inlineStr">
        <is>
          <t>Must</t>
        </is>
      </c>
      <c r="J35" s="8" t="inlineStr">
        <is>
          <t>Playlist_song</t>
        </is>
      </c>
      <c r="K35" s="8" t="inlineStr">
        <is>
          <t>Người A</t>
        </is>
      </c>
      <c r="L35" s="8" t="inlineStr">
        <is>
          <t>Chưa làm</t>
        </is>
      </c>
    </row>
    <row r="36">
      <c r="A36" s="8" t="inlineStr">
        <is>
          <t>API-35</t>
        </is>
      </c>
      <c r="B36" s="8" t="inlineStr">
        <is>
          <t>5. Playlist</t>
        </is>
      </c>
      <c r="C36" s="8" t="inlineStr">
        <is>
          <t>PUT</t>
        </is>
      </c>
      <c r="D36" s="8" t="inlineStr">
        <is>
          <t>/api/playlists/:id/songs/order</t>
        </is>
      </c>
      <c r="E36" s="8" t="inlineStr">
        <is>
          <t>Sắp xếp lại thứ tự bài</t>
        </is>
      </c>
      <c r="F36" s="8" t="inlineStr">
        <is>
          <t>User</t>
        </is>
      </c>
      <c r="G36" s="8" t="inlineStr">
        <is>
          <t>FR-22</t>
        </is>
      </c>
      <c r="H36" s="8" t="inlineStr">
        <is>
          <t>1</t>
        </is>
      </c>
      <c r="I36" s="8" t="inlineStr">
        <is>
          <t>Should</t>
        </is>
      </c>
      <c r="J36" s="8" t="inlineStr">
        <is>
          <t>Playlist_song (thêm cột position)</t>
        </is>
      </c>
      <c r="K36" s="8" t="inlineStr">
        <is>
          <t>Người A</t>
        </is>
      </c>
      <c r="L36" s="8" t="inlineStr">
        <is>
          <t>Chưa làm</t>
        </is>
      </c>
    </row>
    <row r="37">
      <c r="A37" s="8" t="inlineStr">
        <is>
          <t>API-36</t>
        </is>
      </c>
      <c r="B37" s="8" t="inlineStr">
        <is>
          <t>6. Yêu thích và theo dõi</t>
        </is>
      </c>
      <c r="C37" s="8" t="inlineStr">
        <is>
          <t>POST</t>
        </is>
      </c>
      <c r="D37" s="8" t="inlineStr">
        <is>
          <t>/api/songs/:id/like</t>
        </is>
      </c>
      <c r="E37" s="8" t="inlineStr">
        <is>
          <t>Thích bài hát</t>
        </is>
      </c>
      <c r="F37" s="8" t="inlineStr">
        <is>
          <t>User</t>
        </is>
      </c>
      <c r="G37" s="8" t="inlineStr">
        <is>
          <t>FR-23</t>
        </is>
      </c>
      <c r="H37" s="8" t="inlineStr">
        <is>
          <t>1</t>
        </is>
      </c>
      <c r="I37" s="8" t="inlineStr">
        <is>
          <t>Must</t>
        </is>
      </c>
      <c r="J37" s="8" t="inlineStr">
        <is>
          <t>FavoriteSong (mới)</t>
        </is>
      </c>
      <c r="K37" s="8" t="inlineStr">
        <is>
          <t>Người A</t>
        </is>
      </c>
      <c r="L37" s="8" t="inlineStr">
        <is>
          <t>Chưa làm</t>
        </is>
      </c>
    </row>
    <row r="38">
      <c r="A38" s="8" t="inlineStr">
        <is>
          <t>API-37</t>
        </is>
      </c>
      <c r="B38" s="8" t="inlineStr">
        <is>
          <t>6. Yêu thích và theo dõi</t>
        </is>
      </c>
      <c r="C38" s="8" t="inlineStr">
        <is>
          <t>DELETE</t>
        </is>
      </c>
      <c r="D38" s="8" t="inlineStr">
        <is>
          <t>/api/songs/:id/like</t>
        </is>
      </c>
      <c r="E38" s="8" t="inlineStr">
        <is>
          <t>Bỏ thích bài hát</t>
        </is>
      </c>
      <c r="F38" s="8" t="inlineStr">
        <is>
          <t>User</t>
        </is>
      </c>
      <c r="G38" s="8" t="inlineStr">
        <is>
          <t>FR-23</t>
        </is>
      </c>
      <c r="H38" s="8" t="inlineStr">
        <is>
          <t>1</t>
        </is>
      </c>
      <c r="I38" s="8" t="inlineStr">
        <is>
          <t>Must</t>
        </is>
      </c>
      <c r="J38" s="8" t="inlineStr">
        <is>
          <t>FavoriteSong (mới)</t>
        </is>
      </c>
      <c r="K38" s="8" t="inlineStr">
        <is>
          <t>Người A</t>
        </is>
      </c>
      <c r="L38" s="8" t="inlineStr">
        <is>
          <t>Chưa làm</t>
        </is>
      </c>
    </row>
    <row r="39">
      <c r="A39" s="8" t="inlineStr">
        <is>
          <t>API-38</t>
        </is>
      </c>
      <c r="B39" s="8" t="inlineStr">
        <is>
          <t>6. Yêu thích và theo dõi</t>
        </is>
      </c>
      <c r="C39" s="8" t="inlineStr">
        <is>
          <t>GET</t>
        </is>
      </c>
      <c r="D39" s="8" t="inlineStr">
        <is>
          <t>/api/users/me/liked-songs</t>
        </is>
      </c>
      <c r="E39" s="8" t="inlineStr">
        <is>
          <t>Danh sách bài hát yêu thích</t>
        </is>
      </c>
      <c r="F39" s="8" t="inlineStr">
        <is>
          <t>User</t>
        </is>
      </c>
      <c r="G39" s="8" t="inlineStr">
        <is>
          <t>FR-23</t>
        </is>
      </c>
      <c r="H39" s="8" t="inlineStr">
        <is>
          <t>1</t>
        </is>
      </c>
      <c r="I39" s="8" t="inlineStr">
        <is>
          <t>Must</t>
        </is>
      </c>
      <c r="J39" s="8" t="inlineStr">
        <is>
          <t>FavoriteSong (mới)</t>
        </is>
      </c>
      <c r="K39" s="8" t="inlineStr">
        <is>
          <t>Người A</t>
        </is>
      </c>
      <c r="L39" s="8" t="inlineStr">
        <is>
          <t>Chưa làm</t>
        </is>
      </c>
    </row>
    <row r="40">
      <c r="A40" s="8" t="inlineStr">
        <is>
          <t>API-39</t>
        </is>
      </c>
      <c r="B40" s="8" t="inlineStr">
        <is>
          <t>6. Yêu thích và theo dõi</t>
        </is>
      </c>
      <c r="C40" s="8" t="inlineStr">
        <is>
          <t>POST</t>
        </is>
      </c>
      <c r="D40" s="8" t="inlineStr">
        <is>
          <t>/api/artists/:id/follow</t>
        </is>
      </c>
      <c r="E40" s="8" t="inlineStr">
        <is>
          <t>Theo dõi nghệ sĩ</t>
        </is>
      </c>
      <c r="F40" s="8" t="inlineStr">
        <is>
          <t>User</t>
        </is>
      </c>
      <c r="G40" s="8" t="inlineStr">
        <is>
          <t>FR-23</t>
        </is>
      </c>
      <c r="H40" s="8" t="inlineStr">
        <is>
          <t>1</t>
        </is>
      </c>
      <c r="I40" s="8" t="inlineStr">
        <is>
          <t>Must</t>
        </is>
      </c>
      <c r="J40" s="8" t="inlineStr">
        <is>
          <t>FollowArtist (mới)</t>
        </is>
      </c>
      <c r="K40" s="8" t="inlineStr">
        <is>
          <t>Người A</t>
        </is>
      </c>
      <c r="L40" s="8" t="inlineStr">
        <is>
          <t>Chưa làm</t>
        </is>
      </c>
    </row>
    <row r="41">
      <c r="A41" s="8" t="inlineStr">
        <is>
          <t>API-40</t>
        </is>
      </c>
      <c r="B41" s="8" t="inlineStr">
        <is>
          <t>6. Yêu thích và theo dõi</t>
        </is>
      </c>
      <c r="C41" s="8" t="inlineStr">
        <is>
          <t>DELETE</t>
        </is>
      </c>
      <c r="D41" s="8" t="inlineStr">
        <is>
          <t>/api/artists/:id/follow</t>
        </is>
      </c>
      <c r="E41" s="8" t="inlineStr">
        <is>
          <t>Bỏ theo dõi nghệ sĩ</t>
        </is>
      </c>
      <c r="F41" s="8" t="inlineStr">
        <is>
          <t>User</t>
        </is>
      </c>
      <c r="G41" s="8" t="inlineStr">
        <is>
          <t>FR-23</t>
        </is>
      </c>
      <c r="H41" s="8" t="inlineStr">
        <is>
          <t>1</t>
        </is>
      </c>
      <c r="I41" s="8" t="inlineStr">
        <is>
          <t>Must</t>
        </is>
      </c>
      <c r="J41" s="8" t="inlineStr">
        <is>
          <t>FollowArtist (mới)</t>
        </is>
      </c>
      <c r="K41" s="8" t="inlineStr">
        <is>
          <t>Người A</t>
        </is>
      </c>
      <c r="L41" s="8" t="inlineStr">
        <is>
          <t>Chưa làm</t>
        </is>
      </c>
    </row>
    <row r="42">
      <c r="A42" s="8" t="inlineStr">
        <is>
          <t>API-41</t>
        </is>
      </c>
      <c r="B42" s="8" t="inlineStr">
        <is>
          <t>6. Yêu thích và theo dõi</t>
        </is>
      </c>
      <c r="C42" s="8" t="inlineStr">
        <is>
          <t>GET</t>
        </is>
      </c>
      <c r="D42" s="8" t="inlineStr">
        <is>
          <t>/api/users/me/followed-artists</t>
        </is>
      </c>
      <c r="E42" s="8" t="inlineStr">
        <is>
          <t>Danh sách nghệ sĩ đang theo dõi</t>
        </is>
      </c>
      <c r="F42" s="8" t="inlineStr">
        <is>
          <t>User</t>
        </is>
      </c>
      <c r="G42" s="8" t="inlineStr">
        <is>
          <t>FR-23</t>
        </is>
      </c>
      <c r="H42" s="8" t="inlineStr">
        <is>
          <t>1</t>
        </is>
      </c>
      <c r="I42" s="8" t="inlineStr">
        <is>
          <t>Must</t>
        </is>
      </c>
      <c r="J42" s="8" t="inlineStr">
        <is>
          <t>FollowArtist (mới)</t>
        </is>
      </c>
      <c r="K42" s="8" t="inlineStr">
        <is>
          <t>Người A</t>
        </is>
      </c>
      <c r="L42" s="8" t="inlineStr">
        <is>
          <t>Chưa làm</t>
        </is>
      </c>
    </row>
    <row r="43">
      <c r="A43" s="8" t="inlineStr">
        <is>
          <t>API-42</t>
        </is>
      </c>
      <c r="B43" s="8" t="inlineStr">
        <is>
          <t>7. Trạng thái phát và lịch sử</t>
        </is>
      </c>
      <c r="C43" s="8" t="inlineStr">
        <is>
          <t>GET</t>
        </is>
      </c>
      <c r="D43" s="8" t="inlineStr">
        <is>
          <t>/api/users/me/player-state</t>
        </is>
      </c>
      <c r="E43" s="8" t="inlineStr">
        <is>
          <t>Lấy bài, vị trí, hàng đợi đang nghe để khôi phục</t>
        </is>
      </c>
      <c r="F43" s="8" t="inlineStr">
        <is>
          <t>User</t>
        </is>
      </c>
      <c r="G43" s="8" t="inlineStr">
        <is>
          <t>FR-14</t>
        </is>
      </c>
      <c r="H43" s="8" t="inlineStr">
        <is>
          <t>1</t>
        </is>
      </c>
      <c r="I43" s="8" t="inlineStr">
        <is>
          <t>Should</t>
        </is>
      </c>
      <c r="J43" s="8" t="inlineStr">
        <is>
          <t>PlayerState (mới)</t>
        </is>
      </c>
      <c r="K43" s="8" t="inlineStr">
        <is>
          <t>Người A</t>
        </is>
      </c>
      <c r="L43" s="8" t="inlineStr">
        <is>
          <t>Chưa làm</t>
        </is>
      </c>
    </row>
    <row r="44">
      <c r="A44" s="8" t="inlineStr">
        <is>
          <t>API-43</t>
        </is>
      </c>
      <c r="B44" s="8" t="inlineStr">
        <is>
          <t>7. Trạng thái phát và lịch sử</t>
        </is>
      </c>
      <c r="C44" s="8" t="inlineStr">
        <is>
          <t>PUT</t>
        </is>
      </c>
      <c r="D44" s="8" t="inlineStr">
        <is>
          <t>/api/users/me/player-state</t>
        </is>
      </c>
      <c r="E44" s="8" t="inlineStr">
        <is>
          <t>Lưu bài, vị trí, hàng đợi đang nghe</t>
        </is>
      </c>
      <c r="F44" s="8" t="inlineStr">
        <is>
          <t>User</t>
        </is>
      </c>
      <c r="G44" s="8" t="inlineStr">
        <is>
          <t>FR-14</t>
        </is>
      </c>
      <c r="H44" s="8" t="inlineStr">
        <is>
          <t>1</t>
        </is>
      </c>
      <c r="I44" s="8" t="inlineStr">
        <is>
          <t>Should</t>
        </is>
      </c>
      <c r="J44" s="8" t="inlineStr">
        <is>
          <t>PlayerState (mới)</t>
        </is>
      </c>
      <c r="K44" s="8" t="inlineStr">
        <is>
          <t>Người A</t>
        </is>
      </c>
      <c r="L44" s="8" t="inlineStr">
        <is>
          <t>Chưa làm</t>
        </is>
      </c>
    </row>
    <row r="45">
      <c r="A45" s="8" t="inlineStr">
        <is>
          <t>API-44</t>
        </is>
      </c>
      <c r="B45" s="8" t="inlineStr">
        <is>
          <t>7. Trạng thái phát và lịch sử</t>
        </is>
      </c>
      <c r="C45" s="8" t="inlineStr">
        <is>
          <t>GET</t>
        </is>
      </c>
      <c r="D45" s="8" t="inlineStr">
        <is>
          <t>/api/users/me/history</t>
        </is>
      </c>
      <c r="E45" s="8" t="inlineStr">
        <is>
          <t>Lịch sử nghe, nghe gần đây</t>
        </is>
      </c>
      <c r="F45" s="8" t="inlineStr">
        <is>
          <t>User</t>
        </is>
      </c>
      <c r="G45" s="8" t="inlineStr">
        <is>
          <t>FR-24</t>
        </is>
      </c>
      <c r="H45" s="8" t="inlineStr">
        <is>
          <t>2</t>
        </is>
      </c>
      <c r="I45" s="8" t="inlineStr">
        <is>
          <t>Should</t>
        </is>
      </c>
      <c r="J45" s="8" t="inlineStr">
        <is>
          <t>ListenHistory (mới)</t>
        </is>
      </c>
      <c r="K45" s="8" t="inlineStr">
        <is>
          <t>Người A</t>
        </is>
      </c>
      <c r="L45" s="8" t="inlineStr">
        <is>
          <t>Chưa làm</t>
        </is>
      </c>
    </row>
    <row r="46">
      <c r="A46" s="8" t="inlineStr">
        <is>
          <t>API-45</t>
        </is>
      </c>
      <c r="B46" s="8" t="inlineStr">
        <is>
          <t>7. Trạng thái phát và lịch sử</t>
        </is>
      </c>
      <c r="C46" s="8" t="inlineStr">
        <is>
          <t>GET</t>
        </is>
      </c>
      <c r="D46" s="8" t="inlineStr">
        <is>
          <t>/api/users/me/recommendations</t>
        </is>
      </c>
      <c r="E46" s="8" t="inlineStr">
        <is>
          <t>Gợi ý theo thể loại và lịch sử nghe</t>
        </is>
      </c>
      <c r="F46" s="8" t="inlineStr">
        <is>
          <t>User</t>
        </is>
      </c>
      <c r="G46" s="8" t="inlineStr">
        <is>
          <t>FR-25</t>
        </is>
      </c>
      <c r="H46" s="8" t="inlineStr">
        <is>
          <t>2</t>
        </is>
      </c>
      <c r="I46" s="8" t="inlineStr">
        <is>
          <t>Should</t>
        </is>
      </c>
      <c r="J46" s="8" t="inlineStr">
        <is>
          <t>ListenHistory, Genre</t>
        </is>
      </c>
      <c r="K46" s="8" t="inlineStr">
        <is>
          <t>Người A</t>
        </is>
      </c>
      <c r="L46" s="8" t="inlineStr">
        <is>
          <t>Chưa làm</t>
        </is>
      </c>
    </row>
    <row r="47">
      <c r="A47" s="8" t="inlineStr">
        <is>
          <t>API-46</t>
        </is>
      </c>
      <c r="B47" s="8" t="inlineStr">
        <is>
          <t>7. Trạng thái phát và lịch sử</t>
        </is>
      </c>
      <c r="C47" s="8" t="inlineStr">
        <is>
          <t>GET</t>
        </is>
      </c>
      <c r="D47" s="8" t="inlineStr">
        <is>
          <t>/api/radio?seedSong=&amp;seedArtist=</t>
        </is>
      </c>
      <c r="E47" s="8" t="inlineStr">
        <is>
          <t>Tạo danh sách phát radio từ một bài hoặc nghệ sĩ</t>
        </is>
      </c>
      <c r="F47" s="8" t="inlineStr">
        <is>
          <t>User</t>
        </is>
      </c>
      <c r="G47" s="8" t="inlineStr">
        <is>
          <t>FR-26</t>
        </is>
      </c>
      <c r="H47" s="8" t="inlineStr">
        <is>
          <t>2</t>
        </is>
      </c>
      <c r="I47" s="8" t="inlineStr">
        <is>
          <t>Could</t>
        </is>
      </c>
      <c r="J47" s="8" t="inlineStr">
        <is>
          <t>Song, Genre</t>
        </is>
      </c>
      <c r="K47" s="8" t="inlineStr">
        <is>
          <t>Người A</t>
        </is>
      </c>
      <c r="L47" s="8" t="inlineStr">
        <is>
          <t>Chưa làm</t>
        </is>
      </c>
    </row>
    <row r="48">
      <c r="A48" s="8" t="inlineStr">
        <is>
          <t>API-47</t>
        </is>
      </c>
      <c r="B48" s="8" t="inlineStr">
        <is>
          <t>8. Quản trị: người dùng</t>
        </is>
      </c>
      <c r="C48" s="8" t="inlineStr">
        <is>
          <t>GET</t>
        </is>
      </c>
      <c r="D48" s="8" t="inlineStr">
        <is>
          <t>/api/admin/users</t>
        </is>
      </c>
      <c r="E48" s="8" t="inlineStr">
        <is>
          <t>Danh sách người dùng, tìm kiếm, lọc theo vai trò/trạng thái</t>
        </is>
      </c>
      <c r="F48" s="8" t="inlineStr">
        <is>
          <t>Admin</t>
        </is>
      </c>
      <c r="G48" s="8" t="inlineStr">
        <is>
          <t>FR-65</t>
        </is>
      </c>
      <c r="H48" s="8" t="inlineStr">
        <is>
          <t>1</t>
        </is>
      </c>
      <c r="I48" s="8" t="inlineStr">
        <is>
          <t>Must</t>
        </is>
      </c>
      <c r="J48" s="8" t="inlineStr">
        <is>
          <t>User</t>
        </is>
      </c>
      <c r="K48" s="8" t="inlineStr">
        <is>
          <t>Người B</t>
        </is>
      </c>
      <c r="L48" s="8" t="inlineStr">
        <is>
          <t>Chưa làm</t>
        </is>
      </c>
    </row>
    <row r="49">
      <c r="A49" s="8" t="inlineStr">
        <is>
          <t>API-48</t>
        </is>
      </c>
      <c r="B49" s="8" t="inlineStr">
        <is>
          <t>8. Quản trị: người dùng</t>
        </is>
      </c>
      <c r="C49" s="8" t="inlineStr">
        <is>
          <t>PATCH</t>
        </is>
      </c>
      <c r="D49" s="8" t="inlineStr">
        <is>
          <t>/api/admin/users/:id/status</t>
        </is>
      </c>
      <c r="E49" s="8" t="inlineStr">
        <is>
          <t>Khóa (banned) hoặc mở khóa tài khoản</t>
        </is>
      </c>
      <c r="F49" s="8" t="inlineStr">
        <is>
          <t>Admin</t>
        </is>
      </c>
      <c r="G49" s="8" t="inlineStr">
        <is>
          <t>FR-65, BRL-03</t>
        </is>
      </c>
      <c r="H49" s="8" t="inlineStr">
        <is>
          <t>1</t>
        </is>
      </c>
      <c r="I49" s="8" t="inlineStr">
        <is>
          <t>Must</t>
        </is>
      </c>
      <c r="J49" s="8" t="inlineStr">
        <is>
          <t>User</t>
        </is>
      </c>
      <c r="K49" s="8" t="inlineStr">
        <is>
          <t>Người B</t>
        </is>
      </c>
      <c r="L49" s="8" t="inlineStr">
        <is>
          <t>Chưa làm</t>
        </is>
      </c>
    </row>
    <row r="50">
      <c r="A50" s="8" t="inlineStr">
        <is>
          <t>API-49</t>
        </is>
      </c>
      <c r="B50" s="8" t="inlineStr">
        <is>
          <t>8. Quản trị: người dùng</t>
        </is>
      </c>
      <c r="C50" s="8" t="inlineStr">
        <is>
          <t>PATCH</t>
        </is>
      </c>
      <c r="D50" s="8" t="inlineStr">
        <is>
          <t>/api/admin/users/:id/role</t>
        </is>
      </c>
      <c r="E50" s="8" t="inlineStr">
        <is>
          <t>Đổi vai trò user/artist/admin</t>
        </is>
      </c>
      <c r="F50" s="8" t="inlineStr">
        <is>
          <t>Admin</t>
        </is>
      </c>
      <c r="G50" s="8" t="inlineStr">
        <is>
          <t>FR-65</t>
        </is>
      </c>
      <c r="H50" s="8" t="inlineStr">
        <is>
          <t>1</t>
        </is>
      </c>
      <c r="I50" s="8" t="inlineStr">
        <is>
          <t>Should</t>
        </is>
      </c>
      <c r="J50" s="8" t="inlineStr">
        <is>
          <t>User</t>
        </is>
      </c>
      <c r="K50" s="8" t="inlineStr">
        <is>
          <t>Người B</t>
        </is>
      </c>
      <c r="L50" s="8" t="inlineStr">
        <is>
          <t>Chưa làm</t>
        </is>
      </c>
    </row>
    <row r="51">
      <c r="A51" s="8" t="inlineStr">
        <is>
          <t>API-50</t>
        </is>
      </c>
      <c r="B51" s="8" t="inlineStr">
        <is>
          <t>9. Quản trị: nội dung nhạc</t>
        </is>
      </c>
      <c r="C51" s="8" t="inlineStr">
        <is>
          <t>POST</t>
        </is>
      </c>
      <c r="D51" s="8" t="inlineStr">
        <is>
          <t>/api/admin/songs</t>
        </is>
      </c>
      <c r="E51" s="8" t="inlineStr">
        <is>
          <t>Thêm bài hát: tải file nhạc, ảnh bìa và thông tin</t>
        </is>
      </c>
      <c r="F51" s="8" t="inlineStr">
        <is>
          <t>Admin</t>
        </is>
      </c>
      <c r="G51" s="8" t="inlineStr">
        <is>
          <t>FR-63</t>
        </is>
      </c>
      <c r="H51" s="8" t="inlineStr">
        <is>
          <t>1</t>
        </is>
      </c>
      <c r="I51" s="8" t="inlineStr">
        <is>
          <t>Must</t>
        </is>
      </c>
      <c r="J51" s="8" t="inlineStr">
        <is>
          <t>Song</t>
        </is>
      </c>
      <c r="K51" s="8" t="inlineStr">
        <is>
          <t>Người B</t>
        </is>
      </c>
      <c r="L51" s="8" t="inlineStr">
        <is>
          <t>Chưa làm</t>
        </is>
      </c>
    </row>
    <row r="52">
      <c r="A52" s="8" t="inlineStr">
        <is>
          <t>API-51</t>
        </is>
      </c>
      <c r="B52" s="8" t="inlineStr">
        <is>
          <t>9. Quản trị: nội dung nhạc</t>
        </is>
      </c>
      <c r="C52" s="8" t="inlineStr">
        <is>
          <t>PATCH</t>
        </is>
      </c>
      <c r="D52" s="8" t="inlineStr">
        <is>
          <t>/api/admin/songs/:id</t>
        </is>
      </c>
      <c r="E52" s="8" t="inlineStr">
        <is>
          <t>Sửa thông tin bài hát, ẩn/hiện, cho phép tải</t>
        </is>
      </c>
      <c r="F52" s="8" t="inlineStr">
        <is>
          <t>Admin</t>
        </is>
      </c>
      <c r="G52" s="8" t="inlineStr">
        <is>
          <t>FR-63, BRL-11</t>
        </is>
      </c>
      <c r="H52" s="8" t="inlineStr">
        <is>
          <t>1</t>
        </is>
      </c>
      <c r="I52" s="8" t="inlineStr">
        <is>
          <t>Must</t>
        </is>
      </c>
      <c r="J52" s="8" t="inlineStr">
        <is>
          <t>Song (thêm is_hidden, is_downloadable)</t>
        </is>
      </c>
      <c r="K52" s="8" t="inlineStr">
        <is>
          <t>Người B</t>
        </is>
      </c>
      <c r="L52" s="8" t="inlineStr">
        <is>
          <t>Chưa làm</t>
        </is>
      </c>
    </row>
    <row r="53">
      <c r="A53" s="8" t="inlineStr">
        <is>
          <t>API-52</t>
        </is>
      </c>
      <c r="B53" s="8" t="inlineStr">
        <is>
          <t>9. Quản trị: nội dung nhạc</t>
        </is>
      </c>
      <c r="C53" s="8" t="inlineStr">
        <is>
          <t>DELETE</t>
        </is>
      </c>
      <c r="D53" s="8" t="inlineStr">
        <is>
          <t>/api/admin/songs/:id</t>
        </is>
      </c>
      <c r="E53" s="8" t="inlineStr">
        <is>
          <t>Xóa bài hát</t>
        </is>
      </c>
      <c r="F53" s="8" t="inlineStr">
        <is>
          <t>Admin</t>
        </is>
      </c>
      <c r="G53" s="8" t="inlineStr">
        <is>
          <t>FR-63</t>
        </is>
      </c>
      <c r="H53" s="8" t="inlineStr">
        <is>
          <t>1</t>
        </is>
      </c>
      <c r="I53" s="8" t="inlineStr">
        <is>
          <t>Must</t>
        </is>
      </c>
      <c r="J53" s="8" t="inlineStr">
        <is>
          <t>Song</t>
        </is>
      </c>
      <c r="K53" s="8" t="inlineStr">
        <is>
          <t>Người B</t>
        </is>
      </c>
      <c r="L53" s="8" t="inlineStr">
        <is>
          <t>Chưa làm</t>
        </is>
      </c>
    </row>
    <row r="54">
      <c r="A54" s="8" t="inlineStr">
        <is>
          <t>API-53</t>
        </is>
      </c>
      <c r="B54" s="8" t="inlineStr">
        <is>
          <t>9. Quản trị: nội dung nhạc</t>
        </is>
      </c>
      <c r="C54" s="8" t="inlineStr">
        <is>
          <t>POST</t>
        </is>
      </c>
      <c r="D54" s="8" t="inlineStr">
        <is>
          <t>/api/admin/artists</t>
        </is>
      </c>
      <c r="E54" s="8" t="inlineStr">
        <is>
          <t>Thêm nghệ sĩ</t>
        </is>
      </c>
      <c r="F54" s="8" t="inlineStr">
        <is>
          <t>Admin</t>
        </is>
      </c>
      <c r="G54" s="8" t="inlineStr">
        <is>
          <t>FR-63</t>
        </is>
      </c>
      <c r="H54" s="8" t="inlineStr">
        <is>
          <t>1</t>
        </is>
      </c>
      <c r="I54" s="8" t="inlineStr">
        <is>
          <t>Must</t>
        </is>
      </c>
      <c r="J54" s="8" t="inlineStr">
        <is>
          <t>Artist</t>
        </is>
      </c>
      <c r="K54" s="8" t="inlineStr">
        <is>
          <t>Người B</t>
        </is>
      </c>
      <c r="L54" s="8" t="inlineStr">
        <is>
          <t>Chưa làm</t>
        </is>
      </c>
    </row>
    <row r="55">
      <c r="A55" s="8" t="inlineStr">
        <is>
          <t>API-54</t>
        </is>
      </c>
      <c r="B55" s="8" t="inlineStr">
        <is>
          <t>9. Quản trị: nội dung nhạc</t>
        </is>
      </c>
      <c r="C55" s="8" t="inlineStr">
        <is>
          <t>PATCH</t>
        </is>
      </c>
      <c r="D55" s="8" t="inlineStr">
        <is>
          <t>/api/admin/artists/:id</t>
        </is>
      </c>
      <c r="E55" s="8" t="inlineStr">
        <is>
          <t>Sửa nghệ sĩ</t>
        </is>
      </c>
      <c r="F55" s="8" t="inlineStr">
        <is>
          <t>Admin</t>
        </is>
      </c>
      <c r="G55" s="8" t="inlineStr">
        <is>
          <t>FR-63</t>
        </is>
      </c>
      <c r="H55" s="8" t="inlineStr">
        <is>
          <t>1</t>
        </is>
      </c>
      <c r="I55" s="8" t="inlineStr">
        <is>
          <t>Must</t>
        </is>
      </c>
      <c r="J55" s="8" t="inlineStr">
        <is>
          <t>Artist</t>
        </is>
      </c>
      <c r="K55" s="8" t="inlineStr">
        <is>
          <t>Người B</t>
        </is>
      </c>
      <c r="L55" s="8" t="inlineStr">
        <is>
          <t>Chưa làm</t>
        </is>
      </c>
    </row>
    <row r="56">
      <c r="A56" s="8" t="inlineStr">
        <is>
          <t>API-55</t>
        </is>
      </c>
      <c r="B56" s="8" t="inlineStr">
        <is>
          <t>9. Quản trị: nội dung nhạc</t>
        </is>
      </c>
      <c r="C56" s="8" t="inlineStr">
        <is>
          <t>DELETE</t>
        </is>
      </c>
      <c r="D56" s="8" t="inlineStr">
        <is>
          <t>/api/admin/artists/:id</t>
        </is>
      </c>
      <c r="E56" s="8" t="inlineStr">
        <is>
          <t>Xóa nghệ sĩ</t>
        </is>
      </c>
      <c r="F56" s="8" t="inlineStr">
        <is>
          <t>Admin</t>
        </is>
      </c>
      <c r="G56" s="8" t="inlineStr">
        <is>
          <t>FR-63</t>
        </is>
      </c>
      <c r="H56" s="8" t="inlineStr">
        <is>
          <t>1</t>
        </is>
      </c>
      <c r="I56" s="8" t="inlineStr">
        <is>
          <t>Should</t>
        </is>
      </c>
      <c r="J56" s="8" t="inlineStr">
        <is>
          <t>Artist</t>
        </is>
      </c>
      <c r="K56" s="8" t="inlineStr">
        <is>
          <t>Người B</t>
        </is>
      </c>
      <c r="L56" s="8" t="inlineStr">
        <is>
          <t>Chưa làm</t>
        </is>
      </c>
    </row>
    <row r="57">
      <c r="A57" s="8" t="inlineStr">
        <is>
          <t>API-56</t>
        </is>
      </c>
      <c r="B57" s="8" t="inlineStr">
        <is>
          <t>9. Quản trị: nội dung nhạc</t>
        </is>
      </c>
      <c r="C57" s="8" t="inlineStr">
        <is>
          <t>POST</t>
        </is>
      </c>
      <c r="D57" s="8" t="inlineStr">
        <is>
          <t>/api/admin/albums</t>
        </is>
      </c>
      <c r="E57" s="8" t="inlineStr">
        <is>
          <t>Thêm album</t>
        </is>
      </c>
      <c r="F57" s="8" t="inlineStr">
        <is>
          <t>Admin</t>
        </is>
      </c>
      <c r="G57" s="8" t="inlineStr">
        <is>
          <t>FR-63</t>
        </is>
      </c>
      <c r="H57" s="8" t="inlineStr">
        <is>
          <t>1</t>
        </is>
      </c>
      <c r="I57" s="8" t="inlineStr">
        <is>
          <t>Must</t>
        </is>
      </c>
      <c r="J57" s="8" t="inlineStr">
        <is>
          <t>Album</t>
        </is>
      </c>
      <c r="K57" s="8" t="inlineStr">
        <is>
          <t>Người B</t>
        </is>
      </c>
      <c r="L57" s="8" t="inlineStr">
        <is>
          <t>Chưa làm</t>
        </is>
      </c>
    </row>
    <row r="58">
      <c r="A58" s="8" t="inlineStr">
        <is>
          <t>API-57</t>
        </is>
      </c>
      <c r="B58" s="8" t="inlineStr">
        <is>
          <t>9. Quản trị: nội dung nhạc</t>
        </is>
      </c>
      <c r="C58" s="8" t="inlineStr">
        <is>
          <t>PATCH</t>
        </is>
      </c>
      <c r="D58" s="8" t="inlineStr">
        <is>
          <t>/api/admin/albums/:id</t>
        </is>
      </c>
      <c r="E58" s="8" t="inlineStr">
        <is>
          <t>Sửa album</t>
        </is>
      </c>
      <c r="F58" s="8" t="inlineStr">
        <is>
          <t>Admin</t>
        </is>
      </c>
      <c r="G58" s="8" t="inlineStr">
        <is>
          <t>FR-63</t>
        </is>
      </c>
      <c r="H58" s="8" t="inlineStr">
        <is>
          <t>1</t>
        </is>
      </c>
      <c r="I58" s="8" t="inlineStr">
        <is>
          <t>Must</t>
        </is>
      </c>
      <c r="J58" s="8" t="inlineStr">
        <is>
          <t>Album</t>
        </is>
      </c>
      <c r="K58" s="8" t="inlineStr">
        <is>
          <t>Người B</t>
        </is>
      </c>
      <c r="L58" s="8" t="inlineStr">
        <is>
          <t>Chưa làm</t>
        </is>
      </c>
    </row>
    <row r="59">
      <c r="A59" s="8" t="inlineStr">
        <is>
          <t>API-58</t>
        </is>
      </c>
      <c r="B59" s="8" t="inlineStr">
        <is>
          <t>9. Quản trị: nội dung nhạc</t>
        </is>
      </c>
      <c r="C59" s="8" t="inlineStr">
        <is>
          <t>DELETE</t>
        </is>
      </c>
      <c r="D59" s="8" t="inlineStr">
        <is>
          <t>/api/admin/albums/:id</t>
        </is>
      </c>
      <c r="E59" s="8" t="inlineStr">
        <is>
          <t>Xóa album</t>
        </is>
      </c>
      <c r="F59" s="8" t="inlineStr">
        <is>
          <t>Admin</t>
        </is>
      </c>
      <c r="G59" s="8" t="inlineStr">
        <is>
          <t>FR-63</t>
        </is>
      </c>
      <c r="H59" s="8" t="inlineStr">
        <is>
          <t>1</t>
        </is>
      </c>
      <c r="I59" s="8" t="inlineStr">
        <is>
          <t>Should</t>
        </is>
      </c>
      <c r="J59" s="8" t="inlineStr">
        <is>
          <t>Album</t>
        </is>
      </c>
      <c r="K59" s="8" t="inlineStr">
        <is>
          <t>Người B</t>
        </is>
      </c>
      <c r="L59" s="8" t="inlineStr">
        <is>
          <t>Chưa làm</t>
        </is>
      </c>
    </row>
    <row r="60">
      <c r="A60" s="8" t="inlineStr">
        <is>
          <t>API-59</t>
        </is>
      </c>
      <c r="B60" s="8" t="inlineStr">
        <is>
          <t>9. Quản trị: nội dung nhạc</t>
        </is>
      </c>
      <c r="C60" s="8" t="inlineStr">
        <is>
          <t>POST</t>
        </is>
      </c>
      <c r="D60" s="8" t="inlineStr">
        <is>
          <t>/api/admin/genres</t>
        </is>
      </c>
      <c r="E60" s="8" t="inlineStr">
        <is>
          <t>Thêm thể loại</t>
        </is>
      </c>
      <c r="F60" s="8" t="inlineStr">
        <is>
          <t>Admin</t>
        </is>
      </c>
      <c r="G60" s="8" t="inlineStr">
        <is>
          <t>FR-63</t>
        </is>
      </c>
      <c r="H60" s="8" t="inlineStr">
        <is>
          <t>1</t>
        </is>
      </c>
      <c r="I60" s="8" t="inlineStr">
        <is>
          <t>Must</t>
        </is>
      </c>
      <c r="J60" s="8" t="inlineStr">
        <is>
          <t>Genre (mới)</t>
        </is>
      </c>
      <c r="K60" s="8" t="inlineStr">
        <is>
          <t>Người B</t>
        </is>
      </c>
      <c r="L60" s="8" t="inlineStr">
        <is>
          <t>Chưa làm</t>
        </is>
      </c>
    </row>
    <row r="61">
      <c r="A61" s="8" t="inlineStr">
        <is>
          <t>API-60</t>
        </is>
      </c>
      <c r="B61" s="8" t="inlineStr">
        <is>
          <t>9. Quản trị: nội dung nhạc</t>
        </is>
      </c>
      <c r="C61" s="8" t="inlineStr">
        <is>
          <t>PATCH</t>
        </is>
      </c>
      <c r="D61" s="8" t="inlineStr">
        <is>
          <t>/api/admin/genres/:id</t>
        </is>
      </c>
      <c r="E61" s="8" t="inlineStr">
        <is>
          <t>Sửa thể loại</t>
        </is>
      </c>
      <c r="F61" s="8" t="inlineStr">
        <is>
          <t>Admin</t>
        </is>
      </c>
      <c r="G61" s="8" t="inlineStr">
        <is>
          <t>FR-63</t>
        </is>
      </c>
      <c r="H61" s="8" t="inlineStr">
        <is>
          <t>1</t>
        </is>
      </c>
      <c r="I61" s="8" t="inlineStr">
        <is>
          <t>Should</t>
        </is>
      </c>
      <c r="J61" s="8" t="inlineStr">
        <is>
          <t>Genre (mới)</t>
        </is>
      </c>
      <c r="K61" s="8" t="inlineStr">
        <is>
          <t>Người B</t>
        </is>
      </c>
      <c r="L61" s="8" t="inlineStr">
        <is>
          <t>Chưa làm</t>
        </is>
      </c>
    </row>
    <row r="62">
      <c r="A62" s="8" t="inlineStr">
        <is>
          <t>API-61</t>
        </is>
      </c>
      <c r="B62" s="8" t="inlineStr">
        <is>
          <t>9. Quản trị: nội dung nhạc</t>
        </is>
      </c>
      <c r="C62" s="8" t="inlineStr">
        <is>
          <t>DELETE</t>
        </is>
      </c>
      <c r="D62" s="8" t="inlineStr">
        <is>
          <t>/api/admin/genres/:id</t>
        </is>
      </c>
      <c r="E62" s="8" t="inlineStr">
        <is>
          <t>Xóa thể loại</t>
        </is>
      </c>
      <c r="F62" s="8" t="inlineStr">
        <is>
          <t>Admin</t>
        </is>
      </c>
      <c r="G62" s="8" t="inlineStr">
        <is>
          <t>FR-63</t>
        </is>
      </c>
      <c r="H62" s="8" t="inlineStr">
        <is>
          <t>1</t>
        </is>
      </c>
      <c r="I62" s="8" t="inlineStr">
        <is>
          <t>Should</t>
        </is>
      </c>
      <c r="J62" s="8" t="inlineStr">
        <is>
          <t>Genre (mới)</t>
        </is>
      </c>
      <c r="K62" s="8" t="inlineStr">
        <is>
          <t>Người B</t>
        </is>
      </c>
      <c r="L62" s="8" t="inlineStr">
        <is>
          <t>Chưa làm</t>
        </is>
      </c>
    </row>
    <row r="63">
      <c r="A63" s="8" t="inlineStr">
        <is>
          <t>API-62</t>
        </is>
      </c>
      <c r="B63" s="8" t="inlineStr">
        <is>
          <t>9. Quản trị: nội dung nhạc</t>
        </is>
      </c>
      <c r="C63" s="8" t="inlineStr">
        <is>
          <t>GET</t>
        </is>
      </c>
      <c r="D63" s="8" t="inlineStr">
        <is>
          <t>/api/admin/songs/pending</t>
        </is>
      </c>
      <c r="E63" s="8" t="inlineStr">
        <is>
          <t>Danh sách bài artist gửi lên chờ duyệt</t>
        </is>
      </c>
      <c r="F63" s="8" t="inlineStr">
        <is>
          <t>Admin</t>
        </is>
      </c>
      <c r="G63" s="8" t="inlineStr">
        <is>
          <t>FR-64</t>
        </is>
      </c>
      <c r="H63" s="8" t="inlineStr">
        <is>
          <t>2</t>
        </is>
      </c>
      <c r="I63" s="8" t="inlineStr">
        <is>
          <t>Should</t>
        </is>
      </c>
      <c r="J63" s="8" t="inlineStr">
        <is>
          <t>Song (thêm approval_status)</t>
        </is>
      </c>
      <c r="K63" s="8" t="inlineStr">
        <is>
          <t>Người B</t>
        </is>
      </c>
      <c r="L63" s="8" t="inlineStr">
        <is>
          <t>Chưa làm</t>
        </is>
      </c>
    </row>
    <row r="64">
      <c r="A64" s="8" t="inlineStr">
        <is>
          <t>API-63</t>
        </is>
      </c>
      <c r="B64" s="8" t="inlineStr">
        <is>
          <t>9. Quản trị: nội dung nhạc</t>
        </is>
      </c>
      <c r="C64" s="8" t="inlineStr">
        <is>
          <t>PATCH</t>
        </is>
      </c>
      <c r="D64" s="8" t="inlineStr">
        <is>
          <t>/api/admin/songs/:id/approval</t>
        </is>
      </c>
      <c r="E64" s="8" t="inlineStr">
        <is>
          <t>Duyệt hoặc từ chối bài của artist</t>
        </is>
      </c>
      <c r="F64" s="8" t="inlineStr">
        <is>
          <t>Admin</t>
        </is>
      </c>
      <c r="G64" s="8" t="inlineStr">
        <is>
          <t>FR-64</t>
        </is>
      </c>
      <c r="H64" s="8" t="inlineStr">
        <is>
          <t>2</t>
        </is>
      </c>
      <c r="I64" s="8" t="inlineStr">
        <is>
          <t>Should</t>
        </is>
      </c>
      <c r="J64" s="8" t="inlineStr">
        <is>
          <t>Song</t>
        </is>
      </c>
      <c r="K64" s="8" t="inlineStr">
        <is>
          <t>Người B</t>
        </is>
      </c>
      <c r="L64" s="8" t="inlineStr">
        <is>
          <t>Chưa làm</t>
        </is>
      </c>
    </row>
    <row r="65">
      <c r="A65" s="8" t="inlineStr">
        <is>
          <t>API-64</t>
        </is>
      </c>
      <c r="B65" s="8" t="inlineStr">
        <is>
          <t>10. Tải nhạc offline</t>
        </is>
      </c>
      <c r="C65" s="8" t="inlineStr">
        <is>
          <t>POST</t>
        </is>
      </c>
      <c r="D65" s="8" t="inlineStr">
        <is>
          <t>/api/songs/:id/download</t>
        </is>
      </c>
      <c r="E65" s="8" t="inlineStr">
        <is>
          <t>Kiểm tra quyền và giới hạn tải, trả liên kết tải có hạn</t>
        </is>
      </c>
      <c r="F65" s="8" t="inlineStr">
        <is>
          <t>User</t>
        </is>
      </c>
      <c r="G65" s="8" t="inlineStr">
        <is>
          <t>FR-40, BRL-11</t>
        </is>
      </c>
      <c r="H65" s="8" t="inlineStr">
        <is>
          <t>2</t>
        </is>
      </c>
      <c r="I65" s="8" t="inlineStr">
        <is>
          <t>Should</t>
        </is>
      </c>
      <c r="J65" s="8" t="inlineStr">
        <is>
          <t>Download (mới)</t>
        </is>
      </c>
      <c r="K65" s="8" t="inlineStr">
        <is>
          <t>Người A</t>
        </is>
      </c>
      <c r="L65" s="8" t="inlineStr">
        <is>
          <t>Chưa làm</t>
        </is>
      </c>
    </row>
    <row r="66">
      <c r="A66" s="8" t="inlineStr">
        <is>
          <t>API-65</t>
        </is>
      </c>
      <c r="B66" s="8" t="inlineStr">
        <is>
          <t>10. Tải nhạc offline</t>
        </is>
      </c>
      <c r="C66" s="8" t="inlineStr">
        <is>
          <t>GET</t>
        </is>
      </c>
      <c r="D66" s="8" t="inlineStr">
        <is>
          <t>/api/users/me/downloads</t>
        </is>
      </c>
      <c r="E66" s="8" t="inlineStr">
        <is>
          <t>Danh sách bài đã tải (đồng bộ giữa thiết bị)</t>
        </is>
      </c>
      <c r="F66" s="8" t="inlineStr">
        <is>
          <t>User</t>
        </is>
      </c>
      <c r="G66" s="8" t="inlineStr">
        <is>
          <t>FR-41, FR-44</t>
        </is>
      </c>
      <c r="H66" s="8" t="inlineStr">
        <is>
          <t>2</t>
        </is>
      </c>
      <c r="I66" s="8" t="inlineStr">
        <is>
          <t>Should</t>
        </is>
      </c>
      <c r="J66" s="8" t="inlineStr">
        <is>
          <t>Download (mới)</t>
        </is>
      </c>
      <c r="K66" s="8" t="inlineStr">
        <is>
          <t>Người A</t>
        </is>
      </c>
      <c r="L66" s="8" t="inlineStr">
        <is>
          <t>Chưa làm</t>
        </is>
      </c>
    </row>
    <row r="67">
      <c r="A67" s="8" t="inlineStr">
        <is>
          <t>API-66</t>
        </is>
      </c>
      <c r="B67" s="8" t="inlineStr">
        <is>
          <t>10. Tải nhạc offline</t>
        </is>
      </c>
      <c r="C67" s="8" t="inlineStr">
        <is>
          <t>DELETE</t>
        </is>
      </c>
      <c r="D67" s="8" t="inlineStr">
        <is>
          <t>/api/users/me/downloads/:songId</t>
        </is>
      </c>
      <c r="E67" s="8" t="inlineStr">
        <is>
          <t>Xóa bài khỏi danh sách đã tải</t>
        </is>
      </c>
      <c r="F67" s="8" t="inlineStr">
        <is>
          <t>User</t>
        </is>
      </c>
      <c r="G67" s="8" t="inlineStr">
        <is>
          <t>FR-43</t>
        </is>
      </c>
      <c r="H67" s="8" t="inlineStr">
        <is>
          <t>2</t>
        </is>
      </c>
      <c r="I67" s="8" t="inlineStr">
        <is>
          <t>Could</t>
        </is>
      </c>
      <c r="J67" s="8" t="inlineStr">
        <is>
          <t>Download (mới)</t>
        </is>
      </c>
      <c r="K67" s="8" t="inlineStr">
        <is>
          <t>Người A</t>
        </is>
      </c>
      <c r="L67" s="8" t="inlineStr">
        <is>
          <t>Chưa làm</t>
        </is>
      </c>
    </row>
    <row r="68">
      <c r="A68" s="8" t="inlineStr">
        <is>
          <t>API-67</t>
        </is>
      </c>
      <c r="B68" s="8" t="inlineStr">
        <is>
          <t>11. Cổng nghệ sĩ</t>
        </is>
      </c>
      <c r="C68" s="8" t="inlineStr">
        <is>
          <t>GET</t>
        </is>
      </c>
      <c r="D68" s="8" t="inlineStr">
        <is>
          <t>/api/artist/me</t>
        </is>
      </c>
      <c r="E68" s="8" t="inlineStr">
        <is>
          <t>Hồ sơ nghệ sĩ gắn với tài khoản</t>
        </is>
      </c>
      <c r="F68" s="8" t="inlineStr">
        <is>
          <t>Artist</t>
        </is>
      </c>
      <c r="G68" s="8" t="inlineStr">
        <is>
          <t>FR-60</t>
        </is>
      </c>
      <c r="H68" s="8" t="inlineStr">
        <is>
          <t>2</t>
        </is>
      </c>
      <c r="I68" s="8" t="inlineStr">
        <is>
          <t>Could</t>
        </is>
      </c>
      <c r="J68" s="8" t="inlineStr">
        <is>
          <t>Artist (thêm user_id)</t>
        </is>
      </c>
      <c r="K68" s="8" t="inlineStr">
        <is>
          <t>Người B</t>
        </is>
      </c>
      <c r="L68" s="8" t="inlineStr">
        <is>
          <t>Chưa làm</t>
        </is>
      </c>
    </row>
    <row r="69">
      <c r="A69" s="8" t="inlineStr">
        <is>
          <t>API-68</t>
        </is>
      </c>
      <c r="B69" s="8" t="inlineStr">
        <is>
          <t>11. Cổng nghệ sĩ</t>
        </is>
      </c>
      <c r="C69" s="8" t="inlineStr">
        <is>
          <t>PATCH</t>
        </is>
      </c>
      <c r="D69" s="8" t="inlineStr">
        <is>
          <t>/api/artist/me</t>
        </is>
      </c>
      <c r="E69" s="8" t="inlineStr">
        <is>
          <t>Cập nhật hồ sơ nghệ sĩ</t>
        </is>
      </c>
      <c r="F69" s="8" t="inlineStr">
        <is>
          <t>Artist</t>
        </is>
      </c>
      <c r="G69" s="8" t="inlineStr">
        <is>
          <t>FR-60</t>
        </is>
      </c>
      <c r="H69" s="8" t="inlineStr">
        <is>
          <t>2</t>
        </is>
      </c>
      <c r="I69" s="8" t="inlineStr">
        <is>
          <t>Could</t>
        </is>
      </c>
      <c r="J69" s="8" t="inlineStr">
        <is>
          <t>Artist</t>
        </is>
      </c>
      <c r="K69" s="8" t="inlineStr">
        <is>
          <t>Người B</t>
        </is>
      </c>
      <c r="L69" s="8" t="inlineStr">
        <is>
          <t>Chưa làm</t>
        </is>
      </c>
    </row>
    <row r="70">
      <c r="A70" s="8" t="inlineStr">
        <is>
          <t>API-69</t>
        </is>
      </c>
      <c r="B70" s="8" t="inlineStr">
        <is>
          <t>11. Cổng nghệ sĩ</t>
        </is>
      </c>
      <c r="C70" s="8" t="inlineStr">
        <is>
          <t>POST</t>
        </is>
      </c>
      <c r="D70" s="8" t="inlineStr">
        <is>
          <t>/api/artist/songs</t>
        </is>
      </c>
      <c r="E70" s="8" t="inlineStr">
        <is>
          <t>Artist đăng bài hát (chờ admin duyệt)</t>
        </is>
      </c>
      <c r="F70" s="8" t="inlineStr">
        <is>
          <t>Artist</t>
        </is>
      </c>
      <c r="G70" s="8" t="inlineStr">
        <is>
          <t>FR-60</t>
        </is>
      </c>
      <c r="H70" s="8" t="inlineStr">
        <is>
          <t>2</t>
        </is>
      </c>
      <c r="I70" s="8" t="inlineStr">
        <is>
          <t>Could</t>
        </is>
      </c>
      <c r="J70" s="8" t="inlineStr">
        <is>
          <t>Song</t>
        </is>
      </c>
      <c r="K70" s="8" t="inlineStr">
        <is>
          <t>Người B</t>
        </is>
      </c>
      <c r="L70" s="8" t="inlineStr">
        <is>
          <t>Chưa làm</t>
        </is>
      </c>
    </row>
    <row r="71">
      <c r="A71" s="8" t="inlineStr">
        <is>
          <t>API-70</t>
        </is>
      </c>
      <c r="B71" s="8" t="inlineStr">
        <is>
          <t>11. Cổng nghệ sĩ</t>
        </is>
      </c>
      <c r="C71" s="8" t="inlineStr">
        <is>
          <t>PATCH</t>
        </is>
      </c>
      <c r="D71" s="8" t="inlineStr">
        <is>
          <t>/api/artist/songs/:id</t>
        </is>
      </c>
      <c r="E71" s="8" t="inlineStr">
        <is>
          <t>Artist sửa bài của mình</t>
        </is>
      </c>
      <c r="F71" s="8" t="inlineStr">
        <is>
          <t>Artist</t>
        </is>
      </c>
      <c r="G71" s="8" t="inlineStr">
        <is>
          <t>FR-60</t>
        </is>
      </c>
      <c r="H71" s="8" t="inlineStr">
        <is>
          <t>2</t>
        </is>
      </c>
      <c r="I71" s="8" t="inlineStr">
        <is>
          <t>Could</t>
        </is>
      </c>
      <c r="J71" s="8" t="inlineStr">
        <is>
          <t>Song</t>
        </is>
      </c>
      <c r="K71" s="8" t="inlineStr">
        <is>
          <t>Người B</t>
        </is>
      </c>
      <c r="L71" s="8" t="inlineStr">
        <is>
          <t>Chưa làm</t>
        </is>
      </c>
    </row>
    <row r="72">
      <c r="A72" s="8" t="inlineStr">
        <is>
          <t>API-71</t>
        </is>
      </c>
      <c r="B72" s="8" t="inlineStr">
        <is>
          <t>11. Cổng nghệ sĩ</t>
        </is>
      </c>
      <c r="C72" s="8" t="inlineStr">
        <is>
          <t>POST</t>
        </is>
      </c>
      <c r="D72" s="8" t="inlineStr">
        <is>
          <t>/api/artist/albums</t>
        </is>
      </c>
      <c r="E72" s="8" t="inlineStr">
        <is>
          <t>Artist tạo album</t>
        </is>
      </c>
      <c r="F72" s="8" t="inlineStr">
        <is>
          <t>Artist</t>
        </is>
      </c>
      <c r="G72" s="8" t="inlineStr">
        <is>
          <t>FR-60</t>
        </is>
      </c>
      <c r="H72" s="8" t="inlineStr">
        <is>
          <t>2</t>
        </is>
      </c>
      <c r="I72" s="8" t="inlineStr">
        <is>
          <t>Could</t>
        </is>
      </c>
      <c r="J72" s="8" t="inlineStr">
        <is>
          <t>Album</t>
        </is>
      </c>
      <c r="K72" s="8" t="inlineStr">
        <is>
          <t>Người B</t>
        </is>
      </c>
      <c r="L72" s="8" t="inlineStr">
        <is>
          <t>Chưa làm</t>
        </is>
      </c>
    </row>
    <row r="73">
      <c r="A73" s="8" t="inlineStr">
        <is>
          <t>API-72</t>
        </is>
      </c>
      <c r="B73" s="8" t="inlineStr">
        <is>
          <t>11. Cổng nghệ sĩ</t>
        </is>
      </c>
      <c r="C73" s="8" t="inlineStr">
        <is>
          <t>GET</t>
        </is>
      </c>
      <c r="D73" s="8" t="inlineStr">
        <is>
          <t>/api/artist/stats</t>
        </is>
      </c>
      <c r="E73" s="8" t="inlineStr">
        <is>
          <t>Lượt nghe, thích, chia sẻ, người theo dõi</t>
        </is>
      </c>
      <c r="F73" s="8" t="inlineStr">
        <is>
          <t>Artist</t>
        </is>
      </c>
      <c r="G73" s="8" t="inlineStr">
        <is>
          <t>FR-61</t>
        </is>
      </c>
      <c r="H73" s="8" t="inlineStr">
        <is>
          <t>2</t>
        </is>
      </c>
      <c r="I73" s="8" t="inlineStr">
        <is>
          <t>Could</t>
        </is>
      </c>
      <c r="J73" s="8" t="inlineStr">
        <is>
          <t>ListenHistory, FavoriteSong, FollowArtist</t>
        </is>
      </c>
      <c r="K73" s="8" t="inlineStr">
        <is>
          <t>Người B</t>
        </is>
      </c>
      <c r="L73" s="8" t="inlineStr">
        <is>
          <t>Chưa làm</t>
        </is>
      </c>
    </row>
    <row r="74">
      <c r="A74" s="8" t="inlineStr">
        <is>
          <t>API-73</t>
        </is>
      </c>
      <c r="B74" s="8" t="inlineStr">
        <is>
          <t>12. Thống kê và đề xuất thông minh</t>
        </is>
      </c>
      <c r="C74" s="8" t="inlineStr">
        <is>
          <t>GET</t>
        </is>
      </c>
      <c r="D74" s="8" t="inlineStr">
        <is>
          <t>/api/charts/monthly</t>
        </is>
      </c>
      <c r="E74" s="8" t="inlineStr">
        <is>
          <t>Bài hát và nghệ sĩ nghe nhiều nhất theo tháng</t>
        </is>
      </c>
      <c r="F74" s="8" t="inlineStr">
        <is>
          <t>Khách</t>
        </is>
      </c>
      <c r="G74" s="8" t="inlineStr">
        <is>
          <t>FR-62</t>
        </is>
      </c>
      <c r="H74" s="8" t="inlineStr">
        <is>
          <t>3</t>
        </is>
      </c>
      <c r="I74" s="8" t="inlineStr">
        <is>
          <t>Could</t>
        </is>
      </c>
      <c r="J74" s="8" t="inlineStr">
        <is>
          <t>ListenHistory</t>
        </is>
      </c>
      <c r="K74" s="8" t="inlineStr">
        <is>
          <t>Người B</t>
        </is>
      </c>
      <c r="L74" s="8" t="inlineStr">
        <is>
          <t>Chưa làm</t>
        </is>
      </c>
    </row>
    <row r="75">
      <c r="A75" s="8" t="inlineStr">
        <is>
          <t>API-74</t>
        </is>
      </c>
      <c r="B75" s="8" t="inlineStr">
        <is>
          <t>12. Thống kê và đề xuất thông minh</t>
        </is>
      </c>
      <c r="C75" s="8" t="inlineStr">
        <is>
          <t>POST</t>
        </is>
      </c>
      <c r="D75" s="8" t="inlineStr">
        <is>
          <t>/api/playlists/generate</t>
        </is>
      </c>
      <c r="E75" s="8" t="inlineStr">
        <is>
          <t>Tạo playlist theo tâm trạng, thể loại, nghệ sĩ hoặc thời lượng</t>
        </is>
      </c>
      <c r="F75" s="8" t="inlineStr">
        <is>
          <t>User</t>
        </is>
      </c>
      <c r="G75" s="8" t="inlineStr">
        <is>
          <t>FR-51, FR-52, FR-53</t>
        </is>
      </c>
      <c r="H75" s="8" t="inlineStr">
        <is>
          <t>3</t>
        </is>
      </c>
      <c r="I75" s="8" t="inlineStr">
        <is>
          <t>Could</t>
        </is>
      </c>
      <c r="J75" s="8" t="inlineStr">
        <is>
          <t>Song, Genre (thêm mood)</t>
        </is>
      </c>
      <c r="K75" s="8" t="inlineStr">
        <is>
          <t>Người B</t>
        </is>
      </c>
      <c r="L75" s="8" t="inlineStr">
        <is>
          <t>Chưa làm</t>
        </is>
      </c>
    </row>
  </sheetData>
  <autoFilter ref="A1:L75"/>
  <conditionalFormatting sqref="K2:K75">
    <cfRule type="expression" priority="1" dxfId="0">
      <formula>$K2="Người A"</formula>
    </cfRule>
    <cfRule type="expression" priority="2" dxfId="1">
      <formula>$K2="Người B"</formula>
    </cfRule>
  </conditionalFormatting>
  <conditionalFormatting sqref="L2:L75">
    <cfRule type="expression" priority="3" dxfId="2">
      <formula>OR($L2="Xong",$L2="Đã kiểm thử")</formula>
    </cfRule>
    <cfRule type="expression" priority="4" dxfId="3">
      <formula>$L2="Đang làm"</formula>
    </cfRule>
  </conditionalFormatting>
  <dataValidations count="2">
    <dataValidation sqref="K2:K75" showDropDown="0" showInputMessage="0" showErrorMessage="0" allowBlank="1" type="list">
      <formula1>"Người A,Người B,Cả hai"</formula1>
    </dataValidation>
    <dataValidation sqref="L2:L75" showDropDown="0" showInputMessage="0" showErrorMessage="0" allowBlank="1" type="list">
      <formula1>"Chưa làm,Đang làm,Xong,Đã kiểm thử"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2026-10-19T17:40:34Z</dcterms:created>
  <dcterms:modified xmlns:dcterms="http://purl.org/dc/terms/" xmlns:xsi="http://www.w3.org/2001/XMLSchema-instance" xsi:type="dcterms:W3CDTF">2026-10-19T17:40:34Z</dcterms:modified>
</cp:coreProperties>
</file>